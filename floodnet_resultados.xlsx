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Léeme" sheetId="1" state="visible" r:id="rId1"/>
    <sheet name="Resumen" sheetId="2" state="visible" r:id="rId2"/>
    <sheet name="Por clase" sheetId="3" state="visible" r:id="rId3"/>
    <sheet name="Distribución de clases" sheetId="4" state="visible" r:id="rId4"/>
    <sheet name="Comparación por imagen" sheetId="5" state="visible" r:id="rId5"/>
    <sheet name="U-Net" sheetId="6" state="visible" r:id="rId6"/>
    <sheet name="DeepLabV3+" sheetId="7" state="visible" r:id="rId7"/>
    <sheet name="YOLO11n-seg" sheetId="8" state="visible" r:id="rId8"/>
    <sheet name="Parámetros" sheetId="9" state="visible" r:id="rId9"/>
  </sheets>
  <definedNames>
    <definedName name="_xlnm._FilterDatabase" localSheetId="4" hidden="1">'Comparación por imagen'!$A$4:$O$430</definedName>
    <definedName name="_xlnm._FilterDatabase" localSheetId="5" hidden="1">'U-Net'!$A$4:$AJ$430</definedName>
    <definedName name="_xlnm._FilterDatabase" localSheetId="6" hidden="1">'DeepLabV3+'!$A$4:$AJ$430</definedName>
    <definedName name="_xlnm._FilterDatabase" localSheetId="7" hidden="1">'YOLO11n-seg'!$A$4:$AJ$430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0.0000"/>
    <numFmt numFmtId="167" formatCode="\+0.00000;\-0.00000;0.0000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family val="2"/>
      <sz val="10"/>
    </font>
    <font>
      <name val="Arial"/>
      <b val="1"/>
      <sz val="14"/>
    </font>
    <font>
      <name val="Arial"/>
      <i val="1"/>
      <color rgb="FF595959"/>
      <sz val="10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15">
    <fill>
      <patternFill/>
    </fill>
    <fill>
      <patternFill patternType="gray125"/>
    </fill>
    <fill>
      <patternFill patternType="solid">
        <fgColor rgb="FF404040"/>
        <bgColor rgb="FF375623"/>
      </patternFill>
    </fill>
    <fill>
      <patternFill patternType="solid">
        <fgColor rgb="FF1F4E79"/>
        <bgColor rgb="FF003366"/>
      </patternFill>
    </fill>
    <fill>
      <patternFill patternType="solid">
        <fgColor rgb="FF833C0B"/>
        <bgColor rgb="FF993366"/>
      </patternFill>
    </fill>
    <fill>
      <patternFill patternType="solid">
        <fgColor rgb="FF375623"/>
        <bgColor rgb="FF404040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BE5D6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404040"/>
      </patternFill>
    </fill>
    <fill>
      <patternFill patternType="solid">
        <fgColor rgb="FF1F4E79"/>
      </patternFill>
    </fill>
    <fill>
      <patternFill patternType="solid">
        <fgColor rgb="FF833C0B"/>
      </patternFill>
    </fill>
    <fill>
      <patternFill patternType="solid">
        <fgColor rgb="FF375623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165" fontId="8" fillId="0" borderId="1" applyAlignment="1" pivotButton="0" quotePrefix="0" xfId="0">
      <alignment horizontal="center" vertical="bottom"/>
    </xf>
    <xf numFmtId="1" fontId="8" fillId="0" borderId="1" applyAlignment="1" pivotButton="0" quotePrefix="0" xfId="0">
      <alignment horizontal="center" vertical="bottom"/>
    </xf>
    <xf numFmtId="3" fontId="8" fillId="0" borderId="1" applyAlignment="1" pivotButton="0" quotePrefix="0" xfId="0">
      <alignment horizontal="center" vertical="bottom"/>
    </xf>
    <xf numFmtId="2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66" fontId="8" fillId="0" borderId="1" applyAlignment="1" pivotButton="0" quotePrefix="0" xfId="0">
      <alignment horizontal="center" vertical="bottom"/>
    </xf>
    <xf numFmtId="167" fontId="8" fillId="0" borderId="1" applyAlignment="1" pivotButton="0" quotePrefix="0" xfId="0">
      <alignment horizontal="center" vertical="bottom"/>
    </xf>
    <xf numFmtId="0" fontId="7" fillId="6" borderId="1" applyAlignment="1" pivotButton="0" quotePrefix="0" xfId="0">
      <alignment horizontal="general" vertical="bottom"/>
    </xf>
    <xf numFmtId="164" fontId="7" fillId="6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165" fontId="8" fillId="0" borderId="1" applyAlignment="1" pivotButton="0" quotePrefix="0" xfId="0">
      <alignment horizontal="center" vertical="bottom"/>
    </xf>
    <xf numFmtId="1" fontId="8" fillId="0" borderId="1" applyAlignment="1" pivotButton="0" quotePrefix="0" xfId="0">
      <alignment horizontal="center" vertical="bottom"/>
    </xf>
    <xf numFmtId="3" fontId="8" fillId="0" borderId="1" applyAlignment="1" pivotButton="0" quotePrefix="0" xfId="0">
      <alignment horizontal="center" vertical="bottom"/>
    </xf>
    <xf numFmtId="2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66" fontId="8" fillId="0" borderId="1" applyAlignment="1" pivotButton="0" quotePrefix="0" xfId="0">
      <alignment horizontal="center" vertical="bottom"/>
    </xf>
    <xf numFmtId="167" fontId="8" fillId="0" borderId="1" applyAlignment="1" pivotButton="0" quotePrefix="0" xfId="0">
      <alignment horizontal="center" vertical="bottom"/>
    </xf>
    <xf numFmtId="0" fontId="7" fillId="6" borderId="1" applyAlignment="1" pivotButton="0" quotePrefix="0" xfId="0">
      <alignment horizontal="general" vertical="bottom"/>
    </xf>
    <xf numFmtId="164" fontId="7" fillId="6" borderId="1" applyAlignment="1" pivotButton="0" quotePrefix="0" xfId="0">
      <alignment horizontal="center" vertical="bottom"/>
    </xf>
    <xf numFmtId="0" fontId="10" fillId="0" borderId="0" pivotButton="0" quotePrefix="0" xfId="0"/>
    <xf numFmtId="0" fontId="11" fillId="0" borderId="0" pivotButton="0" quotePrefix="0" xfId="0"/>
    <xf numFmtId="0" fontId="12" fillId="10" borderId="6" applyAlignment="1" pivotButton="0" quotePrefix="0" xfId="0">
      <alignment horizontal="center" vertical="center" wrapText="1"/>
    </xf>
    <xf numFmtId="0" fontId="12" fillId="11" borderId="6" applyAlignment="1" pivotButton="0" quotePrefix="0" xfId="0">
      <alignment horizontal="center" vertical="center" wrapText="1"/>
    </xf>
    <xf numFmtId="0" fontId="12" fillId="12" borderId="6" applyAlignment="1" pivotButton="0" quotePrefix="0" xfId="0">
      <alignment horizontal="center" vertical="center" wrapText="1"/>
    </xf>
    <xf numFmtId="0" fontId="12" fillId="13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left"/>
    </xf>
    <xf numFmtId="3" fontId="14" fillId="0" borderId="6" applyAlignment="1" pivotButton="0" quotePrefix="0" xfId="0">
      <alignment horizontal="center"/>
    </xf>
    <xf numFmtId="10" fontId="14" fillId="0" borderId="6" applyAlignment="1" pivotButton="0" quotePrefix="0" xfId="0">
      <alignment horizontal="center"/>
    </xf>
    <xf numFmtId="165" fontId="14" fillId="0" borderId="6" applyAlignment="1" pivotButton="0" quotePrefix="0" xfId="0">
      <alignment horizontal="center"/>
    </xf>
    <xf numFmtId="164" fontId="14" fillId="0" borderId="6" applyAlignment="1" pivotButton="0" quotePrefix="0" xfId="0">
      <alignment horizontal="center"/>
    </xf>
    <xf numFmtId="0" fontId="13" fillId="14" borderId="6" applyAlignment="1" pivotButton="0" quotePrefix="0" xfId="0">
      <alignment horizontal="left"/>
    </xf>
    <xf numFmtId="3" fontId="13" fillId="14" borderId="6" applyAlignment="1" pivotButton="0" quotePrefix="0" xfId="0">
      <alignment horizontal="center"/>
    </xf>
    <xf numFmtId="10" fontId="13" fillId="14" borderId="6" applyAlignment="1" pivotButton="0" quotePrefix="0" xfId="0">
      <alignment horizontal="center"/>
    </xf>
    <xf numFmtId="0" fontId="14" fillId="14" borderId="6" applyAlignment="1" pivotButton="0" quotePrefix="0" xfId="0">
      <alignment horizontal="center"/>
    </xf>
    <xf numFmtId="0" fontId="15" fillId="0" borderId="0" pivotButton="0" quotePrefix="0" xfId="0"/>
    <xf numFmtId="0" fontId="14" fillId="0" borderId="6" applyAlignment="1" pivotButton="0" quotePrefix="0" xfId="0">
      <alignment horizontal="center"/>
    </xf>
    <xf numFmtId="0" fontId="8" fillId="0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61">
    <dxf>
      <font>
        <name val="Arial"/>
        <charset val="1"/>
        <family val="0"/>
        <b val="1"/>
      </font>
      <fill>
        <patternFill>
          <bgColor rgb="FFC6EFCE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833C0B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>
          <bgColor rgb="FFDDEBF7"/>
        </patternFill>
      </fill>
    </dxf>
    <dxf>
      <fill>
        <patternFill>
          <bgColor rgb="FFFBE5D6"/>
        </patternFill>
      </fill>
    </dxf>
    <dxf>
      <fill>
        <patternFill>
          <bgColor rgb="FFE2EFDA"/>
        </patternFill>
      </fill>
    </dxf>
    <dxf>
      <fill>
        <patternFill patternType="solid">
          <fgColor rgb="FF66BF7C"/>
          <bgColor rgb="FF000000"/>
        </patternFill>
      </fill>
    </dxf>
    <dxf>
      <fill>
        <patternFill patternType="solid">
          <fgColor rgb="FF68C07C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6BC17C"/>
          <bgColor rgb="FF000000"/>
        </patternFill>
      </fill>
    </dxf>
    <dxf>
      <fill>
        <patternFill patternType="solid">
          <fgColor rgb="FF75C47D"/>
          <bgColor rgb="FF000000"/>
        </patternFill>
      </fill>
    </dxf>
    <dxf>
      <fill>
        <patternFill patternType="solid">
          <fgColor rgb="FF7AC57D"/>
          <bgColor rgb="FF000000"/>
        </patternFill>
      </fill>
    </dxf>
    <dxf>
      <fill>
        <patternFill patternType="solid">
          <fgColor rgb="FF84C87D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4CC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B3D6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6A6B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85C87D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86C97E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BCA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8DCA7E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E75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6CC17C"/>
          <bgColor rgb="FF000000"/>
        </patternFill>
      </fill>
    </dxf>
    <dxf>
      <fill>
        <patternFill patternType="solid">
          <fgColor rgb="FF6DC17C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6FC27C"/>
          <bgColor rgb="FF000000"/>
        </patternFill>
      </fill>
    </dxf>
    <dxf>
      <fill>
        <patternFill patternType="solid">
          <fgColor rgb="FF71C37C"/>
          <bgColor rgb="FF000000"/>
        </patternFill>
      </fill>
    </dxf>
    <dxf>
      <fill>
        <patternFill patternType="solid">
          <fgColor rgb="FF72C37C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74C37C"/>
          <bgColor rgb="FF000000"/>
        </patternFill>
      </fill>
    </dxf>
    <dxf>
      <fill>
        <patternFill patternType="solid">
          <fgColor rgb="FF75C37C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77C47D"/>
          <bgColor rgb="FF000000"/>
        </patternFill>
      </fill>
    </dxf>
    <dxf>
      <fill>
        <patternFill patternType="solid">
          <fgColor rgb="FF78C47D"/>
          <bgColor rgb="FF000000"/>
        </patternFill>
      </fill>
    </dxf>
    <dxf>
      <fill>
        <patternFill patternType="solid">
          <fgColor rgb="FF78C57D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7BC57D"/>
          <bgColor rgb="FF000000"/>
        </patternFill>
      </fill>
    </dxf>
    <dxf>
      <fill>
        <patternFill patternType="solid">
          <fgColor rgb="FF7CC57D"/>
          <bgColor rgb="FF000000"/>
        </patternFill>
      </fill>
    </dxf>
    <dxf>
      <fill>
        <patternFill patternType="solid">
          <fgColor rgb="FF7CC67D"/>
          <bgColor rgb="FF000000"/>
        </patternFill>
      </fill>
    </dxf>
    <dxf>
      <fill>
        <patternFill patternType="solid">
          <fgColor rgb="FF7DC67D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7FC67D"/>
          <bgColor rgb="FF000000"/>
        </patternFill>
      </fill>
    </dxf>
    <dxf>
      <fill>
        <patternFill patternType="solid">
          <fgColor rgb="FF80C77D"/>
          <bgColor rgb="FF000000"/>
        </patternFill>
      </fill>
    </dxf>
    <dxf>
      <fill>
        <patternFill patternType="solid">
          <fgColor rgb="FF81C77D"/>
          <bgColor rgb="FF000000"/>
        </patternFill>
      </fill>
    </dxf>
    <dxf>
      <fill>
        <patternFill patternType="solid">
          <fgColor rgb="FF82C77D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83C87D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1CB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4CD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BCF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2D1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4D1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FDD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86E6C"/>
          <bgColor rgb="FF000000"/>
        </patternFill>
      </fill>
    </dxf>
    <dxf>
      <fill>
        <patternFill patternType="solid">
          <fgColor rgb="FFF9826F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C74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ED8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1DA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F8756D"/>
          <bgColor rgb="FF000000"/>
        </patternFill>
      </fill>
    </dxf>
    <dxf>
      <fill>
        <patternFill patternType="solid">
          <fgColor rgb="FFF8796E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C78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6EC17C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71C27C"/>
          <bgColor rgb="FF000000"/>
        </patternFill>
      </fill>
    </dxf>
    <dxf>
      <fill>
        <patternFill patternType="solid">
          <fgColor rgb="FF7FC77D"/>
          <bgColor rgb="FF000000"/>
        </patternFill>
      </fill>
    </dxf>
    <dxf>
      <fill>
        <patternFill patternType="solid">
          <fgColor rgb="FF8DCB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ACD480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E4E3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7E5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65BF7C"/>
          <bgColor rgb="FF000000"/>
        </patternFill>
      </fill>
    </dxf>
    <dxf>
      <fill>
        <patternFill patternType="solid">
          <fgColor rgb="FF67BF7C"/>
          <bgColor rgb="FF000000"/>
        </patternFill>
      </fill>
    </dxf>
    <dxf>
      <fill>
        <patternFill patternType="solid">
          <fgColor rgb="FF67C07C"/>
          <bgColor rgb="FF000000"/>
        </patternFill>
      </fill>
    </dxf>
    <dxf>
      <fill>
        <patternFill patternType="solid">
          <fgColor rgb="FF6AC07C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A5D27F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86B6B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98C71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8AC97E"/>
          <bgColor rgb="FF000000"/>
        </patternFill>
      </fill>
    </dxf>
    <dxf>
      <fill>
        <patternFill patternType="solid">
          <fgColor rgb="FF9BCE7F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97E6F"/>
          <bgColor rgb="FF000000"/>
        </patternFill>
      </fill>
    </dxf>
    <dxf>
      <fill>
        <patternFill patternType="solid">
          <fgColor rgb="FFF97F6F"/>
          <bgColor rgb="FF000000"/>
        </patternFill>
      </fill>
    </dxf>
    <dxf>
      <fill>
        <patternFill patternType="solid">
          <fgColor rgb="FFFA9573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D9E1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0E3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5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CBC7A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C8DB81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64BF7C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A9273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6AC17C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DCB7E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B0D480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9E984"/>
          <bgColor rgb="FF000000"/>
        </patternFill>
      </fill>
    </dxf>
    <dxf>
      <fill>
        <patternFill patternType="solid">
          <fgColor rgb="FFFBA776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B7D680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D6F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BA777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BAC77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8706C"/>
          <bgColor rgb="FF000000"/>
        </patternFill>
      </fill>
    </dxf>
    <dxf>
      <fill>
        <patternFill patternType="solid">
          <fgColor rgb="FFFA8E72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D2DF82"/>
          <bgColor rgb="FF000000"/>
        </patternFill>
      </fill>
    </dxf>
    <dxf>
      <fill>
        <patternFill patternType="solid">
          <fgColor rgb="FFF98670"/>
          <bgColor rgb="FF000000"/>
        </patternFill>
      </fill>
    </dxf>
    <dxf>
      <fill>
        <patternFill patternType="solid">
          <fgColor rgb="FF9ED07F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98E72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BB179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C17B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8766D"/>
          <bgColor rgb="FF000000"/>
        </patternFill>
      </fill>
    </dxf>
    <dxf>
      <fill>
        <patternFill patternType="solid">
          <fgColor rgb="FFF98D71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97B6E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BA275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C5DA81"/>
          <bgColor rgb="FF000000"/>
        </patternFill>
      </fill>
    </dxf>
    <dxf>
      <fill>
        <patternFill patternType="solid">
          <fgColor rgb="FFF8716C"/>
          <bgColor rgb="FF000000"/>
        </patternFill>
      </fill>
    </dxf>
    <dxf>
      <fill>
        <patternFill patternType="solid">
          <fgColor rgb="FFFA9774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8726C"/>
          <bgColor rgb="FF000000"/>
        </patternFill>
      </fill>
    </dxf>
    <dxf>
      <fill>
        <patternFill patternType="solid">
          <fgColor rgb="FFFDD67F"/>
          <bgColor rgb="FF000000"/>
        </patternFill>
      </fill>
    </dxf>
    <dxf>
      <fill>
        <patternFill patternType="solid">
          <fgColor rgb="FFF2E784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98870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98470"/>
          <bgColor rgb="FF000000"/>
        </patternFill>
      </fill>
    </dxf>
    <dxf>
      <fill>
        <patternFill patternType="solid">
          <fgColor rgb="FFF8786D"/>
          <bgColor rgb="FF000000"/>
        </patternFill>
      </fill>
    </dxf>
    <dxf>
      <fill>
        <patternFill patternType="solid">
          <fgColor rgb="FFF98871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DC57C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BB17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833C0B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Unknown Author</author>
  </authors>
  <commentList>
    <comment ref="B28" authorId="0" shapeId="0">
      <text>
        <t>Aproximado: tiempo entre el inicio del entrenamiento y el último checkpoint (≈2 h 15 min).</t>
      </text>
    </comment>
    <comment ref="B33" authorId="0" shapeId="0">
      <text>
        <t>El cuaderno del U-Net imprime el mIoU con 4 decimales (0.7315).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9" min="1" max="1"/>
    <col width="110" customWidth="1" style="29" min="2" max="2"/>
  </cols>
  <sheetData>
    <row r="1" ht="17.35" customHeight="1" s="30">
      <c r="A1" s="31" t="inlineStr">
        <is>
          <t>Resultados — FloodNet (U-Net híbrido, DeepLabV3+, YOLO11n-seg)</t>
        </is>
      </c>
    </row>
    <row r="2" ht="15" customHeight="1" s="30">
      <c r="A2" s="32" t="inlineStr">
        <is>
          <t>Cómo leer este libro</t>
        </is>
      </c>
    </row>
    <row r="3"/>
    <row r="4" ht="15" customHeight="1" s="30">
      <c r="A4" s="33" t="inlineStr">
        <is>
          <t>HOJAS</t>
        </is>
      </c>
    </row>
    <row r="5" ht="30" customHeight="1" s="30">
      <c r="A5" s="36" t="inlineStr">
        <is>
          <t>Resumen</t>
        </is>
      </c>
      <c r="B5" s="37" t="inlineStr">
        <is>
          <t>Métricas globales de test de los tres modelos, estadísticas por imagen, entrenamiento y una comprobación frente a las cifras de los cuadernos. En verde, el mejor de cada fila.</t>
        </is>
      </c>
    </row>
    <row r="6" ht="15" customHeight="1" s="30">
      <c r="A6" s="36" t="inlineStr">
        <is>
          <t>Por clase</t>
        </is>
      </c>
      <c r="B6" s="37" t="inlineStr">
        <is>
          <t>IoU, Dice, precisión y recall de cada clase sobre todo el test, los tres modelos lado a lado.</t>
        </is>
      </c>
    </row>
    <row r="7" ht="30" customHeight="1" s="30">
      <c r="A7" s="36" t="inlineStr">
        <is>
          <t>Distribución de clases</t>
        </is>
      </c>
      <c r="B7" s="37" t="inlineStr">
        <is>
          <t>Representación de cada clase en todo el dataset usado (2.247 imágenes, no solo test): % de píxeles y de imágenes por partición, parte de la imagen que ocupa cuando aparece, IoU de test de los tres modelos y correlación de Spearman entre ambas.</t>
        </is>
      </c>
    </row>
    <row r="8" ht="30" customHeight="1" s="30">
      <c r="A8" s="36" t="inlineStr">
        <is>
          <t>Comparación por imagen</t>
        </is>
      </c>
      <c r="B8" s="37" t="inlineStr">
        <is>
          <t>Una fila por imagen de test con Mean_IoU, precisión, recall y pixel accuracy de los tres modelos, el mejor modelo y la diferencia entre el mejor y el peor. Admite filtros.</t>
        </is>
      </c>
    </row>
    <row r="9" ht="30" customHeight="1" s="30">
      <c r="A9" s="36" t="inlineStr">
        <is>
          <t>U-Net / DeepLabV3+ / YOLO11n-seg</t>
        </is>
      </c>
      <c r="B9" s="37" t="inlineStr">
        <is>
          <t>Una fila por imagen: IoU, precisión y recall de cada clase y el resumen de la imagen. Los bloques por clase se pueden plegar con los botones [1] [2] de la esquina.</t>
        </is>
      </c>
    </row>
    <row r="10" ht="15" customHeight="1" s="30">
      <c r="A10" s="36" t="inlineStr">
        <is>
          <t>Parámetros</t>
        </is>
      </c>
      <c r="B10" s="37" t="inlineStr">
        <is>
          <t>Arquitectura, entrenamiento e inferencia de cada modelo.</t>
        </is>
      </c>
    </row>
    <row r="11" ht="15" customHeight="1" s="30">
      <c r="A11" s="33" t="inlineStr">
        <is>
          <t>DEFINICIONES</t>
        </is>
      </c>
    </row>
    <row r="12" ht="15" customHeight="1" s="30">
      <c r="A12" s="36" t="inlineStr">
        <is>
          <t>IoU de una clase</t>
        </is>
      </c>
      <c r="B12" s="37" t="inlineStr">
        <is>
          <t>TP / (TP + FP + FN) en píxeles. Vacía si la clase no está ni en la referencia ni en la predicción.</t>
        </is>
      </c>
    </row>
    <row r="13" ht="30" customHeight="1" s="30">
      <c r="A13" s="36" t="inlineStr">
        <is>
          <t>Precisión de una clase</t>
        </is>
      </c>
      <c r="B13" s="37" t="inlineStr">
        <is>
          <t>TP / (TP + FP): de los píxeles que el modelo asigna a la clase, cuántos son correctos. Vacía si el modelo no predice la clase en esa imagen.</t>
        </is>
      </c>
    </row>
    <row r="14" ht="30" customHeight="1" s="30">
      <c r="A14" s="36" t="inlineStr">
        <is>
          <t>Recall de una clase</t>
        </is>
      </c>
      <c r="B14" s="37" t="inlineStr">
        <is>
          <t>TP / (TP + FN): de los píxeles de la clase en la referencia, cuántos encuentra el modelo. Vacío si la clase no está en la referencia.</t>
        </is>
      </c>
    </row>
    <row r="15" ht="30" customHeight="1" s="30">
      <c r="A15" s="36" t="inlineStr">
        <is>
          <t>Precisión / Recall / Mean_IoU</t>
        </is>
      </c>
      <c r="B15" s="37" t="inlineStr">
        <is>
          <t>Media de la métrica sobre las clases con valor en esa imagen (celdas vacías fuera). Son fórmulas: se recalculan si se cambia algún valor por clase.</t>
        </is>
      </c>
    </row>
    <row r="16" ht="15" customHeight="1" s="30">
      <c r="A16" s="36" t="inlineStr">
        <is>
          <t>Pixel accuracy</t>
        </is>
      </c>
      <c r="B16" s="37" t="inlineStr">
        <is>
          <t>Píxeles bien clasificados / total de píxeles de la imagen.</t>
        </is>
      </c>
    </row>
    <row r="17" ht="15" customHeight="1" s="30">
      <c r="A17" s="36" t="inlineStr">
        <is>
          <t>% píxeles sin predicción</t>
        </is>
      </c>
      <c r="B17" s="37" t="inlineStr">
        <is>
          <t>Solo YOLO: píxeles que ninguna instancia cubre. Cuentan como error (FN) de su clase real.</t>
        </is>
      </c>
    </row>
    <row r="18" ht="45" customHeight="1" s="30">
      <c r="A18" s="36" t="inlineStr">
        <is>
          <t>mIoU global ≠ media por imagen</t>
        </is>
      </c>
      <c r="B18" s="37" t="inlineStr">
        <is>
          <t>El mIoU de la hoja Resumen acumula los píxeles de todo el test y divide una vez (como los cuadernos). La media de Mean_IoU por imagen pesa igual cada imagen y suele salir más baja: en una imagen, una clase con pocos píxeles mal segmentada baja mucho su media.</t>
        </is>
      </c>
    </row>
    <row r="19" ht="60" customHeight="1" s="30">
      <c r="A19" s="36" t="inlineStr">
        <is>
          <t>Por qué YOLO gana en la media por imagen</t>
        </is>
      </c>
      <c r="B19" s="37" t="inlineStr">
        <is>
          <t>En la media por imagen, cada clase que el modelo predice y no está en la referencia suma un IoU de 0. El U-Net deja de media 0,51 clases espurias por imagen, DeepLabV3+ 0,42 y YOLO 0,33, porque YOLO descarta las detecciones poco seguras. A cambio YOLO se salta más clases reales (0,18 por imagen, frente a 0,10 del U-Net), que pesan poco en esa media pero sí en el mIoU global.</t>
        </is>
      </c>
    </row>
    <row r="20" ht="15" customHeight="1" s="30">
      <c r="A20" s="33" t="inlineStr">
        <is>
          <t>ORIGEN DE LOS DATOS</t>
        </is>
      </c>
    </row>
    <row r="21" ht="45" customHeight="1" s="30">
      <c r="A21" s="36" t="inlineStr">
        <is>
          <t>Imágenes</t>
        </is>
      </c>
      <c r="B21" s="37" t="inlineStr">
        <is>
          <t>Las 426 imágenes de la partición test oficial de FloodNet-Supervised v1.0 que no tienen una máscara de una sola clase, reducidas a 512×512 (data/cache512_full). Mismas imágenes para los tres modelos. La hoja «Distribución de clases» usa además las de train y val: 2.247 imágenes en total.</t>
        </is>
      </c>
    </row>
    <row r="22" ht="45" customHeight="1" s="30">
      <c r="A22" s="36" t="inlineStr">
        <is>
          <t>Inferencia</t>
        </is>
      </c>
      <c r="B22" s="37" t="inlineStr">
        <is>
          <t>Recalculada en CPU con los checkpoints entrenados y la misma configuración que cada cuaderno: U-Net con TTA de 4 volteos (best_model_iou_full.pth), DeepLabV3+ con su ONNX y YOLO con best.pt, conf 0,25. El mIoU global coincide con el de los cuadernos a 4 decimales (ver Resumen, Comprobación).</t>
        </is>
      </c>
    </row>
    <row r="23" ht="30" customHeight="1" s="30">
      <c r="A23" s="36" t="inlineStr">
        <is>
          <t>Referencias</t>
        </is>
      </c>
      <c r="B23" s="37" t="inlineStr">
        <is>
          <t>Las máscaras de test son las oficiales, que tienen errores de anotación (sobre todo agua/hierba). Las cifras absolutas están afectadas por ese ruido; la comparación entre modelos es justa.</t>
        </is>
      </c>
    </row>
  </sheetData>
  <mergeCells count="3">
    <mergeCell ref="A4:B4"/>
    <mergeCell ref="A20:B20"/>
    <mergeCell ref="A11:B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29" min="1" max="1"/>
    <col width="16" customWidth="1" style="29" min="2" max="5"/>
  </cols>
  <sheetData>
    <row r="1" ht="17.35" customHeight="1" s="30">
      <c r="A1" s="31" t="inlineStr">
        <is>
          <t>FloodNet — resultados de test de las tres arquitecturas</t>
        </is>
      </c>
    </row>
    <row r="2" ht="15" customHeight="1" s="30">
      <c r="A2" s="32" t="inlineStr">
        <is>
          <t>Test oficial de FloodNet-Supervised v1.0 sin máscaras de una sola clase: 426 imágenes a 512×512.</t>
        </is>
      </c>
    </row>
    <row r="3" ht="15" customHeight="1" s="30">
      <c r="A3" s="38" t="n"/>
      <c r="B3" s="38" t="inlineStr">
        <is>
          <t>Matriz de confusión acumulada sobre todo el test</t>
        </is>
      </c>
      <c r="C3" s="39" t="n"/>
      <c r="D3" s="39" t="n"/>
      <c r="E3" s="40" t="n"/>
    </row>
    <row r="4" ht="15" customHeight="1" s="30">
      <c r="A4" s="38" t="inlineStr">
        <is>
          <t>Métrica (test completo)</t>
        </is>
      </c>
      <c r="B4" s="41" t="inlineStr">
        <is>
          <t>U-Net</t>
        </is>
      </c>
      <c r="C4" s="42" t="inlineStr">
        <is>
          <t>DeepLabV3+</t>
        </is>
      </c>
      <c r="D4" s="43" t="inlineStr">
        <is>
          <t>YOLO11n-seg</t>
        </is>
      </c>
      <c r="E4" s="38" t="inlineStr">
        <is>
          <t>Mejor</t>
        </is>
      </c>
    </row>
    <row r="5" ht="15" customHeight="1" s="30">
      <c r="A5" s="44" t="inlineStr">
        <is>
          <t>mIoU (10 clases)</t>
        </is>
      </c>
      <c r="B5" s="45" t="n">
        <v>0.73145946795114</v>
      </c>
      <c r="C5" s="45" t="n">
        <v>0.7093514578308679</v>
      </c>
      <c r="D5" s="45" t="n">
        <v>0.704913458505617</v>
      </c>
      <c r="E5" s="46">
        <f>INDEX($B$4:$D$4,MATCH(MAX(B5:D5),B5:D5,0))</f>
        <v/>
      </c>
    </row>
    <row r="6" ht="15" customHeight="1" s="30">
      <c r="A6" s="44" t="inlineStr">
        <is>
          <t>mIoU (sin Background)</t>
        </is>
      </c>
      <c r="B6" s="45" t="n">
        <v>0.754313744431685</v>
      </c>
      <c r="C6" s="45" t="n">
        <v>0.7381443951996109</v>
      </c>
      <c r="D6" s="45" t="n">
        <v>0.739472434059789</v>
      </c>
      <c r="E6" s="46">
        <f>INDEX($B$4:$D$4,MATCH(MAX(B6:D6),B6:D6,0))</f>
        <v/>
      </c>
    </row>
    <row r="7" ht="15" customHeight="1" s="30">
      <c r="A7" s="44" t="inlineStr">
        <is>
          <t>Dice medio (10 clases)</t>
        </is>
      </c>
      <c r="B7" s="45" t="n">
        <v>0.84057967890494</v>
      </c>
      <c r="C7" s="45" t="n">
        <v>0.822750695694754</v>
      </c>
      <c r="D7" s="45" t="n">
        <v>0.818497397684083</v>
      </c>
      <c r="E7" s="46">
        <f>INDEX($B$4:$D$4,MATCH(MAX(B7:D7),B7:D7,0))</f>
        <v/>
      </c>
    </row>
    <row r="8" ht="15" customHeight="1" s="30">
      <c r="A8" s="44" t="inlineStr">
        <is>
          <t>Dice medio (sin Background)</t>
        </is>
      </c>
      <c r="B8" s="45" t="n">
        <v>0.857401055985676</v>
      </c>
      <c r="C8" s="45" t="n">
        <v>0.84517919924533</v>
      </c>
      <c r="D8" s="45" t="n">
        <v>0.846646107236346</v>
      </c>
      <c r="E8" s="46">
        <f>INDEX($B$4:$D$4,MATCH(MAX(B8:D8),B8:D8,0))</f>
        <v/>
      </c>
    </row>
    <row r="9" ht="15" customHeight="1" s="30">
      <c r="A9" s="44" t="inlineStr">
        <is>
          <t>Precisión (media por clase)</t>
        </is>
      </c>
      <c r="B9" s="45" t="n">
        <v>0.854994319991626</v>
      </c>
      <c r="C9" s="45" t="n">
        <v>0.821287697314227</v>
      </c>
      <c r="D9" s="45" t="n">
        <v>0.83368161729322</v>
      </c>
      <c r="E9" s="46">
        <f>INDEX($B$4:$D$4,MATCH(MAX(B9:D9),B9:D9,0))</f>
        <v/>
      </c>
    </row>
    <row r="10" ht="15" customHeight="1" s="30">
      <c r="A10" s="44" t="inlineStr">
        <is>
          <t>Recall (media por clase)</t>
        </is>
      </c>
      <c r="B10" s="45" t="n">
        <v>0.836111638412367</v>
      </c>
      <c r="C10" s="45" t="n">
        <v>0.831176453266446</v>
      </c>
      <c r="D10" s="45" t="n">
        <v>0.813882955271677</v>
      </c>
      <c r="E10" s="46">
        <f>INDEX($B$4:$D$4,MATCH(MAX(B10:D10),B10:D10,0))</f>
        <v/>
      </c>
    </row>
    <row r="11" ht="15" customHeight="1" s="30">
      <c r="A11" s="44" t="inlineStr">
        <is>
          <t>Pixel accuracy</t>
        </is>
      </c>
      <c r="B11" s="45" t="n">
        <v>0.90993852570583</v>
      </c>
      <c r="C11" s="45" t="n">
        <v>0.907698770084292</v>
      </c>
      <c r="D11" s="45" t="n">
        <v>0.889841151349421</v>
      </c>
      <c r="E11" s="46">
        <f>INDEX($B$4:$D$4,MATCH(MAX(B11:D11),B11:D11,0))</f>
        <v/>
      </c>
    </row>
    <row r="12" ht="15" customHeight="1" s="30">
      <c r="A12" s="44" t="inlineStr">
        <is>
          <t>% píxeles sin predicción</t>
        </is>
      </c>
      <c r="B12" s="47" t="n">
        <v>0</v>
      </c>
      <c r="C12" s="47" t="n">
        <v>0</v>
      </c>
      <c r="D12" s="47" t="n">
        <v>0.0299105577065911</v>
      </c>
      <c r="E12" s="46">
        <f>IF(COUNTIF(B12:D12,MIN(B12:D12))&gt;1,"Empate",INDEX($B$4:$D$4,MATCH(MIN(B12:D12),B12:D12,0)))</f>
        <v/>
      </c>
    </row>
    <row r="14" ht="15" customHeight="1" s="30">
      <c r="A14" s="38" t="n"/>
      <c r="B14" s="38" t="inlineStr">
        <is>
          <t>Estadísticas por imagen (a partir de la hoja Comparación por imagen)</t>
        </is>
      </c>
      <c r="C14" s="39" t="n"/>
      <c r="D14" s="39" t="n"/>
      <c r="E14" s="40" t="n"/>
    </row>
    <row r="15" ht="15" customHeight="1" s="30">
      <c r="A15" s="38" t="inlineStr">
        <is>
          <t>Métrica</t>
        </is>
      </c>
      <c r="B15" s="41" t="inlineStr">
        <is>
          <t>U-Net</t>
        </is>
      </c>
      <c r="C15" s="42" t="inlineStr">
        <is>
          <t>DeepLabV3+</t>
        </is>
      </c>
      <c r="D15" s="43" t="inlineStr">
        <is>
          <t>YOLO11n-seg</t>
        </is>
      </c>
      <c r="E15" s="38" t="inlineStr">
        <is>
          <t>Mejor</t>
        </is>
      </c>
    </row>
    <row r="16" ht="15" customHeight="1" s="30">
      <c r="A16" s="44" t="inlineStr">
        <is>
          <t>Mean_IoU medio por imagen</t>
        </is>
      </c>
      <c r="B16" s="45">
        <f>AVERAGE('Comparación por imagen'!B5:B430)</f>
        <v/>
      </c>
      <c r="C16" s="45">
        <f>AVERAGE('Comparación por imagen'!C5:C430)</f>
        <v/>
      </c>
      <c r="D16" s="45">
        <f>AVERAGE('Comparación por imagen'!D5:D430)</f>
        <v/>
      </c>
      <c r="E16" s="46">
        <f>INDEX($B$15:$D$15,MATCH(MAX(B16:D16),B16:D16,0))</f>
        <v/>
      </c>
    </row>
    <row r="17" ht="15" customHeight="1" s="30">
      <c r="A17" s="44" t="inlineStr">
        <is>
          <t>Mean_IoU mediano por imagen</t>
        </is>
      </c>
      <c r="B17" s="45">
        <f>MEDIAN('Comparación por imagen'!B5:B430)</f>
        <v/>
      </c>
      <c r="C17" s="45">
        <f>MEDIAN('Comparación por imagen'!C5:C430)</f>
        <v/>
      </c>
      <c r="D17" s="45">
        <f>MEDIAN('Comparación por imagen'!D5:D430)</f>
        <v/>
      </c>
      <c r="E17" s="46">
        <f>INDEX($B$15:$D$15,MATCH(MAX(B17:D17),B17:D17,0))</f>
        <v/>
      </c>
    </row>
    <row r="18" ht="15" customHeight="1" s="30">
      <c r="A18" s="44" t="inlineStr">
        <is>
          <t>Mean_IoU mínimo (peor imagen)</t>
        </is>
      </c>
      <c r="B18" s="45">
        <f>MIN('Comparación por imagen'!B5:B430)</f>
        <v/>
      </c>
      <c r="C18" s="45">
        <f>MIN('Comparación por imagen'!C5:C430)</f>
        <v/>
      </c>
      <c r="D18" s="45">
        <f>MIN('Comparación por imagen'!D5:D430)</f>
        <v/>
      </c>
      <c r="E18" s="46">
        <f>INDEX($B$15:$D$15,MATCH(MAX(B18:D18),B18:D18,0))</f>
        <v/>
      </c>
    </row>
    <row r="19" ht="15" customHeight="1" s="30">
      <c r="A19" s="44" t="inlineStr">
        <is>
          <t>Precisión media por imagen</t>
        </is>
      </c>
      <c r="B19" s="45">
        <f>AVERAGE('Comparación por imagen'!G5:G430)</f>
        <v/>
      </c>
      <c r="C19" s="45">
        <f>AVERAGE('Comparación por imagen'!H5:H430)</f>
        <v/>
      </c>
      <c r="D19" s="45">
        <f>AVERAGE('Comparación por imagen'!I5:I430)</f>
        <v/>
      </c>
      <c r="E19" s="46">
        <f>INDEX($B$15:$D$15,MATCH(MAX(B19:D19),B19:D19,0))</f>
        <v/>
      </c>
    </row>
    <row r="20" ht="15" customHeight="1" s="30">
      <c r="A20" s="44" t="inlineStr">
        <is>
          <t>Recall medio por imagen</t>
        </is>
      </c>
      <c r="B20" s="45">
        <f>AVERAGE('Comparación por imagen'!J5:J430)</f>
        <v/>
      </c>
      <c r="C20" s="45">
        <f>AVERAGE('Comparación por imagen'!K5:K430)</f>
        <v/>
      </c>
      <c r="D20" s="45">
        <f>AVERAGE('Comparación por imagen'!L5:L430)</f>
        <v/>
      </c>
      <c r="E20" s="46">
        <f>INDEX($B$15:$D$15,MATCH(MAX(B20:D20),B20:D20,0))</f>
        <v/>
      </c>
    </row>
    <row r="21" ht="15" customHeight="1" s="30">
      <c r="A21" s="44" t="inlineStr">
        <is>
          <t>Imágenes en las que es el mejor (Mean_IoU)</t>
        </is>
      </c>
      <c r="B21" s="48">
        <f>COUNTIF('Comparación por imagen'!E5:E430,"U-Net")</f>
        <v/>
      </c>
      <c r="C21" s="48">
        <f>COUNTIF('Comparación por imagen'!E5:E430,"DeepLabV3+")</f>
        <v/>
      </c>
      <c r="D21" s="48">
        <f>COUNTIF('Comparación por imagen'!E5:E430,"YOLO11n-seg")</f>
        <v/>
      </c>
      <c r="E21" s="46">
        <f>INDEX($B$15:$D$15,MATCH(MAX(B21:D21),B21:D21,0))</f>
        <v/>
      </c>
    </row>
    <row r="22" ht="15" customHeight="1" s="30">
      <c r="A22" s="44" t="inlineStr">
        <is>
          <t>% de imágenes en las que es el mejor</t>
        </is>
      </c>
      <c r="B22" s="47">
        <f>B21/426</f>
        <v/>
      </c>
      <c r="C22" s="47">
        <f>C21/426</f>
        <v/>
      </c>
      <c r="D22" s="47">
        <f>D21/426</f>
        <v/>
      </c>
    </row>
    <row r="24" ht="15" customHeight="1" s="30">
      <c r="A24" s="38" t="n"/>
      <c r="B24" s="38" t="inlineStr">
        <is>
          <t>Modelo y entrenamiento (detalle en la hoja Parámetros)</t>
        </is>
      </c>
      <c r="C24" s="39" t="n"/>
      <c r="D24" s="39" t="n"/>
      <c r="E24" s="40" t="n"/>
    </row>
    <row r="25" ht="15" customHeight="1" s="30">
      <c r="A25" s="44" t="inlineStr">
        <is>
          <t>Parámetros</t>
        </is>
      </c>
      <c r="B25" s="49" t="n">
        <v>86680082</v>
      </c>
      <c r="C25" s="49" t="n">
        <v>26679898</v>
      </c>
      <c r="D25" s="49" t="n">
        <v>2851654</v>
      </c>
    </row>
    <row r="26" ht="15" customHeight="1" s="30">
      <c r="A26" s="44" t="inlineStr">
        <is>
          <t>Épocas ejecutadas</t>
        </is>
      </c>
      <c r="B26" s="48" t="n">
        <v>30</v>
      </c>
      <c r="C26" s="48" t="n">
        <v>40</v>
      </c>
      <c r="D26" s="48" t="n">
        <v>235</v>
      </c>
    </row>
    <row r="27" ht="15" customHeight="1" s="30">
      <c r="A27" s="44" t="inlineStr">
        <is>
          <t>Mejor época (val)</t>
        </is>
      </c>
      <c r="B27" s="48" t="n">
        <v>30</v>
      </c>
      <c r="C27" s="48" t="n">
        <v>32</v>
      </c>
      <c r="D27" s="48" t="n">
        <v>185</v>
      </c>
    </row>
    <row r="28" ht="15" customHeight="1" s="30">
      <c r="A28" s="44" t="inlineStr">
        <is>
          <t>Tiempo de entrenamiento (h, RTX 4060 Laptop)</t>
        </is>
      </c>
      <c r="B28" s="50" t="n">
        <v>2.25</v>
      </c>
      <c r="C28" s="50" t="n">
        <v>0.775</v>
      </c>
      <c r="D28" s="50" t="n">
        <v>2.612</v>
      </c>
    </row>
    <row r="29" ht="15" customHeight="1" s="30">
      <c r="A29" s="44" t="inlineStr">
        <is>
          <t>TTA en test</t>
        </is>
      </c>
      <c r="B29" s="51" t="inlineStr">
        <is>
          <t>Sí (4 volteos)</t>
        </is>
      </c>
      <c r="C29" s="51" t="inlineStr">
        <is>
          <t>No</t>
        </is>
      </c>
      <c r="D29" s="51" t="inlineStr">
        <is>
          <t>No</t>
        </is>
      </c>
    </row>
    <row r="31" ht="23.85" customHeight="1" s="30">
      <c r="A31" s="38" t="n"/>
      <c r="B31" s="38" t="inlineStr">
        <is>
          <t>Comprobación: mIoU recalculado (CPU) frente al reportado en el cuaderno (GPU)</t>
        </is>
      </c>
      <c r="C31" s="39" t="n"/>
      <c r="D31" s="39" t="n"/>
      <c r="E31" s="40" t="n"/>
    </row>
    <row r="32" ht="15" customHeight="1" s="30">
      <c r="A32" s="38" t="n"/>
      <c r="B32" s="41" t="inlineStr">
        <is>
          <t>U-Net</t>
        </is>
      </c>
      <c r="C32" s="42" t="inlineStr">
        <is>
          <t>DeepLabV3+</t>
        </is>
      </c>
      <c r="D32" s="43" t="inlineStr">
        <is>
          <t>YOLO11n-seg</t>
        </is>
      </c>
    </row>
    <row r="33" ht="15" customHeight="1" s="30">
      <c r="A33" s="44" t="inlineStr">
        <is>
          <t>mIoU reportado por el cuaderno</t>
        </is>
      </c>
      <c r="B33" s="52" t="n">
        <v>0.7315</v>
      </c>
      <c r="C33" s="52" t="n">
        <v>0.709340084401443</v>
      </c>
      <c r="D33" s="52" t="n">
        <v>0.704846374131467</v>
      </c>
    </row>
    <row r="34" ht="15" customHeight="1" s="30">
      <c r="A34" s="44" t="inlineStr">
        <is>
          <t>mIoU recalculado en este Excel</t>
        </is>
      </c>
      <c r="B34" s="52">
        <f>B5</f>
        <v/>
      </c>
      <c r="C34" s="52">
        <f>C5</f>
        <v/>
      </c>
      <c r="D34" s="52">
        <f>D5</f>
        <v/>
      </c>
    </row>
    <row r="35" ht="15" customHeight="1" s="30">
      <c r="A35" s="44" t="inlineStr">
        <is>
          <t>Diferencia</t>
        </is>
      </c>
      <c r="B35" s="53">
        <f>B34-B33</f>
        <v/>
      </c>
      <c r="C35" s="53">
        <f>C34-C33</f>
        <v/>
      </c>
      <c r="D35" s="53">
        <f>D34-D33</f>
        <v/>
      </c>
    </row>
  </sheetData>
  <mergeCells count="4">
    <mergeCell ref="B31:E31"/>
    <mergeCell ref="B24:E24"/>
    <mergeCell ref="B14:E14"/>
    <mergeCell ref="B3:E3"/>
  </mergeCells>
  <conditionalFormatting sqref="B5:D5">
    <cfRule type="expression" rank="0" priority="2" equalAverage="0" aboveAverage="0" dxfId="0" text="" percent="0" bottom="0">
      <formula>B5=MAX($B$5:$D$5)</formula>
    </cfRule>
  </conditionalFormatting>
  <conditionalFormatting sqref="B6:D6">
    <cfRule type="expression" rank="0" priority="3" equalAverage="0" aboveAverage="0" dxfId="0" text="" percent="0" bottom="0">
      <formula>B6=MAX($B$6:$D$6)</formula>
    </cfRule>
  </conditionalFormatting>
  <conditionalFormatting sqref="B7:D7">
    <cfRule type="expression" rank="0" priority="4" equalAverage="0" aboveAverage="0" dxfId="0" text="" percent="0" bottom="0">
      <formula>B7=MAX($B$7:$D$7)</formula>
    </cfRule>
  </conditionalFormatting>
  <conditionalFormatting sqref="B8:D8">
    <cfRule type="expression" rank="0" priority="5" equalAverage="0" aboveAverage="0" dxfId="0" text="" percent="0" bottom="0">
      <formula>B8=MAX($B$8:$D$8)</formula>
    </cfRule>
  </conditionalFormatting>
  <conditionalFormatting sqref="B9:D9">
    <cfRule type="expression" rank="0" priority="6" equalAverage="0" aboveAverage="0" dxfId="0" text="" percent="0" bottom="0">
      <formula>B9=MAX($B$9:$D$9)</formula>
    </cfRule>
  </conditionalFormatting>
  <conditionalFormatting sqref="B10:D10">
    <cfRule type="expression" rank="0" priority="7" equalAverage="0" aboveAverage="0" dxfId="0" text="" percent="0" bottom="0">
      <formula>B10=MAX($B$10:$D$10)</formula>
    </cfRule>
  </conditionalFormatting>
  <conditionalFormatting sqref="B11:D11">
    <cfRule type="expression" rank="0" priority="8" equalAverage="0" aboveAverage="0" dxfId="0" text="" percent="0" bottom="0">
      <formula>B11=MAX($B$11:$D$11)</formula>
    </cfRule>
  </conditionalFormatting>
  <conditionalFormatting sqref="B12:D12">
    <cfRule type="expression" rank="0" priority="9" equalAverage="0" aboveAverage="0" dxfId="0" text="" percent="0" bottom="0">
      <formula>B12=MIN($B$12:$D$12)</formula>
    </cfRule>
  </conditionalFormatting>
  <conditionalFormatting sqref="B16:D16">
    <cfRule type="expression" rank="0" priority="10" equalAverage="0" aboveAverage="0" dxfId="0" text="" percent="0" bottom="0">
      <formula>B16=MAX($B$16:$D$16)</formula>
    </cfRule>
  </conditionalFormatting>
  <conditionalFormatting sqref="B17:D17">
    <cfRule type="expression" rank="0" priority="11" equalAverage="0" aboveAverage="0" dxfId="0" text="" percent="0" bottom="0">
      <formula>B17=MAX($B$17:$D$17)</formula>
    </cfRule>
  </conditionalFormatting>
  <conditionalFormatting sqref="B18:D18">
    <cfRule type="expression" rank="0" priority="12" equalAverage="0" aboveAverage="0" dxfId="0" text="" percent="0" bottom="0">
      <formula>B18=MAX($B$18:$D$18)</formula>
    </cfRule>
  </conditionalFormatting>
  <conditionalFormatting sqref="B19:D19">
    <cfRule type="expression" rank="0" priority="13" equalAverage="0" aboveAverage="0" dxfId="0" text="" percent="0" bottom="0">
      <formula>B19=MAX($B$19:$D$19)</formula>
    </cfRule>
  </conditionalFormatting>
  <conditionalFormatting sqref="B20:D20">
    <cfRule type="expression" rank="0" priority="14" equalAverage="0" aboveAverage="0" dxfId="0" text="" percent="0" bottom="0">
      <formula>B20=MAX($B$20:$D$20)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29" min="1" max="1"/>
    <col width="13" customWidth="1" style="29" min="2" max="13"/>
    <col width="14" customWidth="1" style="29" min="14" max="14"/>
  </cols>
  <sheetData>
    <row r="1" ht="17.35" customHeight="1" s="30">
      <c r="A1" s="31" t="inlineStr">
        <is>
          <t>Métricas por clase sobre el test completo (426 imágenes)</t>
        </is>
      </c>
    </row>
    <row r="2" ht="15" customHeight="1" s="30">
      <c r="A2" s="32" t="inlineStr">
        <is>
          <t>Calculadas sobre la matriz de confusión acumulada de todo el test, como en los cuadernos. En verde, el mejor modelo de cada métrica y clase.</t>
        </is>
      </c>
    </row>
    <row r="3" ht="15" customHeight="1" s="30">
      <c r="A3" s="38" t="n"/>
      <c r="B3" s="38" t="inlineStr">
        <is>
          <t>IoU</t>
        </is>
      </c>
      <c r="C3" s="39" t="n"/>
      <c r="D3" s="40" t="n"/>
      <c r="E3" s="38" t="inlineStr">
        <is>
          <t>Dice</t>
        </is>
      </c>
      <c r="F3" s="39" t="n"/>
      <c r="G3" s="40" t="n"/>
      <c r="H3" s="38" t="inlineStr">
        <is>
          <t>Precisión</t>
        </is>
      </c>
      <c r="I3" s="39" t="n"/>
      <c r="J3" s="40" t="n"/>
      <c r="K3" s="38" t="inlineStr">
        <is>
          <t>Recall</t>
        </is>
      </c>
      <c r="L3" s="39" t="n"/>
      <c r="M3" s="40" t="n"/>
      <c r="N3" s="38" t="inlineStr">
        <is>
          <t>IoU</t>
        </is>
      </c>
    </row>
    <row r="4" ht="15" customHeight="1" s="30">
      <c r="A4" s="38" t="inlineStr">
        <is>
          <t>Clase</t>
        </is>
      </c>
      <c r="B4" s="41" t="inlineStr">
        <is>
          <t>U-Net</t>
        </is>
      </c>
      <c r="C4" s="42" t="inlineStr">
        <is>
          <t>DeepLabV3+</t>
        </is>
      </c>
      <c r="D4" s="43" t="inlineStr">
        <is>
          <t>YOLO11n-seg</t>
        </is>
      </c>
      <c r="E4" s="41" t="inlineStr">
        <is>
          <t>U-Net</t>
        </is>
      </c>
      <c r="F4" s="42" t="inlineStr">
        <is>
          <t>DeepLabV3+</t>
        </is>
      </c>
      <c r="G4" s="43" t="inlineStr">
        <is>
          <t>YOLO11n-seg</t>
        </is>
      </c>
      <c r="H4" s="41" t="inlineStr">
        <is>
          <t>U-Net</t>
        </is>
      </c>
      <c r="I4" s="42" t="inlineStr">
        <is>
          <t>DeepLabV3+</t>
        </is>
      </c>
      <c r="J4" s="43" t="inlineStr">
        <is>
          <t>YOLO11n-seg</t>
        </is>
      </c>
      <c r="K4" s="41" t="inlineStr">
        <is>
          <t>U-Net</t>
        </is>
      </c>
      <c r="L4" s="42" t="inlineStr">
        <is>
          <t>DeepLabV3+</t>
        </is>
      </c>
      <c r="M4" s="43" t="inlineStr">
        <is>
          <t>YOLO11n-seg</t>
        </is>
      </c>
      <c r="N4" s="38" t="inlineStr">
        <is>
          <t>Mejor IoU</t>
        </is>
      </c>
    </row>
    <row r="5" ht="15" customHeight="1" s="30">
      <c r="A5" s="44" t="inlineStr">
        <is>
          <t>Background</t>
        </is>
      </c>
      <c r="B5" s="45" t="n">
        <v>0.525770979626233</v>
      </c>
      <c r="C5" s="45" t="n">
        <v>0.450215021512183</v>
      </c>
      <c r="D5" s="45" t="n">
        <v>0.393882678518065</v>
      </c>
      <c r="E5" s="45" t="n">
        <v>0.689187285178318</v>
      </c>
      <c r="F5" s="45" t="n">
        <v>0.620894163739567</v>
      </c>
      <c r="G5" s="45" t="n">
        <v>0.565159011713711</v>
      </c>
      <c r="H5" s="45" t="n">
        <v>0.89173638144324</v>
      </c>
      <c r="I5" s="45" t="n">
        <v>0.734517025462092</v>
      </c>
      <c r="J5" s="45" t="n">
        <v>0.776428103804229</v>
      </c>
      <c r="K5" s="45" t="n">
        <v>0.561620699845845</v>
      </c>
      <c r="L5" s="45" t="n">
        <v>0.5377147581050969</v>
      </c>
      <c r="M5" s="45" t="n">
        <v>0.444271120376361</v>
      </c>
      <c r="N5" s="46">
        <f>INDEX($B$4:$D$4,MATCH(MAX(B5:D5),B5:D5,0))</f>
        <v/>
      </c>
    </row>
    <row r="6" ht="15" customHeight="1" s="30">
      <c r="A6" s="44" t="inlineStr">
        <is>
          <t>Building-flooded</t>
        </is>
      </c>
      <c r="B6" s="45" t="n">
        <v>0.707287893759495</v>
      </c>
      <c r="C6" s="45" t="n">
        <v>0.7107075814270239</v>
      </c>
      <c r="D6" s="45" t="n">
        <v>0.726731369715679</v>
      </c>
      <c r="E6" s="45" t="n">
        <v>0.828551407580156</v>
      </c>
      <c r="F6" s="45" t="n">
        <v>0.8308931218205881</v>
      </c>
      <c r="G6" s="45" t="n">
        <v>0.841742244869672</v>
      </c>
      <c r="H6" s="45" t="n">
        <v>0.799684705764054</v>
      </c>
      <c r="I6" s="45" t="n">
        <v>0.785567531482718</v>
      </c>
      <c r="J6" s="45" t="n">
        <v>0.802382539349818</v>
      </c>
      <c r="K6" s="45" t="n">
        <v>0.859580192973631</v>
      </c>
      <c r="L6" s="45" t="n">
        <v>0.881769354523573</v>
      </c>
      <c r="M6" s="45" t="n">
        <v>0.885162605850734</v>
      </c>
      <c r="N6" s="46">
        <f>INDEX($B$4:$D$4,MATCH(MAX(B6:D6),B6:D6,0))</f>
        <v/>
      </c>
    </row>
    <row r="7" ht="15" customHeight="1" s="30">
      <c r="A7" s="44" t="inlineStr">
        <is>
          <t>Building-non-flooded</t>
        </is>
      </c>
      <c r="B7" s="45" t="n">
        <v>0.805672844611654</v>
      </c>
      <c r="C7" s="45" t="n">
        <v>0.799581490727492</v>
      </c>
      <c r="D7" s="45" t="n">
        <v>0.794202969793423</v>
      </c>
      <c r="E7" s="45" t="n">
        <v>0.89237964342863</v>
      </c>
      <c r="F7" s="45" t="n">
        <v>0.888630489752655</v>
      </c>
      <c r="G7" s="45" t="n">
        <v>0.885298913405393</v>
      </c>
      <c r="H7" s="45" t="n">
        <v>0.902014866563013</v>
      </c>
      <c r="I7" s="45" t="n">
        <v>0.901504829536676</v>
      </c>
      <c r="J7" s="45" t="n">
        <v>0.905313567269515</v>
      </c>
      <c r="K7" s="45" t="n">
        <v>0.882948089500006</v>
      </c>
      <c r="L7" s="45" t="n">
        <v>0.876118688028195</v>
      </c>
      <c r="M7" s="45" t="n">
        <v>0.866150085007632</v>
      </c>
      <c r="N7" s="46">
        <f>INDEX($B$4:$D$4,MATCH(MAX(B7:D7),B7:D7,0))</f>
        <v/>
      </c>
    </row>
    <row r="8" ht="15" customHeight="1" s="30">
      <c r="A8" s="44" t="inlineStr">
        <is>
          <t>Road-flooded</t>
        </is>
      </c>
      <c r="B8" s="45" t="n">
        <v>0.666230792941832</v>
      </c>
      <c r="C8" s="45" t="n">
        <v>0.612104129184522</v>
      </c>
      <c r="D8" s="45" t="n">
        <v>0.639382905439721</v>
      </c>
      <c r="E8" s="45" t="n">
        <v>0.799686088822738</v>
      </c>
      <c r="F8" s="45" t="n">
        <v>0.75938534999492</v>
      </c>
      <c r="G8" s="45" t="n">
        <v>0.7800287575503581</v>
      </c>
      <c r="H8" s="45" t="n">
        <v>0.7340226567224351</v>
      </c>
      <c r="I8" s="45" t="n">
        <v>0.6765658862969089</v>
      </c>
      <c r="J8" s="45" t="n">
        <v>0.75915720947628</v>
      </c>
      <c r="K8" s="45" t="n">
        <v>0.878251823027509</v>
      </c>
      <c r="L8" s="45" t="n">
        <v>0.865309167020075</v>
      </c>
      <c r="M8" s="45" t="n">
        <v>0.802080394963246</v>
      </c>
      <c r="N8" s="46">
        <f>INDEX($B$4:$D$4,MATCH(MAX(B8:D8),B8:D8,0))</f>
        <v/>
      </c>
    </row>
    <row r="9" ht="15" customHeight="1" s="30">
      <c r="A9" s="44" t="inlineStr">
        <is>
          <t>Road-non-flooded</t>
        </is>
      </c>
      <c r="B9" s="45" t="n">
        <v>0.832602352232494</v>
      </c>
      <c r="C9" s="45" t="n">
        <v>0.831365769083965</v>
      </c>
      <c r="D9" s="45" t="n">
        <v>0.80871636417293</v>
      </c>
      <c r="E9" s="45" t="n">
        <v>0.908655771633393</v>
      </c>
      <c r="F9" s="45" t="n">
        <v>0.907918869205257</v>
      </c>
      <c r="G9" s="45" t="n">
        <v>0.894243431631395</v>
      </c>
      <c r="H9" s="45" t="n">
        <v>0.905789625397548</v>
      </c>
      <c r="I9" s="45" t="n">
        <v>0.901793305972884</v>
      </c>
      <c r="J9" s="45" t="n">
        <v>0.904498532606845</v>
      </c>
      <c r="K9" s="45" t="n">
        <v>0.911540113861335</v>
      </c>
      <c r="L9" s="45" t="n">
        <v>0.914128219143622</v>
      </c>
      <c r="M9" s="45" t="n">
        <v>0.884218266000622</v>
      </c>
      <c r="N9" s="46">
        <f>INDEX($B$4:$D$4,MATCH(MAX(B9:D9),B9:D9,0))</f>
        <v/>
      </c>
    </row>
    <row r="10" ht="15" customHeight="1" s="30">
      <c r="A10" s="44" t="inlineStr">
        <is>
          <t>Water</t>
        </is>
      </c>
      <c r="B10" s="45" t="n">
        <v>0.771831802169277</v>
      </c>
      <c r="C10" s="45" t="n">
        <v>0.756522232166726</v>
      </c>
      <c r="D10" s="45" t="n">
        <v>0.7667175606393229</v>
      </c>
      <c r="E10" s="45" t="n">
        <v>0.871224685350283</v>
      </c>
      <c r="F10" s="45" t="n">
        <v>0.861386458210132</v>
      </c>
      <c r="G10" s="45" t="n">
        <v>0.867957140089636</v>
      </c>
      <c r="H10" s="45" t="n">
        <v>0.898881502488412</v>
      </c>
      <c r="I10" s="45" t="n">
        <v>0.873201048568333</v>
      </c>
      <c r="J10" s="45" t="n">
        <v>0.888497181662404</v>
      </c>
      <c r="K10" s="45" t="n">
        <v>0.845218959198916</v>
      </c>
      <c r="L10" s="45" t="n">
        <v>0.8498873075779489</v>
      </c>
      <c r="M10" s="45" t="n">
        <v>0.848345318609573</v>
      </c>
      <c r="N10" s="46">
        <f>INDEX($B$4:$D$4,MATCH(MAX(B10:D10),B10:D10,0))</f>
        <v/>
      </c>
    </row>
    <row r="11" ht="15" customHeight="1" s="30">
      <c r="A11" s="44" t="inlineStr">
        <is>
          <t>Tree</t>
        </is>
      </c>
      <c r="B11" s="45" t="n">
        <v>0.815139725065489</v>
      </c>
      <c r="C11" s="45" t="n">
        <v>0.830955901855882</v>
      </c>
      <c r="D11" s="45" t="n">
        <v>0.831368811382585</v>
      </c>
      <c r="E11" s="45" t="n">
        <v>0.898156449125237</v>
      </c>
      <c r="F11" s="45" t="n">
        <v>0.907674402221936</v>
      </c>
      <c r="G11" s="45" t="n">
        <v>0.907920683387576</v>
      </c>
      <c r="H11" s="45" t="n">
        <v>0.921265740382243</v>
      </c>
      <c r="I11" s="45" t="n">
        <v>0.922204426236827</v>
      </c>
      <c r="J11" s="45" t="n">
        <v>0.902283777538449</v>
      </c>
      <c r="K11" s="45" t="n">
        <v>0.876178147834101</v>
      </c>
      <c r="L11" s="45" t="n">
        <v>0.893595139034335</v>
      </c>
      <c r="M11" s="45" t="n">
        <v>0.91362846375499</v>
      </c>
      <c r="N11" s="46">
        <f>INDEX($B$4:$D$4,MATCH(MAX(B11:D11),B11:D11,0))</f>
        <v/>
      </c>
    </row>
    <row r="12" ht="15" customHeight="1" s="30">
      <c r="A12" s="44" t="inlineStr">
        <is>
          <t>Vehicle</t>
        </is>
      </c>
      <c r="B12" s="45" t="n">
        <v>0.625975849019431</v>
      </c>
      <c r="C12" s="45" t="n">
        <v>0.569542453903938</v>
      </c>
      <c r="D12" s="45" t="n">
        <v>0.565930938894976</v>
      </c>
      <c r="E12" s="45" t="n">
        <v>0.769969430231002</v>
      </c>
      <c r="F12" s="45" t="n">
        <v>0.725743292240754</v>
      </c>
      <c r="G12" s="45" t="n">
        <v>0.722804467091421</v>
      </c>
      <c r="H12" s="45" t="n">
        <v>0.733720779189539</v>
      </c>
      <c r="I12" s="45" t="n">
        <v>0.675538511525314</v>
      </c>
      <c r="J12" s="45" t="n">
        <v>0.676167876289995</v>
      </c>
      <c r="K12" s="45" t="n">
        <v>0.80998587255558</v>
      </c>
      <c r="L12" s="45" t="n">
        <v>0.784009432459131</v>
      </c>
      <c r="M12" s="45" t="n">
        <v>0.776350870484263</v>
      </c>
      <c r="N12" s="46">
        <f>INDEX($B$4:$D$4,MATCH(MAX(B12:D12),B12:D12,0))</f>
        <v/>
      </c>
    </row>
    <row r="13" ht="15" customHeight="1" s="30">
      <c r="A13" s="44" t="inlineStr">
        <is>
          <t>Pool</t>
        </is>
      </c>
      <c r="B13" s="45" t="n">
        <v>0.67990977311765</v>
      </c>
      <c r="C13" s="45" t="n">
        <v>0.647144534565141</v>
      </c>
      <c r="D13" s="45" t="n">
        <v>0.651237982107725</v>
      </c>
      <c r="E13" s="45" t="n">
        <v>0.809459869806988</v>
      </c>
      <c r="F13" s="45" t="n">
        <v>0.785777472449911</v>
      </c>
      <c r="G13" s="45" t="n">
        <v>0.788787551115378</v>
      </c>
      <c r="H13" s="45" t="n">
        <v>0.839810580515587</v>
      </c>
      <c r="I13" s="45" t="n">
        <v>0.808054659034273</v>
      </c>
      <c r="J13" s="45" t="n">
        <v>0.774740997853793</v>
      </c>
      <c r="K13" s="45" t="n">
        <v>0.78122638874261</v>
      </c>
      <c r="L13" s="45" t="n">
        <v>0.764695646599292</v>
      </c>
      <c r="M13" s="45" t="n">
        <v>0.8033528557887361</v>
      </c>
      <c r="N13" s="46">
        <f>INDEX($B$4:$D$4,MATCH(MAX(B13:D13),B13:D13,0))</f>
        <v/>
      </c>
    </row>
    <row r="14" ht="15" customHeight="1" s="30">
      <c r="A14" s="44" t="inlineStr">
        <is>
          <t>Grass</t>
        </is>
      </c>
      <c r="B14" s="45" t="n">
        <v>0.884172666967843</v>
      </c>
      <c r="C14" s="45" t="n">
        <v>0.885375463881806</v>
      </c>
      <c r="D14" s="45" t="n">
        <v>0.870963004391737</v>
      </c>
      <c r="E14" s="45" t="n">
        <v>0.938526157892655</v>
      </c>
      <c r="F14" s="45" t="n">
        <v>0.93920333731182</v>
      </c>
      <c r="G14" s="45" t="n">
        <v>0.9310317759862849</v>
      </c>
      <c r="H14" s="45" t="n">
        <v>0.9230163614501929</v>
      </c>
      <c r="I14" s="45" t="n">
        <v>0.933929749026245</v>
      </c>
      <c r="J14" s="45" t="n">
        <v>0.947346387080873</v>
      </c>
      <c r="K14" s="45" t="n">
        <v>0.954566096584136</v>
      </c>
      <c r="L14" s="45" t="n">
        <v>0.944536820173194</v>
      </c>
      <c r="M14" s="45" t="n">
        <v>0.915269571880611</v>
      </c>
      <c r="N14" s="46">
        <f>INDEX($B$4:$D$4,MATCH(MAX(B14:D14),B14:D14,0))</f>
        <v/>
      </c>
    </row>
    <row r="15" ht="15" customHeight="1" s="30">
      <c r="A15" s="54" t="inlineStr">
        <is>
          <t>Media (macro)</t>
        </is>
      </c>
      <c r="B15" s="55">
        <f>AVERAGE(B5:B14)</f>
        <v/>
      </c>
      <c r="C15" s="55">
        <f>AVERAGE(C5:C14)</f>
        <v/>
      </c>
      <c r="D15" s="55">
        <f>AVERAGE(D5:D14)</f>
        <v/>
      </c>
      <c r="E15" s="55">
        <f>AVERAGE(E5:E14)</f>
        <v/>
      </c>
      <c r="F15" s="55">
        <f>AVERAGE(F5:F14)</f>
        <v/>
      </c>
      <c r="G15" s="55">
        <f>AVERAGE(G5:G14)</f>
        <v/>
      </c>
      <c r="H15" s="55">
        <f>AVERAGE(H5:H14)</f>
        <v/>
      </c>
      <c r="I15" s="55">
        <f>AVERAGE(I5:I14)</f>
        <v/>
      </c>
      <c r="J15" s="55">
        <f>AVERAGE(J5:J14)</f>
        <v/>
      </c>
      <c r="K15" s="55">
        <f>AVERAGE(K5:K14)</f>
        <v/>
      </c>
      <c r="L15" s="55">
        <f>AVERAGE(L5:L14)</f>
        <v/>
      </c>
      <c r="M15" s="55">
        <f>AVERAGE(M5:M14)</f>
        <v/>
      </c>
    </row>
    <row r="17" ht="15" customHeight="1" s="30">
      <c r="A17" s="32" t="inlineStr">
        <is>
          <t>La fila «Media (macro)» de IoU es el mIoU de 10 clases de la hoja Resumen.</t>
        </is>
      </c>
    </row>
  </sheetData>
  <mergeCells count="4">
    <mergeCell ref="H3:J3"/>
    <mergeCell ref="B3:D3"/>
    <mergeCell ref="E3:G3"/>
    <mergeCell ref="K3:M3"/>
  </mergeCells>
  <conditionalFormatting sqref="B5:D15">
    <cfRule type="expression" rank="0" priority="2" equalAverage="0" aboveAverage="0" dxfId="0" text="" percent="0" bottom="0">
      <formula>B5=MAX($B5:$D5)</formula>
    </cfRule>
  </conditionalFormatting>
  <conditionalFormatting sqref="E5:G15">
    <cfRule type="expression" rank="0" priority="3" equalAverage="0" aboveAverage="0" dxfId="0" text="" percent="0" bottom="0">
      <formula>E5=MAX($E5:$G5)</formula>
    </cfRule>
  </conditionalFormatting>
  <conditionalFormatting sqref="H5:J15">
    <cfRule type="expression" rank="0" priority="4" equalAverage="0" aboveAverage="0" dxfId="0" text="" percent="0" bottom="0">
      <formula>H5=MAX($H5:$J5)</formula>
    </cfRule>
  </conditionalFormatting>
  <conditionalFormatting sqref="K5:M15">
    <cfRule type="expression" rank="0" priority="5" equalAverage="0" aboveAverage="0" dxfId="0" text="" percent="0" bottom="0">
      <formula>K5=MAX($K5:$M5)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30" min="1" max="1"/>
    <col width="12" customWidth="1" style="30" min="2" max="2"/>
    <col width="12" customWidth="1" style="30" min="3" max="3"/>
    <col width="12" customWidth="1" style="30" min="4" max="4"/>
    <col width="12" customWidth="1" style="30" min="5" max="5"/>
    <col width="12" customWidth="1" style="30" min="6" max="6"/>
    <col width="12" customWidth="1" style="30" min="7" max="7"/>
    <col width="12" customWidth="1" style="30" min="8" max="8"/>
    <col width="12" customWidth="1" style="30" min="9" max="9"/>
    <col width="12" customWidth="1" style="30" min="10" max="10"/>
    <col width="12" customWidth="1" style="30" min="11" max="11"/>
    <col width="12" customWidth="1" style="30" min="12" max="12"/>
    <col width="12" customWidth="1" style="30" min="13" max="13"/>
    <col width="12" customWidth="1" style="30" min="14" max="14"/>
  </cols>
  <sheetData>
    <row r="1">
      <c r="A1" s="56" t="inlineStr">
        <is>
          <t>Representación de cada clase en el dataset frente a la IoU de test</t>
        </is>
      </c>
    </row>
    <row r="2">
      <c r="A2" s="57" t="inlineStr">
        <is>
          <t>Máscaras 512×512 de data/cache512_full: las 2.247 imágenes de FloodNet-Supervised v1.0 sin máscara de una sola clase (train 1.387 · val 434 · test 426). Generada por la sección 6.5 de floodnet-segmentation.ipynb.</t>
        </is>
      </c>
    </row>
    <row r="4" ht="30" customHeight="1" s="30">
      <c r="A4" s="58" t="n"/>
      <c r="B4" s="58" t="inlineStr">
        <is>
          <t>Píxeles</t>
        </is>
      </c>
      <c r="C4" s="39" t="n"/>
      <c r="D4" s="39" t="n"/>
      <c r="E4" s="39" t="n"/>
      <c r="F4" s="40" t="n"/>
      <c r="G4" s="58" t="inlineStr">
        <is>
          <t>Imágenes en que aparece</t>
        </is>
      </c>
      <c r="H4" s="39" t="n"/>
      <c r="I4" s="40" t="n"/>
      <c r="J4" s="58" t="inlineStr">
        <is>
          <t>Parte de la imagen cuando aparece</t>
        </is>
      </c>
      <c r="K4" s="40" t="n"/>
      <c r="L4" s="58" t="inlineStr">
        <is>
          <t>IoU test</t>
        </is>
      </c>
      <c r="M4" s="39" t="n"/>
      <c r="N4" s="40" t="n"/>
    </row>
    <row r="5">
      <c r="A5" s="58" t="inlineStr">
        <is>
          <t>Clase</t>
        </is>
      </c>
      <c r="B5" s="58" t="inlineStr">
        <is>
          <t>Nº train</t>
        </is>
      </c>
      <c r="C5" s="58" t="inlineStr">
        <is>
          <t>% train</t>
        </is>
      </c>
      <c r="D5" s="58" t="inlineStr">
        <is>
          <t>% val</t>
        </is>
      </c>
      <c r="E5" s="58" t="inlineStr">
        <is>
          <t>% test</t>
        </is>
      </c>
      <c r="F5" s="58" t="inlineStr">
        <is>
          <t>% global</t>
        </is>
      </c>
      <c r="G5" s="58" t="inlineStr">
        <is>
          <t>Nº train</t>
        </is>
      </c>
      <c r="H5" s="58" t="inlineStr">
        <is>
          <t>% train</t>
        </is>
      </c>
      <c r="I5" s="58" t="inlineStr">
        <is>
          <t>% global</t>
        </is>
      </c>
      <c r="J5" s="58" t="inlineStr">
        <is>
          <t>Media</t>
        </is>
      </c>
      <c r="K5" s="58" t="inlineStr">
        <is>
          <t>Mediana</t>
        </is>
      </c>
      <c r="L5" s="59" t="inlineStr">
        <is>
          <t>U-Net</t>
        </is>
      </c>
      <c r="M5" s="60" t="inlineStr">
        <is>
          <t>DeepLabV3+</t>
        </is>
      </c>
      <c r="N5" s="61" t="inlineStr">
        <is>
          <t>YOLO11n-seg</t>
        </is>
      </c>
    </row>
    <row r="6">
      <c r="A6" s="62" t="inlineStr">
        <is>
          <t>Grass</t>
        </is>
      </c>
      <c r="B6" s="63" t="n">
        <v>201695526</v>
      </c>
      <c r="C6" s="64" t="n">
        <v>0.5547277372177333</v>
      </c>
      <c r="D6" s="64" t="n">
        <v>0.5300150225239415</v>
      </c>
      <c r="E6" s="64" t="n">
        <v>0.5384941727902408</v>
      </c>
      <c r="F6" s="64" t="n">
        <v>0.5468769064997905</v>
      </c>
      <c r="G6" s="63" t="n">
        <v>1305</v>
      </c>
      <c r="H6" s="65" t="n">
        <v>0.9408795962509012</v>
      </c>
      <c r="I6" s="65" t="n">
        <v>0.9341344014241211</v>
      </c>
      <c r="J6" s="64" t="n">
        <v>0.5854370695116862</v>
      </c>
      <c r="K6" s="64" t="n">
        <v>0.5821609497070312</v>
      </c>
      <c r="L6" s="66">
        <f>INDEX('Por clase'!$B$5:$B$14,MATCH($A6,'Por clase'!$A$5:$A$14,0))</f>
        <v/>
      </c>
      <c r="M6" s="66">
        <f>INDEX('Por clase'!$C$5:$C$14,MATCH($A6,'Por clase'!$A$5:$A$14,0))</f>
        <v/>
      </c>
      <c r="N6" s="66">
        <f>INDEX('Por clase'!$D$5:$D$14,MATCH($A6,'Por clase'!$A$5:$A$14,0))</f>
        <v/>
      </c>
    </row>
    <row r="7">
      <c r="A7" s="62" t="inlineStr">
        <is>
          <t>Tree</t>
        </is>
      </c>
      <c r="B7" s="63" t="n">
        <v>65862555</v>
      </c>
      <c r="C7" s="64" t="n">
        <v>0.1811432649355272</v>
      </c>
      <c r="D7" s="64" t="n">
        <v>0.1933981724049089</v>
      </c>
      <c r="E7" s="64" t="n">
        <v>0.1877369858289548</v>
      </c>
      <c r="F7" s="64" t="n">
        <v>0.184760334335755</v>
      </c>
      <c r="G7" s="63" t="n">
        <v>1155</v>
      </c>
      <c r="H7" s="65" t="n">
        <v>0.832732516222062</v>
      </c>
      <c r="I7" s="65" t="n">
        <v>0.8371161548731643</v>
      </c>
      <c r="J7" s="64" t="n">
        <v>0.2207105110326642</v>
      </c>
      <c r="K7" s="64" t="n">
        <v>0.1911964416503906</v>
      </c>
      <c r="L7" s="66">
        <f>INDEX('Por clase'!$B$5:$B$14,MATCH($A7,'Por clase'!$A$5:$A$14,0))</f>
        <v/>
      </c>
      <c r="M7" s="66">
        <f>INDEX('Por clase'!$C$5:$C$14,MATCH($A7,'Por clase'!$A$5:$A$14,0))</f>
        <v/>
      </c>
      <c r="N7" s="66">
        <f>INDEX('Por clase'!$D$5:$D$14,MATCH($A7,'Por clase'!$A$5:$A$14,0))</f>
        <v/>
      </c>
    </row>
    <row r="8">
      <c r="A8" s="62" t="inlineStr">
        <is>
          <t>Water</t>
        </is>
      </c>
      <c r="B8" s="63" t="n">
        <v>39812323</v>
      </c>
      <c r="C8" s="64" t="n">
        <v>0.1094967265221913</v>
      </c>
      <c r="D8" s="64" t="n">
        <v>0.1147359856812086</v>
      </c>
      <c r="E8" s="64" t="n">
        <v>0.1079680662199925</v>
      </c>
      <c r="F8" s="64" t="n">
        <v>0.1102188578912508</v>
      </c>
      <c r="G8" s="63" t="n">
        <v>699</v>
      </c>
      <c r="H8" s="65" t="n">
        <v>0.5039653929343908</v>
      </c>
      <c r="I8" s="65" t="n">
        <v>0.4842011570983534</v>
      </c>
      <c r="J8" s="64" t="n">
        <v>0.2276303066926844</v>
      </c>
      <c r="K8" s="64" t="n">
        <v>0.1612796783447266</v>
      </c>
      <c r="L8" s="66">
        <f>INDEX('Por clase'!$B$5:$B$14,MATCH($A8,'Por clase'!$A$5:$A$14,0))</f>
        <v/>
      </c>
      <c r="M8" s="66">
        <f>INDEX('Por clase'!$C$5:$C$14,MATCH($A8,'Por clase'!$A$5:$A$14,0))</f>
        <v/>
      </c>
      <c r="N8" s="66">
        <f>INDEX('Por clase'!$D$5:$D$14,MATCH($A8,'Por clase'!$A$5:$A$14,0))</f>
        <v/>
      </c>
    </row>
    <row r="9">
      <c r="A9" s="62" t="inlineStr">
        <is>
          <t>Road-non-flooded</t>
        </is>
      </c>
      <c r="B9" s="63" t="n">
        <v>21268759</v>
      </c>
      <c r="C9" s="64" t="n">
        <v>0.05849594578265113</v>
      </c>
      <c r="D9" s="64" t="n">
        <v>0.06102362426195276</v>
      </c>
      <c r="E9" s="64" t="n">
        <v>0.06322001963154252</v>
      </c>
      <c r="F9" s="64" t="n">
        <v>0.05987977663251523</v>
      </c>
      <c r="G9" s="63" t="n">
        <v>729</v>
      </c>
      <c r="H9" s="65" t="n">
        <v>0.5255948089401586</v>
      </c>
      <c r="I9" s="65" t="n">
        <v>0.5309301290609701</v>
      </c>
      <c r="J9" s="64" t="n">
        <v>0.1127827813019796</v>
      </c>
      <c r="K9" s="64" t="n">
        <v>0.09683990478515625</v>
      </c>
      <c r="L9" s="66">
        <f>INDEX('Por clase'!$B$5:$B$14,MATCH($A9,'Por clase'!$A$5:$A$14,0))</f>
        <v/>
      </c>
      <c r="M9" s="66">
        <f>INDEX('Por clase'!$C$5:$C$14,MATCH($A9,'Por clase'!$A$5:$A$14,0))</f>
        <v/>
      </c>
      <c r="N9" s="66">
        <f>INDEX('Por clase'!$D$5:$D$14,MATCH($A9,'Por clase'!$A$5:$A$14,0))</f>
        <v/>
      </c>
    </row>
    <row r="10">
      <c r="A10" s="62" t="inlineStr">
        <is>
          <t>Building-non-flooded</t>
        </is>
      </c>
      <c r="B10" s="63" t="n">
        <v>12188603</v>
      </c>
      <c r="C10" s="64" t="n">
        <v>0.03352258870648066</v>
      </c>
      <c r="D10" s="64" t="n">
        <v>0.02987097814885153</v>
      </c>
      <c r="E10" s="64" t="n">
        <v>0.03607888736635306</v>
      </c>
      <c r="F10" s="64" t="n">
        <v>0.03330193194061266</v>
      </c>
      <c r="G10" s="63" t="n">
        <v>547</v>
      </c>
      <c r="H10" s="65" t="n">
        <v>0.3943763518385003</v>
      </c>
      <c r="I10" s="65" t="n">
        <v>0.3947485536270583</v>
      </c>
      <c r="J10" s="64" t="n">
        <v>0.08436239128585866</v>
      </c>
      <c r="K10" s="64" t="n">
        <v>0.05766677856445312</v>
      </c>
      <c r="L10" s="66">
        <f>INDEX('Por clase'!$B$5:$B$14,MATCH($A10,'Por clase'!$A$5:$A$14,0))</f>
        <v/>
      </c>
      <c r="M10" s="66">
        <f>INDEX('Por clase'!$C$5:$C$14,MATCH($A10,'Por clase'!$A$5:$A$14,0))</f>
        <v/>
      </c>
      <c r="N10" s="66">
        <f>INDEX('Por clase'!$D$5:$D$14,MATCH($A10,'Por clase'!$A$5:$A$14,0))</f>
        <v/>
      </c>
    </row>
    <row r="11">
      <c r="A11" s="62" t="inlineStr">
        <is>
          <t>Road-flooded</t>
        </is>
      </c>
      <c r="B11" s="63" t="n">
        <v>9974433</v>
      </c>
      <c r="C11" s="64" t="n">
        <v>0.0274329072035038</v>
      </c>
      <c r="D11" s="64" t="n">
        <v>0.02574571706182946</v>
      </c>
      <c r="E11" s="64" t="n">
        <v>0.02320545715905131</v>
      </c>
      <c r="F11" s="64" t="n">
        <v>0.0263055666425677</v>
      </c>
      <c r="G11" s="63" t="n">
        <v>162</v>
      </c>
      <c r="H11" s="65" t="n">
        <v>0.1167988464311464</v>
      </c>
      <c r="I11" s="65" t="n">
        <v>0.1174899866488651</v>
      </c>
      <c r="J11" s="64" t="n">
        <v>0.2238962433554909</v>
      </c>
      <c r="K11" s="64" t="n">
        <v>0.1728839874267578</v>
      </c>
      <c r="L11" s="66">
        <f>INDEX('Por clase'!$B$5:$B$14,MATCH($A11,'Por clase'!$A$5:$A$14,0))</f>
        <v/>
      </c>
      <c r="M11" s="66">
        <f>INDEX('Por clase'!$C$5:$C$14,MATCH($A11,'Por clase'!$A$5:$A$14,0))</f>
        <v/>
      </c>
      <c r="N11" s="66">
        <f>INDEX('Por clase'!$D$5:$D$14,MATCH($A11,'Por clase'!$A$5:$A$14,0))</f>
        <v/>
      </c>
    </row>
    <row r="12">
      <c r="A12" s="62" t="inlineStr">
        <is>
          <t>Building-flooded</t>
        </is>
      </c>
      <c r="B12" s="63" t="n">
        <v>6139265</v>
      </c>
      <c r="C12" s="64" t="n">
        <v>0.01688495847761158</v>
      </c>
      <c r="D12" s="64" t="n">
        <v>0.0180284174905944</v>
      </c>
      <c r="E12" s="64" t="n">
        <v>0.01723247402710534</v>
      </c>
      <c r="F12" s="64" t="n">
        <v>0.01717169761233294</v>
      </c>
      <c r="G12" s="63" t="n">
        <v>152</v>
      </c>
      <c r="H12" s="65" t="n">
        <v>0.1095890410958904</v>
      </c>
      <c r="I12" s="65" t="n">
        <v>0.1103693813974188</v>
      </c>
      <c r="J12" s="64" t="n">
        <v>0.1555838892536779</v>
      </c>
      <c r="K12" s="64" t="n">
        <v>0.1656494140625</v>
      </c>
      <c r="L12" s="66">
        <f>INDEX('Por clase'!$B$5:$B$14,MATCH($A12,'Por clase'!$A$5:$A$14,0))</f>
        <v/>
      </c>
      <c r="M12" s="66">
        <f>INDEX('Por clase'!$C$5:$C$14,MATCH($A12,'Por clase'!$A$5:$A$14,0))</f>
        <v/>
      </c>
      <c r="N12" s="66">
        <f>INDEX('Por clase'!$D$5:$D$14,MATCH($A12,'Por clase'!$A$5:$A$14,0))</f>
        <v/>
      </c>
    </row>
    <row r="13">
      <c r="A13" s="62" t="inlineStr">
        <is>
          <t>Background</t>
        </is>
      </c>
      <c r="B13" s="63" t="n">
        <v>5198925</v>
      </c>
      <c r="C13" s="64" t="n">
        <v>0.01429872024635144</v>
      </c>
      <c r="D13" s="64" t="n">
        <v>0.02347762463828935</v>
      </c>
      <c r="E13" s="64" t="n">
        <v>0.02242236070229973</v>
      </c>
      <c r="F13" s="64" t="n">
        <v>0.01761172217796472</v>
      </c>
      <c r="G13" s="63" t="n">
        <v>103</v>
      </c>
      <c r="H13" s="65" t="n">
        <v>0.07426099495313626</v>
      </c>
      <c r="I13" s="65" t="n">
        <v>0.0787716955941255</v>
      </c>
      <c r="J13" s="64" t="n">
        <v>0.2235793205304334</v>
      </c>
      <c r="K13" s="64" t="n">
        <v>0.1348648071289062</v>
      </c>
      <c r="L13" s="66">
        <f>INDEX('Por clase'!$B$5:$B$14,MATCH($A13,'Por clase'!$A$5:$A$14,0))</f>
        <v/>
      </c>
      <c r="M13" s="66">
        <f>INDEX('Por clase'!$C$5:$C$14,MATCH($A13,'Por clase'!$A$5:$A$14,0))</f>
        <v/>
      </c>
      <c r="N13" s="66">
        <f>INDEX('Por clase'!$D$5:$D$14,MATCH($A13,'Por clase'!$A$5:$A$14,0))</f>
        <v/>
      </c>
    </row>
    <row r="14">
      <c r="A14" s="62" t="inlineStr">
        <is>
          <t>Pool</t>
        </is>
      </c>
      <c r="B14" s="63" t="n">
        <v>766260</v>
      </c>
      <c r="C14" s="64" t="n">
        <v>0.002107462095715799</v>
      </c>
      <c r="D14" s="64" t="n">
        <v>0.00194698984172487</v>
      </c>
      <c r="E14" s="64" t="n">
        <v>0.001955533811184162</v>
      </c>
      <c r="F14" s="64" t="n">
        <v>0.002047663961562465</v>
      </c>
      <c r="G14" s="63" t="n">
        <v>335</v>
      </c>
      <c r="H14" s="65" t="n">
        <v>0.2415284787310742</v>
      </c>
      <c r="I14" s="65" t="n">
        <v>0.2380952380952381</v>
      </c>
      <c r="J14" s="64" t="n">
        <v>0.008600188638562354</v>
      </c>
      <c r="K14" s="64" t="n">
        <v>0.006748199462890625</v>
      </c>
      <c r="L14" s="66">
        <f>INDEX('Por clase'!$B$5:$B$14,MATCH($A14,'Por clase'!$A$5:$A$14,0))</f>
        <v/>
      </c>
      <c r="M14" s="66">
        <f>INDEX('Por clase'!$C$5:$C$14,MATCH($A14,'Por clase'!$A$5:$A$14,0))</f>
        <v/>
      </c>
      <c r="N14" s="66">
        <f>INDEX('Por clase'!$D$5:$D$14,MATCH($A14,'Por clase'!$A$5:$A$14,0))</f>
        <v/>
      </c>
    </row>
    <row r="15">
      <c r="A15" s="62" t="inlineStr">
        <is>
          <t>Vehicle</t>
        </is>
      </c>
      <c r="B15" s="63" t="n">
        <v>687079</v>
      </c>
      <c r="C15" s="64" t="n">
        <v>0.001889688812233857</v>
      </c>
      <c r="D15" s="64" t="n">
        <v>0.001757467946698589</v>
      </c>
      <c r="E15" s="64" t="n">
        <v>0.001686042463275748</v>
      </c>
      <c r="F15" s="64" t="n">
        <v>0.001825542305647982</v>
      </c>
      <c r="G15" s="63" t="n">
        <v>505</v>
      </c>
      <c r="H15" s="65" t="n">
        <v>0.3640951694304254</v>
      </c>
      <c r="I15" s="65" t="n">
        <v>0.3658210947930574</v>
      </c>
      <c r="J15" s="64" t="n">
        <v>0.004990259806315104</v>
      </c>
      <c r="K15" s="64" t="n">
        <v>0.003702163696289062</v>
      </c>
      <c r="L15" s="66">
        <f>INDEX('Por clase'!$B$5:$B$14,MATCH($A15,'Por clase'!$A$5:$A$14,0))</f>
        <v/>
      </c>
      <c r="M15" s="66">
        <f>INDEX('Por clase'!$C$5:$C$14,MATCH($A15,'Por clase'!$A$5:$A$14,0))</f>
        <v/>
      </c>
      <c r="N15" s="66">
        <f>INDEX('Por clase'!$D$5:$D$14,MATCH($A15,'Por clase'!$A$5:$A$14,0))</f>
        <v/>
      </c>
    </row>
    <row r="16">
      <c r="A16" s="67" t="inlineStr">
        <is>
          <t>Total</t>
        </is>
      </c>
      <c r="B16" s="68">
        <f>SUM(B6:B15)</f>
        <v/>
      </c>
      <c r="C16" s="69">
        <f>SUM(C6:C15)</f>
        <v/>
      </c>
      <c r="D16" s="69">
        <f>SUM(D6:D15)</f>
        <v/>
      </c>
      <c r="E16" s="69">
        <f>SUM(E6:E15)</f>
        <v/>
      </c>
      <c r="F16" s="69">
        <f>SUM(F6:F15)</f>
        <v/>
      </c>
      <c r="G16" s="70" t="n"/>
      <c r="H16" s="70" t="n"/>
      <c r="I16" s="70" t="n"/>
      <c r="J16" s="70" t="n"/>
      <c r="K16" s="70" t="n"/>
      <c r="L16" s="70" t="n"/>
      <c r="M16" s="70" t="n"/>
      <c r="N16" s="70" t="n"/>
    </row>
    <row r="18">
      <c r="A18" s="57" t="inlineStr">
        <is>
          <t>% píxeles: parte de todos los píxeles de la partición que son de la clase. Como todas las máscaras miden 512×512, coincide con la media por imagen del % que ocupa la clase.</t>
        </is>
      </c>
    </row>
    <row r="19">
      <c r="A19" s="57" t="inlineStr">
        <is>
          <t>Imágenes en que aparece: imágenes con al menos un píxel de la clase. Es el recuento que usan el oversampling y los pesos de la pérdida.</t>
        </is>
      </c>
    </row>
    <row r="20">
      <c r="A20" s="57" t="inlineStr">
        <is>
          <t>Parte de la imagen cuando aparece: % de la imagen que ocupa la clase, solo en las imágenes en que aparece. Separa las clases escasas (salen en pocas fotos) de las pequeñas (salen a menudo y ocupan poco).</t>
        </is>
      </c>
    </row>
    <row r="21">
      <c r="A21" s="57" t="inlineStr">
        <is>
          <t>IoU test: fórmulas enlazadas a la hoja «Por clase» (426 imágenes de test).</t>
        </is>
      </c>
    </row>
    <row r="23">
      <c r="A23" s="71" t="inlineStr">
        <is>
          <t>Correlación de Spearman entre la representación en train y la IoU de test</t>
        </is>
      </c>
    </row>
    <row r="24">
      <c r="A24" s="58" t="inlineStr">
        <is>
          <t>Variable</t>
        </is>
      </c>
      <c r="B24" s="58" t="inlineStr">
        <is>
          <t>Clases</t>
        </is>
      </c>
      <c r="C24" s="58" t="inlineStr">
        <is>
          <t>n</t>
        </is>
      </c>
      <c r="D24" s="59" t="inlineStr">
        <is>
          <t>ρ U-Net</t>
        </is>
      </c>
      <c r="E24" s="60" t="inlineStr">
        <is>
          <t>ρ DeepLabV3+</t>
        </is>
      </c>
      <c r="F24" s="61" t="inlineStr">
        <is>
          <t>ρ YOLO11n-seg</t>
        </is>
      </c>
      <c r="G24" s="59" t="inlineStr">
        <is>
          <t>p U-Net</t>
        </is>
      </c>
      <c r="H24" s="60" t="inlineStr">
        <is>
          <t>p DeepLabV3+</t>
        </is>
      </c>
      <c r="I24" s="61" t="inlineStr">
        <is>
          <t>p YOLO11n-seg</t>
        </is>
      </c>
    </row>
    <row r="25">
      <c r="A25" s="62" t="inlineStr">
        <is>
          <t>% píxeles train</t>
        </is>
      </c>
      <c r="B25" s="72" t="inlineStr">
        <is>
          <t>10 clases</t>
        </is>
      </c>
      <c r="C25" s="72" t="n">
        <v>10</v>
      </c>
      <c r="D25" s="66" t="n">
        <v>0.8545454545454544</v>
      </c>
      <c r="E25" s="66" t="n">
        <v>0.8545454545454544</v>
      </c>
      <c r="F25" s="66" t="n">
        <v>0.8787878787878788</v>
      </c>
      <c r="G25" s="66" t="n">
        <v>0.001636803315986716</v>
      </c>
      <c r="H25" s="66" t="n">
        <v>0.001636803315986716</v>
      </c>
      <c r="I25" s="66" t="n">
        <v>0.0008138621117322101</v>
      </c>
    </row>
    <row r="26">
      <c r="A26" s="62" t="inlineStr">
        <is>
          <t>% píxeles train</t>
        </is>
      </c>
      <c r="B26" s="72" t="inlineStr">
        <is>
          <t>sin Background</t>
        </is>
      </c>
      <c r="C26" s="72" t="n">
        <v>9</v>
      </c>
      <c r="D26" s="66" t="n">
        <v>0.8666666666666667</v>
      </c>
      <c r="E26" s="66" t="n">
        <v>0.8666666666666667</v>
      </c>
      <c r="F26" s="66" t="n">
        <v>0.9</v>
      </c>
      <c r="G26" s="66" t="n">
        <v>0.002495398285990204</v>
      </c>
      <c r="H26" s="66" t="n">
        <v>0.002495398285990204</v>
      </c>
      <c r="I26" s="66" t="n">
        <v>0.0009430623223403288</v>
      </c>
    </row>
    <row r="27">
      <c r="A27" s="62" t="inlineStr">
        <is>
          <t>% imágenes train</t>
        </is>
      </c>
      <c r="B27" s="72" t="inlineStr">
        <is>
          <t>10 clases</t>
        </is>
      </c>
      <c r="C27" s="72" t="n">
        <v>10</v>
      </c>
      <c r="D27" s="66" t="n">
        <v>0.8666666666666665</v>
      </c>
      <c r="E27" s="66" t="n">
        <v>0.8666666666666665</v>
      </c>
      <c r="F27" s="66" t="n">
        <v>0.8787878787878788</v>
      </c>
      <c r="G27" s="66" t="n">
        <v>0.001173538180155468</v>
      </c>
      <c r="H27" s="66" t="n">
        <v>0.001173538180155468</v>
      </c>
      <c r="I27" s="66" t="n">
        <v>0.0008138621117322101</v>
      </c>
    </row>
    <row r="28">
      <c r="A28" s="62" t="inlineStr">
        <is>
          <t>% imágenes train</t>
        </is>
      </c>
      <c r="B28" s="72" t="inlineStr">
        <is>
          <t>sin Background</t>
        </is>
      </c>
      <c r="C28" s="72" t="n">
        <v>9</v>
      </c>
      <c r="D28" s="66" t="n">
        <v>0.8166666666666667</v>
      </c>
      <c r="E28" s="66" t="n">
        <v>0.8166666666666667</v>
      </c>
      <c r="F28" s="66" t="n">
        <v>0.8333333333333333</v>
      </c>
      <c r="G28" s="66" t="n">
        <v>0.007224785246358788</v>
      </c>
      <c r="H28" s="66" t="n">
        <v>0.007224785246358788</v>
      </c>
      <c r="I28" s="66" t="n">
        <v>0.005265691029161747</v>
      </c>
    </row>
    <row r="29">
      <c r="A29" s="62" t="inlineStr">
        <is>
          <t>% medio cuando aparece</t>
        </is>
      </c>
      <c r="B29" s="72" t="inlineStr">
        <is>
          <t>10 clases</t>
        </is>
      </c>
      <c r="C29" s="72" t="n">
        <v>10</v>
      </c>
      <c r="D29" s="66" t="n">
        <v>0.2727272727272727</v>
      </c>
      <c r="E29" s="66" t="n">
        <v>0.2727272727272727</v>
      </c>
      <c r="F29" s="66" t="n">
        <v>0.2969696969696969</v>
      </c>
      <c r="G29" s="66" t="n">
        <v>0.4458383415427516</v>
      </c>
      <c r="H29" s="66" t="n">
        <v>0.4458383415427516</v>
      </c>
      <c r="I29" s="66" t="n">
        <v>0.404701671270157</v>
      </c>
    </row>
    <row r="30">
      <c r="A30" s="62" t="inlineStr">
        <is>
          <t>% medio cuando aparece</t>
        </is>
      </c>
      <c r="B30" s="72" t="inlineStr">
        <is>
          <t>sin Background</t>
        </is>
      </c>
      <c r="C30" s="72" t="n">
        <v>9</v>
      </c>
      <c r="D30" s="66" t="n">
        <v>0.4833333333333333</v>
      </c>
      <c r="E30" s="66" t="n">
        <v>0.4833333333333333</v>
      </c>
      <c r="F30" s="66" t="n">
        <v>0.5166666666666667</v>
      </c>
      <c r="G30" s="66" t="n">
        <v>0.1874698552155422</v>
      </c>
      <c r="H30" s="66" t="n">
        <v>0.1874698552155422</v>
      </c>
      <c r="I30" s="66" t="n">
        <v>0.1543901209862251</v>
      </c>
    </row>
    <row r="31">
      <c r="A31" s="57" t="inlineStr">
        <is>
          <t>Con 10 clases, |ρ| ≥ 0,65 es significativo al 5 % (0,70 con 9). Correlación no implica causa: las clases con pocos píxeles suelen ser también objetos pequeños o de borde ambiguo.</t>
        </is>
      </c>
    </row>
  </sheetData>
  <mergeCells count="4">
    <mergeCell ref="B4:F4"/>
    <mergeCell ref="L4:N4"/>
    <mergeCell ref="J4:K4"/>
    <mergeCell ref="G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4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9" min="1" max="1"/>
    <col width="13" customWidth="1" style="29" min="2" max="4"/>
    <col width="14" customWidth="1" style="29" min="5" max="5"/>
    <col width="13" customWidth="1" style="29" min="6" max="15"/>
  </cols>
  <sheetData>
    <row r="1" ht="17.35" customHeight="1" s="30">
      <c r="A1" s="31" t="inlineStr">
        <is>
          <t>Comparación de las tres arquitecturas, imagen a imagen</t>
        </is>
      </c>
    </row>
    <row r="2" ht="15" customHeight="1" s="30">
      <c r="A2" s="32" t="inlineStr">
        <is>
          <t>Cada valor se lee de la hoja del modelo. «Mejor modelo» es el de mayor Mean_IoU en esa imagen.</t>
        </is>
      </c>
    </row>
    <row r="3" ht="15" customHeight="1" s="30">
      <c r="A3" s="38" t="n"/>
      <c r="B3" s="38" t="inlineStr">
        <is>
          <t>Mean_IoU</t>
        </is>
      </c>
      <c r="C3" s="39" t="n"/>
      <c r="D3" s="40" t="n"/>
      <c r="E3" s="38" t="inlineStr">
        <is>
          <t>Mean_IoU</t>
        </is>
      </c>
      <c r="F3" s="40" t="n"/>
      <c r="G3" s="38" t="inlineStr">
        <is>
          <t>Precisión</t>
        </is>
      </c>
      <c r="H3" s="39" t="n"/>
      <c r="I3" s="40" t="n"/>
      <c r="J3" s="38" t="inlineStr">
        <is>
          <t>Recall</t>
        </is>
      </c>
      <c r="K3" s="39" t="n"/>
      <c r="L3" s="40" t="n"/>
      <c r="M3" s="38" t="inlineStr">
        <is>
          <t>Pixel accuracy</t>
        </is>
      </c>
      <c r="N3" s="39" t="n"/>
      <c r="O3" s="40" t="n"/>
    </row>
    <row r="4" ht="31.5" customHeight="1" s="30">
      <c r="A4" s="38" t="inlineStr">
        <is>
          <t>Imagen</t>
        </is>
      </c>
      <c r="B4" s="41" t="inlineStr">
        <is>
          <t>U-Net</t>
        </is>
      </c>
      <c r="C4" s="42" t="inlineStr">
        <is>
          <t>DeepLabV3+</t>
        </is>
      </c>
      <c r="D4" s="43" t="inlineStr">
        <is>
          <t>YOLO11n-seg</t>
        </is>
      </c>
      <c r="E4" s="38" t="inlineStr">
        <is>
          <t>Mejor modelo</t>
        </is>
      </c>
      <c r="F4" s="38" t="inlineStr">
        <is>
          <t>Diferencia
mejor − peor</t>
        </is>
      </c>
      <c r="G4" s="41" t="inlineStr">
        <is>
          <t>U-Net</t>
        </is>
      </c>
      <c r="H4" s="42" t="inlineStr">
        <is>
          <t>DeepLabV3+</t>
        </is>
      </c>
      <c r="I4" s="43" t="inlineStr">
        <is>
          <t>YOLO11n-seg</t>
        </is>
      </c>
      <c r="J4" s="41" t="inlineStr">
        <is>
          <t>U-Net</t>
        </is>
      </c>
      <c r="K4" s="42" t="inlineStr">
        <is>
          <t>DeepLabV3+</t>
        </is>
      </c>
      <c r="L4" s="43" t="inlineStr">
        <is>
          <t>YOLO11n-seg</t>
        </is>
      </c>
      <c r="M4" s="41" t="inlineStr">
        <is>
          <t>U-Net</t>
        </is>
      </c>
      <c r="N4" s="42" t="inlineStr">
        <is>
          <t>DeepLabV3+</t>
        </is>
      </c>
      <c r="O4" s="43" t="inlineStr">
        <is>
          <t>YOLO11n-seg</t>
        </is>
      </c>
    </row>
    <row r="5" ht="15" customHeight="1" s="30">
      <c r="A5" s="73">
        <f>'U-Net'!A5</f>
        <v/>
      </c>
      <c r="B5" s="45">
        <f>'U-Net'!AH5</f>
        <v/>
      </c>
      <c r="C5" s="45">
        <f>'DeepLabV3+'!AH5</f>
        <v/>
      </c>
      <c r="D5" s="45">
        <f>'YOLO11n-seg'!AH5</f>
        <v/>
      </c>
      <c r="E5" s="46">
        <f>INDEX($B$4:$D$4,MATCH(MAX(B5:D5),B5:D5,0))</f>
        <v/>
      </c>
      <c r="F5" s="45">
        <f>MAX(B5:D5)-MIN(B5:D5)</f>
        <v/>
      </c>
      <c r="G5" s="45">
        <f>'U-Net'!AF5</f>
        <v/>
      </c>
      <c r="H5" s="45">
        <f>'DeepLabV3+'!AF5</f>
        <v/>
      </c>
      <c r="I5" s="45">
        <f>'YOLO11n-seg'!AF5</f>
        <v/>
      </c>
      <c r="J5" s="45">
        <f>'U-Net'!AG5</f>
        <v/>
      </c>
      <c r="K5" s="45">
        <f>'DeepLabV3+'!AG5</f>
        <v/>
      </c>
      <c r="L5" s="45">
        <f>'YOLO11n-seg'!AG5</f>
        <v/>
      </c>
      <c r="M5" s="45">
        <f>'U-Net'!AI5</f>
        <v/>
      </c>
      <c r="N5" s="45">
        <f>'DeepLabV3+'!AI5</f>
        <v/>
      </c>
      <c r="O5" s="45">
        <f>'YOLO11n-seg'!AI5</f>
        <v/>
      </c>
    </row>
    <row r="6" ht="15" customHeight="1" s="30">
      <c r="A6" s="73">
        <f>'U-Net'!A6</f>
        <v/>
      </c>
      <c r="B6" s="45">
        <f>'U-Net'!AH6</f>
        <v/>
      </c>
      <c r="C6" s="45">
        <f>'DeepLabV3+'!AH6</f>
        <v/>
      </c>
      <c r="D6" s="45">
        <f>'YOLO11n-seg'!AH6</f>
        <v/>
      </c>
      <c r="E6" s="46">
        <f>INDEX($B$4:$D$4,MATCH(MAX(B6:D6),B6:D6,0))</f>
        <v/>
      </c>
      <c r="F6" s="45">
        <f>MAX(B6:D6)-MIN(B6:D6)</f>
        <v/>
      </c>
      <c r="G6" s="45">
        <f>'U-Net'!AF6</f>
        <v/>
      </c>
      <c r="H6" s="45">
        <f>'DeepLabV3+'!AF6</f>
        <v/>
      </c>
      <c r="I6" s="45">
        <f>'YOLO11n-seg'!AF6</f>
        <v/>
      </c>
      <c r="J6" s="45">
        <f>'U-Net'!AG6</f>
        <v/>
      </c>
      <c r="K6" s="45">
        <f>'DeepLabV3+'!AG6</f>
        <v/>
      </c>
      <c r="L6" s="45">
        <f>'YOLO11n-seg'!AG6</f>
        <v/>
      </c>
      <c r="M6" s="45">
        <f>'U-Net'!AI6</f>
        <v/>
      </c>
      <c r="N6" s="45">
        <f>'DeepLabV3+'!AI6</f>
        <v/>
      </c>
      <c r="O6" s="45">
        <f>'YOLO11n-seg'!AI6</f>
        <v/>
      </c>
    </row>
    <row r="7" ht="15" customHeight="1" s="30">
      <c r="A7" s="73">
        <f>'U-Net'!A7</f>
        <v/>
      </c>
      <c r="B7" s="45">
        <f>'U-Net'!AH7</f>
        <v/>
      </c>
      <c r="C7" s="45">
        <f>'DeepLabV3+'!AH7</f>
        <v/>
      </c>
      <c r="D7" s="45">
        <f>'YOLO11n-seg'!AH7</f>
        <v/>
      </c>
      <c r="E7" s="46">
        <f>INDEX($B$4:$D$4,MATCH(MAX(B7:D7),B7:D7,0))</f>
        <v/>
      </c>
      <c r="F7" s="45">
        <f>MAX(B7:D7)-MIN(B7:D7)</f>
        <v/>
      </c>
      <c r="G7" s="45">
        <f>'U-Net'!AF7</f>
        <v/>
      </c>
      <c r="H7" s="45">
        <f>'DeepLabV3+'!AF7</f>
        <v/>
      </c>
      <c r="I7" s="45">
        <f>'YOLO11n-seg'!AF7</f>
        <v/>
      </c>
      <c r="J7" s="45">
        <f>'U-Net'!AG7</f>
        <v/>
      </c>
      <c r="K7" s="45">
        <f>'DeepLabV3+'!AG7</f>
        <v/>
      </c>
      <c r="L7" s="45">
        <f>'YOLO11n-seg'!AG7</f>
        <v/>
      </c>
      <c r="M7" s="45">
        <f>'U-Net'!AI7</f>
        <v/>
      </c>
      <c r="N7" s="45">
        <f>'DeepLabV3+'!AI7</f>
        <v/>
      </c>
      <c r="O7" s="45">
        <f>'YOLO11n-seg'!AI7</f>
        <v/>
      </c>
    </row>
    <row r="8" ht="15" customHeight="1" s="30">
      <c r="A8" s="73">
        <f>'U-Net'!A8</f>
        <v/>
      </c>
      <c r="B8" s="45">
        <f>'U-Net'!AH8</f>
        <v/>
      </c>
      <c r="C8" s="45">
        <f>'DeepLabV3+'!AH8</f>
        <v/>
      </c>
      <c r="D8" s="45">
        <f>'YOLO11n-seg'!AH8</f>
        <v/>
      </c>
      <c r="E8" s="46">
        <f>INDEX($B$4:$D$4,MATCH(MAX(B8:D8),B8:D8,0))</f>
        <v/>
      </c>
      <c r="F8" s="45">
        <f>MAX(B8:D8)-MIN(B8:D8)</f>
        <v/>
      </c>
      <c r="G8" s="45">
        <f>'U-Net'!AF8</f>
        <v/>
      </c>
      <c r="H8" s="45">
        <f>'DeepLabV3+'!AF8</f>
        <v/>
      </c>
      <c r="I8" s="45">
        <f>'YOLO11n-seg'!AF8</f>
        <v/>
      </c>
      <c r="J8" s="45">
        <f>'U-Net'!AG8</f>
        <v/>
      </c>
      <c r="K8" s="45">
        <f>'DeepLabV3+'!AG8</f>
        <v/>
      </c>
      <c r="L8" s="45">
        <f>'YOLO11n-seg'!AG8</f>
        <v/>
      </c>
      <c r="M8" s="45">
        <f>'U-Net'!AI8</f>
        <v/>
      </c>
      <c r="N8" s="45">
        <f>'DeepLabV3+'!AI8</f>
        <v/>
      </c>
      <c r="O8" s="45">
        <f>'YOLO11n-seg'!AI8</f>
        <v/>
      </c>
    </row>
    <row r="9" ht="15" customHeight="1" s="30">
      <c r="A9" s="73">
        <f>'U-Net'!A9</f>
        <v/>
      </c>
      <c r="B9" s="45">
        <f>'U-Net'!AH9</f>
        <v/>
      </c>
      <c r="C9" s="45">
        <f>'DeepLabV3+'!AH9</f>
        <v/>
      </c>
      <c r="D9" s="45">
        <f>'YOLO11n-seg'!AH9</f>
        <v/>
      </c>
      <c r="E9" s="46">
        <f>INDEX($B$4:$D$4,MATCH(MAX(B9:D9),B9:D9,0))</f>
        <v/>
      </c>
      <c r="F9" s="45">
        <f>MAX(B9:D9)-MIN(B9:D9)</f>
        <v/>
      </c>
      <c r="G9" s="45">
        <f>'U-Net'!AF9</f>
        <v/>
      </c>
      <c r="H9" s="45">
        <f>'DeepLabV3+'!AF9</f>
        <v/>
      </c>
      <c r="I9" s="45">
        <f>'YOLO11n-seg'!AF9</f>
        <v/>
      </c>
      <c r="J9" s="45">
        <f>'U-Net'!AG9</f>
        <v/>
      </c>
      <c r="K9" s="45">
        <f>'DeepLabV3+'!AG9</f>
        <v/>
      </c>
      <c r="L9" s="45">
        <f>'YOLO11n-seg'!AG9</f>
        <v/>
      </c>
      <c r="M9" s="45">
        <f>'U-Net'!AI9</f>
        <v/>
      </c>
      <c r="N9" s="45">
        <f>'DeepLabV3+'!AI9</f>
        <v/>
      </c>
      <c r="O9" s="45">
        <f>'YOLO11n-seg'!AI9</f>
        <v/>
      </c>
    </row>
    <row r="10" ht="15" customHeight="1" s="30">
      <c r="A10" s="73">
        <f>'U-Net'!A10</f>
        <v/>
      </c>
      <c r="B10" s="45">
        <f>'U-Net'!AH10</f>
        <v/>
      </c>
      <c r="C10" s="45">
        <f>'DeepLabV3+'!AH10</f>
        <v/>
      </c>
      <c r="D10" s="45">
        <f>'YOLO11n-seg'!AH10</f>
        <v/>
      </c>
      <c r="E10" s="46">
        <f>INDEX($B$4:$D$4,MATCH(MAX(B10:D10),B10:D10,0))</f>
        <v/>
      </c>
      <c r="F10" s="45">
        <f>MAX(B10:D10)-MIN(B10:D10)</f>
        <v/>
      </c>
      <c r="G10" s="45">
        <f>'U-Net'!AF10</f>
        <v/>
      </c>
      <c r="H10" s="45">
        <f>'DeepLabV3+'!AF10</f>
        <v/>
      </c>
      <c r="I10" s="45">
        <f>'YOLO11n-seg'!AF10</f>
        <v/>
      </c>
      <c r="J10" s="45">
        <f>'U-Net'!AG10</f>
        <v/>
      </c>
      <c r="K10" s="45">
        <f>'DeepLabV3+'!AG10</f>
        <v/>
      </c>
      <c r="L10" s="45">
        <f>'YOLO11n-seg'!AG10</f>
        <v/>
      </c>
      <c r="M10" s="45">
        <f>'U-Net'!AI10</f>
        <v/>
      </c>
      <c r="N10" s="45">
        <f>'DeepLabV3+'!AI10</f>
        <v/>
      </c>
      <c r="O10" s="45">
        <f>'YOLO11n-seg'!AI10</f>
        <v/>
      </c>
    </row>
    <row r="11" ht="15" customHeight="1" s="30">
      <c r="A11" s="73">
        <f>'U-Net'!A11</f>
        <v/>
      </c>
      <c r="B11" s="45">
        <f>'U-Net'!AH11</f>
        <v/>
      </c>
      <c r="C11" s="45">
        <f>'DeepLabV3+'!AH11</f>
        <v/>
      </c>
      <c r="D11" s="45">
        <f>'YOLO11n-seg'!AH11</f>
        <v/>
      </c>
      <c r="E11" s="46">
        <f>INDEX($B$4:$D$4,MATCH(MAX(B11:D11),B11:D11,0))</f>
        <v/>
      </c>
      <c r="F11" s="45">
        <f>MAX(B11:D11)-MIN(B11:D11)</f>
        <v/>
      </c>
      <c r="G11" s="45">
        <f>'U-Net'!AF11</f>
        <v/>
      </c>
      <c r="H11" s="45">
        <f>'DeepLabV3+'!AF11</f>
        <v/>
      </c>
      <c r="I11" s="45">
        <f>'YOLO11n-seg'!AF11</f>
        <v/>
      </c>
      <c r="J11" s="45">
        <f>'U-Net'!AG11</f>
        <v/>
      </c>
      <c r="K11" s="45">
        <f>'DeepLabV3+'!AG11</f>
        <v/>
      </c>
      <c r="L11" s="45">
        <f>'YOLO11n-seg'!AG11</f>
        <v/>
      </c>
      <c r="M11" s="45">
        <f>'U-Net'!AI11</f>
        <v/>
      </c>
      <c r="N11" s="45">
        <f>'DeepLabV3+'!AI11</f>
        <v/>
      </c>
      <c r="O11" s="45">
        <f>'YOLO11n-seg'!AI11</f>
        <v/>
      </c>
    </row>
    <row r="12" ht="15" customHeight="1" s="30">
      <c r="A12" s="73">
        <f>'U-Net'!A12</f>
        <v/>
      </c>
      <c r="B12" s="45">
        <f>'U-Net'!AH12</f>
        <v/>
      </c>
      <c r="C12" s="45">
        <f>'DeepLabV3+'!AH12</f>
        <v/>
      </c>
      <c r="D12" s="45">
        <f>'YOLO11n-seg'!AH12</f>
        <v/>
      </c>
      <c r="E12" s="46">
        <f>INDEX($B$4:$D$4,MATCH(MAX(B12:D12),B12:D12,0))</f>
        <v/>
      </c>
      <c r="F12" s="45">
        <f>MAX(B12:D12)-MIN(B12:D12)</f>
        <v/>
      </c>
      <c r="G12" s="45">
        <f>'U-Net'!AF12</f>
        <v/>
      </c>
      <c r="H12" s="45">
        <f>'DeepLabV3+'!AF12</f>
        <v/>
      </c>
      <c r="I12" s="45">
        <f>'YOLO11n-seg'!AF12</f>
        <v/>
      </c>
      <c r="J12" s="45">
        <f>'U-Net'!AG12</f>
        <v/>
      </c>
      <c r="K12" s="45">
        <f>'DeepLabV3+'!AG12</f>
        <v/>
      </c>
      <c r="L12" s="45">
        <f>'YOLO11n-seg'!AG12</f>
        <v/>
      </c>
      <c r="M12" s="45">
        <f>'U-Net'!AI12</f>
        <v/>
      </c>
      <c r="N12" s="45">
        <f>'DeepLabV3+'!AI12</f>
        <v/>
      </c>
      <c r="O12" s="45">
        <f>'YOLO11n-seg'!AI12</f>
        <v/>
      </c>
    </row>
    <row r="13" ht="15" customHeight="1" s="30">
      <c r="A13" s="73">
        <f>'U-Net'!A13</f>
        <v/>
      </c>
      <c r="B13" s="45">
        <f>'U-Net'!AH13</f>
        <v/>
      </c>
      <c r="C13" s="45">
        <f>'DeepLabV3+'!AH13</f>
        <v/>
      </c>
      <c r="D13" s="45">
        <f>'YOLO11n-seg'!AH13</f>
        <v/>
      </c>
      <c r="E13" s="46">
        <f>INDEX($B$4:$D$4,MATCH(MAX(B13:D13),B13:D13,0))</f>
        <v/>
      </c>
      <c r="F13" s="45">
        <f>MAX(B13:D13)-MIN(B13:D13)</f>
        <v/>
      </c>
      <c r="G13" s="45">
        <f>'U-Net'!AF13</f>
        <v/>
      </c>
      <c r="H13" s="45">
        <f>'DeepLabV3+'!AF13</f>
        <v/>
      </c>
      <c r="I13" s="45">
        <f>'YOLO11n-seg'!AF13</f>
        <v/>
      </c>
      <c r="J13" s="45">
        <f>'U-Net'!AG13</f>
        <v/>
      </c>
      <c r="K13" s="45">
        <f>'DeepLabV3+'!AG13</f>
        <v/>
      </c>
      <c r="L13" s="45">
        <f>'YOLO11n-seg'!AG13</f>
        <v/>
      </c>
      <c r="M13" s="45">
        <f>'U-Net'!AI13</f>
        <v/>
      </c>
      <c r="N13" s="45">
        <f>'DeepLabV3+'!AI13</f>
        <v/>
      </c>
      <c r="O13" s="45">
        <f>'YOLO11n-seg'!AI13</f>
        <v/>
      </c>
    </row>
    <row r="14" ht="15" customHeight="1" s="30">
      <c r="A14" s="73">
        <f>'U-Net'!A14</f>
        <v/>
      </c>
      <c r="B14" s="45">
        <f>'U-Net'!AH14</f>
        <v/>
      </c>
      <c r="C14" s="45">
        <f>'DeepLabV3+'!AH14</f>
        <v/>
      </c>
      <c r="D14" s="45">
        <f>'YOLO11n-seg'!AH14</f>
        <v/>
      </c>
      <c r="E14" s="46">
        <f>INDEX($B$4:$D$4,MATCH(MAX(B14:D14),B14:D14,0))</f>
        <v/>
      </c>
      <c r="F14" s="45">
        <f>MAX(B14:D14)-MIN(B14:D14)</f>
        <v/>
      </c>
      <c r="G14" s="45">
        <f>'U-Net'!AF14</f>
        <v/>
      </c>
      <c r="H14" s="45">
        <f>'DeepLabV3+'!AF14</f>
        <v/>
      </c>
      <c r="I14" s="45">
        <f>'YOLO11n-seg'!AF14</f>
        <v/>
      </c>
      <c r="J14" s="45">
        <f>'U-Net'!AG14</f>
        <v/>
      </c>
      <c r="K14" s="45">
        <f>'DeepLabV3+'!AG14</f>
        <v/>
      </c>
      <c r="L14" s="45">
        <f>'YOLO11n-seg'!AG14</f>
        <v/>
      </c>
      <c r="M14" s="45">
        <f>'U-Net'!AI14</f>
        <v/>
      </c>
      <c r="N14" s="45">
        <f>'DeepLabV3+'!AI14</f>
        <v/>
      </c>
      <c r="O14" s="45">
        <f>'YOLO11n-seg'!AI14</f>
        <v/>
      </c>
    </row>
    <row r="15" ht="15" customHeight="1" s="30">
      <c r="A15" s="73">
        <f>'U-Net'!A15</f>
        <v/>
      </c>
      <c r="B15" s="45">
        <f>'U-Net'!AH15</f>
        <v/>
      </c>
      <c r="C15" s="45">
        <f>'DeepLabV3+'!AH15</f>
        <v/>
      </c>
      <c r="D15" s="45">
        <f>'YOLO11n-seg'!AH15</f>
        <v/>
      </c>
      <c r="E15" s="46">
        <f>INDEX($B$4:$D$4,MATCH(MAX(B15:D15),B15:D15,0))</f>
        <v/>
      </c>
      <c r="F15" s="45">
        <f>MAX(B15:D15)-MIN(B15:D15)</f>
        <v/>
      </c>
      <c r="G15" s="45">
        <f>'U-Net'!AF15</f>
        <v/>
      </c>
      <c r="H15" s="45">
        <f>'DeepLabV3+'!AF15</f>
        <v/>
      </c>
      <c r="I15" s="45">
        <f>'YOLO11n-seg'!AF15</f>
        <v/>
      </c>
      <c r="J15" s="45">
        <f>'U-Net'!AG15</f>
        <v/>
      </c>
      <c r="K15" s="45">
        <f>'DeepLabV3+'!AG15</f>
        <v/>
      </c>
      <c r="L15" s="45">
        <f>'YOLO11n-seg'!AG15</f>
        <v/>
      </c>
      <c r="M15" s="45">
        <f>'U-Net'!AI15</f>
        <v/>
      </c>
      <c r="N15" s="45">
        <f>'DeepLabV3+'!AI15</f>
        <v/>
      </c>
      <c r="O15" s="45">
        <f>'YOLO11n-seg'!AI15</f>
        <v/>
      </c>
    </row>
    <row r="16" ht="15" customHeight="1" s="30">
      <c r="A16" s="73">
        <f>'U-Net'!A16</f>
        <v/>
      </c>
      <c r="B16" s="45">
        <f>'U-Net'!AH16</f>
        <v/>
      </c>
      <c r="C16" s="45">
        <f>'DeepLabV3+'!AH16</f>
        <v/>
      </c>
      <c r="D16" s="45">
        <f>'YOLO11n-seg'!AH16</f>
        <v/>
      </c>
      <c r="E16" s="46">
        <f>INDEX($B$4:$D$4,MATCH(MAX(B16:D16),B16:D16,0))</f>
        <v/>
      </c>
      <c r="F16" s="45">
        <f>MAX(B16:D16)-MIN(B16:D16)</f>
        <v/>
      </c>
      <c r="G16" s="45">
        <f>'U-Net'!AF16</f>
        <v/>
      </c>
      <c r="H16" s="45">
        <f>'DeepLabV3+'!AF16</f>
        <v/>
      </c>
      <c r="I16" s="45">
        <f>'YOLO11n-seg'!AF16</f>
        <v/>
      </c>
      <c r="J16" s="45">
        <f>'U-Net'!AG16</f>
        <v/>
      </c>
      <c r="K16" s="45">
        <f>'DeepLabV3+'!AG16</f>
        <v/>
      </c>
      <c r="L16" s="45">
        <f>'YOLO11n-seg'!AG16</f>
        <v/>
      </c>
      <c r="M16" s="45">
        <f>'U-Net'!AI16</f>
        <v/>
      </c>
      <c r="N16" s="45">
        <f>'DeepLabV3+'!AI16</f>
        <v/>
      </c>
      <c r="O16" s="45">
        <f>'YOLO11n-seg'!AI16</f>
        <v/>
      </c>
    </row>
    <row r="17" ht="15" customHeight="1" s="30">
      <c r="A17" s="73">
        <f>'U-Net'!A17</f>
        <v/>
      </c>
      <c r="B17" s="45">
        <f>'U-Net'!AH17</f>
        <v/>
      </c>
      <c r="C17" s="45">
        <f>'DeepLabV3+'!AH17</f>
        <v/>
      </c>
      <c r="D17" s="45">
        <f>'YOLO11n-seg'!AH17</f>
        <v/>
      </c>
      <c r="E17" s="46">
        <f>INDEX($B$4:$D$4,MATCH(MAX(B17:D17),B17:D17,0))</f>
        <v/>
      </c>
      <c r="F17" s="45">
        <f>MAX(B17:D17)-MIN(B17:D17)</f>
        <v/>
      </c>
      <c r="G17" s="45">
        <f>'U-Net'!AF17</f>
        <v/>
      </c>
      <c r="H17" s="45">
        <f>'DeepLabV3+'!AF17</f>
        <v/>
      </c>
      <c r="I17" s="45">
        <f>'YOLO11n-seg'!AF17</f>
        <v/>
      </c>
      <c r="J17" s="45">
        <f>'U-Net'!AG17</f>
        <v/>
      </c>
      <c r="K17" s="45">
        <f>'DeepLabV3+'!AG17</f>
        <v/>
      </c>
      <c r="L17" s="45">
        <f>'YOLO11n-seg'!AG17</f>
        <v/>
      </c>
      <c r="M17" s="45">
        <f>'U-Net'!AI17</f>
        <v/>
      </c>
      <c r="N17" s="45">
        <f>'DeepLabV3+'!AI17</f>
        <v/>
      </c>
      <c r="O17" s="45">
        <f>'YOLO11n-seg'!AI17</f>
        <v/>
      </c>
    </row>
    <row r="18" ht="15" customHeight="1" s="30">
      <c r="A18" s="73">
        <f>'U-Net'!A18</f>
        <v/>
      </c>
      <c r="B18" s="45">
        <f>'U-Net'!AH18</f>
        <v/>
      </c>
      <c r="C18" s="45">
        <f>'DeepLabV3+'!AH18</f>
        <v/>
      </c>
      <c r="D18" s="45">
        <f>'YOLO11n-seg'!AH18</f>
        <v/>
      </c>
      <c r="E18" s="46">
        <f>INDEX($B$4:$D$4,MATCH(MAX(B18:D18),B18:D18,0))</f>
        <v/>
      </c>
      <c r="F18" s="45">
        <f>MAX(B18:D18)-MIN(B18:D18)</f>
        <v/>
      </c>
      <c r="G18" s="45">
        <f>'U-Net'!AF18</f>
        <v/>
      </c>
      <c r="H18" s="45">
        <f>'DeepLabV3+'!AF18</f>
        <v/>
      </c>
      <c r="I18" s="45">
        <f>'YOLO11n-seg'!AF18</f>
        <v/>
      </c>
      <c r="J18" s="45">
        <f>'U-Net'!AG18</f>
        <v/>
      </c>
      <c r="K18" s="45">
        <f>'DeepLabV3+'!AG18</f>
        <v/>
      </c>
      <c r="L18" s="45">
        <f>'YOLO11n-seg'!AG18</f>
        <v/>
      </c>
      <c r="M18" s="45">
        <f>'U-Net'!AI18</f>
        <v/>
      </c>
      <c r="N18" s="45">
        <f>'DeepLabV3+'!AI18</f>
        <v/>
      </c>
      <c r="O18" s="45">
        <f>'YOLO11n-seg'!AI18</f>
        <v/>
      </c>
    </row>
    <row r="19" ht="15" customHeight="1" s="30">
      <c r="A19" s="73">
        <f>'U-Net'!A19</f>
        <v/>
      </c>
      <c r="B19" s="45">
        <f>'U-Net'!AH19</f>
        <v/>
      </c>
      <c r="C19" s="45">
        <f>'DeepLabV3+'!AH19</f>
        <v/>
      </c>
      <c r="D19" s="45">
        <f>'YOLO11n-seg'!AH19</f>
        <v/>
      </c>
      <c r="E19" s="46">
        <f>INDEX($B$4:$D$4,MATCH(MAX(B19:D19),B19:D19,0))</f>
        <v/>
      </c>
      <c r="F19" s="45">
        <f>MAX(B19:D19)-MIN(B19:D19)</f>
        <v/>
      </c>
      <c r="G19" s="45">
        <f>'U-Net'!AF19</f>
        <v/>
      </c>
      <c r="H19" s="45">
        <f>'DeepLabV3+'!AF19</f>
        <v/>
      </c>
      <c r="I19" s="45">
        <f>'YOLO11n-seg'!AF19</f>
        <v/>
      </c>
      <c r="J19" s="45">
        <f>'U-Net'!AG19</f>
        <v/>
      </c>
      <c r="K19" s="45">
        <f>'DeepLabV3+'!AG19</f>
        <v/>
      </c>
      <c r="L19" s="45">
        <f>'YOLO11n-seg'!AG19</f>
        <v/>
      </c>
      <c r="M19" s="45">
        <f>'U-Net'!AI19</f>
        <v/>
      </c>
      <c r="N19" s="45">
        <f>'DeepLabV3+'!AI19</f>
        <v/>
      </c>
      <c r="O19" s="45">
        <f>'YOLO11n-seg'!AI19</f>
        <v/>
      </c>
    </row>
    <row r="20" ht="15" customHeight="1" s="30">
      <c r="A20" s="73">
        <f>'U-Net'!A20</f>
        <v/>
      </c>
      <c r="B20" s="45">
        <f>'U-Net'!AH20</f>
        <v/>
      </c>
      <c r="C20" s="45">
        <f>'DeepLabV3+'!AH20</f>
        <v/>
      </c>
      <c r="D20" s="45">
        <f>'YOLO11n-seg'!AH20</f>
        <v/>
      </c>
      <c r="E20" s="46">
        <f>INDEX($B$4:$D$4,MATCH(MAX(B20:D20),B20:D20,0))</f>
        <v/>
      </c>
      <c r="F20" s="45">
        <f>MAX(B20:D20)-MIN(B20:D20)</f>
        <v/>
      </c>
      <c r="G20" s="45">
        <f>'U-Net'!AF20</f>
        <v/>
      </c>
      <c r="H20" s="45">
        <f>'DeepLabV3+'!AF20</f>
        <v/>
      </c>
      <c r="I20" s="45">
        <f>'YOLO11n-seg'!AF20</f>
        <v/>
      </c>
      <c r="J20" s="45">
        <f>'U-Net'!AG20</f>
        <v/>
      </c>
      <c r="K20" s="45">
        <f>'DeepLabV3+'!AG20</f>
        <v/>
      </c>
      <c r="L20" s="45">
        <f>'YOLO11n-seg'!AG20</f>
        <v/>
      </c>
      <c r="M20" s="45">
        <f>'U-Net'!AI20</f>
        <v/>
      </c>
      <c r="N20" s="45">
        <f>'DeepLabV3+'!AI20</f>
        <v/>
      </c>
      <c r="O20" s="45">
        <f>'YOLO11n-seg'!AI20</f>
        <v/>
      </c>
    </row>
    <row r="21" ht="15" customHeight="1" s="30">
      <c r="A21" s="73">
        <f>'U-Net'!A21</f>
        <v/>
      </c>
      <c r="B21" s="45">
        <f>'U-Net'!AH21</f>
        <v/>
      </c>
      <c r="C21" s="45">
        <f>'DeepLabV3+'!AH21</f>
        <v/>
      </c>
      <c r="D21" s="45">
        <f>'YOLO11n-seg'!AH21</f>
        <v/>
      </c>
      <c r="E21" s="46">
        <f>INDEX($B$4:$D$4,MATCH(MAX(B21:D21),B21:D21,0))</f>
        <v/>
      </c>
      <c r="F21" s="45">
        <f>MAX(B21:D21)-MIN(B21:D21)</f>
        <v/>
      </c>
      <c r="G21" s="45">
        <f>'U-Net'!AF21</f>
        <v/>
      </c>
      <c r="H21" s="45">
        <f>'DeepLabV3+'!AF21</f>
        <v/>
      </c>
      <c r="I21" s="45">
        <f>'YOLO11n-seg'!AF21</f>
        <v/>
      </c>
      <c r="J21" s="45">
        <f>'U-Net'!AG21</f>
        <v/>
      </c>
      <c r="K21" s="45">
        <f>'DeepLabV3+'!AG21</f>
        <v/>
      </c>
      <c r="L21" s="45">
        <f>'YOLO11n-seg'!AG21</f>
        <v/>
      </c>
      <c r="M21" s="45">
        <f>'U-Net'!AI21</f>
        <v/>
      </c>
      <c r="N21" s="45">
        <f>'DeepLabV3+'!AI21</f>
        <v/>
      </c>
      <c r="O21" s="45">
        <f>'YOLO11n-seg'!AI21</f>
        <v/>
      </c>
    </row>
    <row r="22" ht="15" customHeight="1" s="30">
      <c r="A22" s="73">
        <f>'U-Net'!A22</f>
        <v/>
      </c>
      <c r="B22" s="45">
        <f>'U-Net'!AH22</f>
        <v/>
      </c>
      <c r="C22" s="45">
        <f>'DeepLabV3+'!AH22</f>
        <v/>
      </c>
      <c r="D22" s="45">
        <f>'YOLO11n-seg'!AH22</f>
        <v/>
      </c>
      <c r="E22" s="46">
        <f>INDEX($B$4:$D$4,MATCH(MAX(B22:D22),B22:D22,0))</f>
        <v/>
      </c>
      <c r="F22" s="45">
        <f>MAX(B22:D22)-MIN(B22:D22)</f>
        <v/>
      </c>
      <c r="G22" s="45">
        <f>'U-Net'!AF22</f>
        <v/>
      </c>
      <c r="H22" s="45">
        <f>'DeepLabV3+'!AF22</f>
        <v/>
      </c>
      <c r="I22" s="45">
        <f>'YOLO11n-seg'!AF22</f>
        <v/>
      </c>
      <c r="J22" s="45">
        <f>'U-Net'!AG22</f>
        <v/>
      </c>
      <c r="K22" s="45">
        <f>'DeepLabV3+'!AG22</f>
        <v/>
      </c>
      <c r="L22" s="45">
        <f>'YOLO11n-seg'!AG22</f>
        <v/>
      </c>
      <c r="M22" s="45">
        <f>'U-Net'!AI22</f>
        <v/>
      </c>
      <c r="N22" s="45">
        <f>'DeepLabV3+'!AI22</f>
        <v/>
      </c>
      <c r="O22" s="45">
        <f>'YOLO11n-seg'!AI22</f>
        <v/>
      </c>
    </row>
    <row r="23" ht="15" customHeight="1" s="30">
      <c r="A23" s="73">
        <f>'U-Net'!A23</f>
        <v/>
      </c>
      <c r="B23" s="45">
        <f>'U-Net'!AH23</f>
        <v/>
      </c>
      <c r="C23" s="45">
        <f>'DeepLabV3+'!AH23</f>
        <v/>
      </c>
      <c r="D23" s="45">
        <f>'YOLO11n-seg'!AH23</f>
        <v/>
      </c>
      <c r="E23" s="46">
        <f>INDEX($B$4:$D$4,MATCH(MAX(B23:D23),B23:D23,0))</f>
        <v/>
      </c>
      <c r="F23" s="45">
        <f>MAX(B23:D23)-MIN(B23:D23)</f>
        <v/>
      </c>
      <c r="G23" s="45">
        <f>'U-Net'!AF23</f>
        <v/>
      </c>
      <c r="H23" s="45">
        <f>'DeepLabV3+'!AF23</f>
        <v/>
      </c>
      <c r="I23" s="45">
        <f>'YOLO11n-seg'!AF23</f>
        <v/>
      </c>
      <c r="J23" s="45">
        <f>'U-Net'!AG23</f>
        <v/>
      </c>
      <c r="K23" s="45">
        <f>'DeepLabV3+'!AG23</f>
        <v/>
      </c>
      <c r="L23" s="45">
        <f>'YOLO11n-seg'!AG23</f>
        <v/>
      </c>
      <c r="M23" s="45">
        <f>'U-Net'!AI23</f>
        <v/>
      </c>
      <c r="N23" s="45">
        <f>'DeepLabV3+'!AI23</f>
        <v/>
      </c>
      <c r="O23" s="45">
        <f>'YOLO11n-seg'!AI23</f>
        <v/>
      </c>
    </row>
    <row r="24" ht="15" customHeight="1" s="30">
      <c r="A24" s="73">
        <f>'U-Net'!A24</f>
        <v/>
      </c>
      <c r="B24" s="45">
        <f>'U-Net'!AH24</f>
        <v/>
      </c>
      <c r="C24" s="45">
        <f>'DeepLabV3+'!AH24</f>
        <v/>
      </c>
      <c r="D24" s="45">
        <f>'YOLO11n-seg'!AH24</f>
        <v/>
      </c>
      <c r="E24" s="46">
        <f>INDEX($B$4:$D$4,MATCH(MAX(B24:D24),B24:D24,0))</f>
        <v/>
      </c>
      <c r="F24" s="45">
        <f>MAX(B24:D24)-MIN(B24:D24)</f>
        <v/>
      </c>
      <c r="G24" s="45">
        <f>'U-Net'!AF24</f>
        <v/>
      </c>
      <c r="H24" s="45">
        <f>'DeepLabV3+'!AF24</f>
        <v/>
      </c>
      <c r="I24" s="45">
        <f>'YOLO11n-seg'!AF24</f>
        <v/>
      </c>
      <c r="J24" s="45">
        <f>'U-Net'!AG24</f>
        <v/>
      </c>
      <c r="K24" s="45">
        <f>'DeepLabV3+'!AG24</f>
        <v/>
      </c>
      <c r="L24" s="45">
        <f>'YOLO11n-seg'!AG24</f>
        <v/>
      </c>
      <c r="M24" s="45">
        <f>'U-Net'!AI24</f>
        <v/>
      </c>
      <c r="N24" s="45">
        <f>'DeepLabV3+'!AI24</f>
        <v/>
      </c>
      <c r="O24" s="45">
        <f>'YOLO11n-seg'!AI24</f>
        <v/>
      </c>
    </row>
    <row r="25" ht="15" customHeight="1" s="30">
      <c r="A25" s="73">
        <f>'U-Net'!A25</f>
        <v/>
      </c>
      <c r="B25" s="45">
        <f>'U-Net'!AH25</f>
        <v/>
      </c>
      <c r="C25" s="45">
        <f>'DeepLabV3+'!AH25</f>
        <v/>
      </c>
      <c r="D25" s="45">
        <f>'YOLO11n-seg'!AH25</f>
        <v/>
      </c>
      <c r="E25" s="46">
        <f>INDEX($B$4:$D$4,MATCH(MAX(B25:D25),B25:D25,0))</f>
        <v/>
      </c>
      <c r="F25" s="45">
        <f>MAX(B25:D25)-MIN(B25:D25)</f>
        <v/>
      </c>
      <c r="G25" s="45">
        <f>'U-Net'!AF25</f>
        <v/>
      </c>
      <c r="H25" s="45">
        <f>'DeepLabV3+'!AF25</f>
        <v/>
      </c>
      <c r="I25" s="45">
        <f>'YOLO11n-seg'!AF25</f>
        <v/>
      </c>
      <c r="J25" s="45">
        <f>'U-Net'!AG25</f>
        <v/>
      </c>
      <c r="K25" s="45">
        <f>'DeepLabV3+'!AG25</f>
        <v/>
      </c>
      <c r="L25" s="45">
        <f>'YOLO11n-seg'!AG25</f>
        <v/>
      </c>
      <c r="M25" s="45">
        <f>'U-Net'!AI25</f>
        <v/>
      </c>
      <c r="N25" s="45">
        <f>'DeepLabV3+'!AI25</f>
        <v/>
      </c>
      <c r="O25" s="45">
        <f>'YOLO11n-seg'!AI25</f>
        <v/>
      </c>
    </row>
    <row r="26" ht="15" customHeight="1" s="30">
      <c r="A26" s="73">
        <f>'U-Net'!A26</f>
        <v/>
      </c>
      <c r="B26" s="45">
        <f>'U-Net'!AH26</f>
        <v/>
      </c>
      <c r="C26" s="45">
        <f>'DeepLabV3+'!AH26</f>
        <v/>
      </c>
      <c r="D26" s="45">
        <f>'YOLO11n-seg'!AH26</f>
        <v/>
      </c>
      <c r="E26" s="46">
        <f>INDEX($B$4:$D$4,MATCH(MAX(B26:D26),B26:D26,0))</f>
        <v/>
      </c>
      <c r="F26" s="45">
        <f>MAX(B26:D26)-MIN(B26:D26)</f>
        <v/>
      </c>
      <c r="G26" s="45">
        <f>'U-Net'!AF26</f>
        <v/>
      </c>
      <c r="H26" s="45">
        <f>'DeepLabV3+'!AF26</f>
        <v/>
      </c>
      <c r="I26" s="45">
        <f>'YOLO11n-seg'!AF26</f>
        <v/>
      </c>
      <c r="J26" s="45">
        <f>'U-Net'!AG26</f>
        <v/>
      </c>
      <c r="K26" s="45">
        <f>'DeepLabV3+'!AG26</f>
        <v/>
      </c>
      <c r="L26" s="45">
        <f>'YOLO11n-seg'!AG26</f>
        <v/>
      </c>
      <c r="M26" s="45">
        <f>'U-Net'!AI26</f>
        <v/>
      </c>
      <c r="N26" s="45">
        <f>'DeepLabV3+'!AI26</f>
        <v/>
      </c>
      <c r="O26" s="45">
        <f>'YOLO11n-seg'!AI26</f>
        <v/>
      </c>
    </row>
    <row r="27" ht="15" customHeight="1" s="30">
      <c r="A27" s="73">
        <f>'U-Net'!A27</f>
        <v/>
      </c>
      <c r="B27" s="45">
        <f>'U-Net'!AH27</f>
        <v/>
      </c>
      <c r="C27" s="45">
        <f>'DeepLabV3+'!AH27</f>
        <v/>
      </c>
      <c r="D27" s="45">
        <f>'YOLO11n-seg'!AH27</f>
        <v/>
      </c>
      <c r="E27" s="46">
        <f>INDEX($B$4:$D$4,MATCH(MAX(B27:D27),B27:D27,0))</f>
        <v/>
      </c>
      <c r="F27" s="45">
        <f>MAX(B27:D27)-MIN(B27:D27)</f>
        <v/>
      </c>
      <c r="G27" s="45">
        <f>'U-Net'!AF27</f>
        <v/>
      </c>
      <c r="H27" s="45">
        <f>'DeepLabV3+'!AF27</f>
        <v/>
      </c>
      <c r="I27" s="45">
        <f>'YOLO11n-seg'!AF27</f>
        <v/>
      </c>
      <c r="J27" s="45">
        <f>'U-Net'!AG27</f>
        <v/>
      </c>
      <c r="K27" s="45">
        <f>'DeepLabV3+'!AG27</f>
        <v/>
      </c>
      <c r="L27" s="45">
        <f>'YOLO11n-seg'!AG27</f>
        <v/>
      </c>
      <c r="M27" s="45">
        <f>'U-Net'!AI27</f>
        <v/>
      </c>
      <c r="N27" s="45">
        <f>'DeepLabV3+'!AI27</f>
        <v/>
      </c>
      <c r="O27" s="45">
        <f>'YOLO11n-seg'!AI27</f>
        <v/>
      </c>
    </row>
    <row r="28" ht="15" customHeight="1" s="30">
      <c r="A28" s="73">
        <f>'U-Net'!A28</f>
        <v/>
      </c>
      <c r="B28" s="45">
        <f>'U-Net'!AH28</f>
        <v/>
      </c>
      <c r="C28" s="45">
        <f>'DeepLabV3+'!AH28</f>
        <v/>
      </c>
      <c r="D28" s="45">
        <f>'YOLO11n-seg'!AH28</f>
        <v/>
      </c>
      <c r="E28" s="46">
        <f>INDEX($B$4:$D$4,MATCH(MAX(B28:D28),B28:D28,0))</f>
        <v/>
      </c>
      <c r="F28" s="45">
        <f>MAX(B28:D28)-MIN(B28:D28)</f>
        <v/>
      </c>
      <c r="G28" s="45">
        <f>'U-Net'!AF28</f>
        <v/>
      </c>
      <c r="H28" s="45">
        <f>'DeepLabV3+'!AF28</f>
        <v/>
      </c>
      <c r="I28" s="45">
        <f>'YOLO11n-seg'!AF28</f>
        <v/>
      </c>
      <c r="J28" s="45">
        <f>'U-Net'!AG28</f>
        <v/>
      </c>
      <c r="K28" s="45">
        <f>'DeepLabV3+'!AG28</f>
        <v/>
      </c>
      <c r="L28" s="45">
        <f>'YOLO11n-seg'!AG28</f>
        <v/>
      </c>
      <c r="M28" s="45">
        <f>'U-Net'!AI28</f>
        <v/>
      </c>
      <c r="N28" s="45">
        <f>'DeepLabV3+'!AI28</f>
        <v/>
      </c>
      <c r="O28" s="45">
        <f>'YOLO11n-seg'!AI28</f>
        <v/>
      </c>
    </row>
    <row r="29" ht="15" customHeight="1" s="30">
      <c r="A29" s="73">
        <f>'U-Net'!A29</f>
        <v/>
      </c>
      <c r="B29" s="45">
        <f>'U-Net'!AH29</f>
        <v/>
      </c>
      <c r="C29" s="45">
        <f>'DeepLabV3+'!AH29</f>
        <v/>
      </c>
      <c r="D29" s="45">
        <f>'YOLO11n-seg'!AH29</f>
        <v/>
      </c>
      <c r="E29" s="46">
        <f>INDEX($B$4:$D$4,MATCH(MAX(B29:D29),B29:D29,0))</f>
        <v/>
      </c>
      <c r="F29" s="45">
        <f>MAX(B29:D29)-MIN(B29:D29)</f>
        <v/>
      </c>
      <c r="G29" s="45">
        <f>'U-Net'!AF29</f>
        <v/>
      </c>
      <c r="H29" s="45">
        <f>'DeepLabV3+'!AF29</f>
        <v/>
      </c>
      <c r="I29" s="45">
        <f>'YOLO11n-seg'!AF29</f>
        <v/>
      </c>
      <c r="J29" s="45">
        <f>'U-Net'!AG29</f>
        <v/>
      </c>
      <c r="K29" s="45">
        <f>'DeepLabV3+'!AG29</f>
        <v/>
      </c>
      <c r="L29" s="45">
        <f>'YOLO11n-seg'!AG29</f>
        <v/>
      </c>
      <c r="M29" s="45">
        <f>'U-Net'!AI29</f>
        <v/>
      </c>
      <c r="N29" s="45">
        <f>'DeepLabV3+'!AI29</f>
        <v/>
      </c>
      <c r="O29" s="45">
        <f>'YOLO11n-seg'!AI29</f>
        <v/>
      </c>
    </row>
    <row r="30" ht="15" customHeight="1" s="30">
      <c r="A30" s="73">
        <f>'U-Net'!A30</f>
        <v/>
      </c>
      <c r="B30" s="45">
        <f>'U-Net'!AH30</f>
        <v/>
      </c>
      <c r="C30" s="45">
        <f>'DeepLabV3+'!AH30</f>
        <v/>
      </c>
      <c r="D30" s="45">
        <f>'YOLO11n-seg'!AH30</f>
        <v/>
      </c>
      <c r="E30" s="46">
        <f>INDEX($B$4:$D$4,MATCH(MAX(B30:D30),B30:D30,0))</f>
        <v/>
      </c>
      <c r="F30" s="45">
        <f>MAX(B30:D30)-MIN(B30:D30)</f>
        <v/>
      </c>
      <c r="G30" s="45">
        <f>'U-Net'!AF30</f>
        <v/>
      </c>
      <c r="H30" s="45">
        <f>'DeepLabV3+'!AF30</f>
        <v/>
      </c>
      <c r="I30" s="45">
        <f>'YOLO11n-seg'!AF30</f>
        <v/>
      </c>
      <c r="J30" s="45">
        <f>'U-Net'!AG30</f>
        <v/>
      </c>
      <c r="K30" s="45">
        <f>'DeepLabV3+'!AG30</f>
        <v/>
      </c>
      <c r="L30" s="45">
        <f>'YOLO11n-seg'!AG30</f>
        <v/>
      </c>
      <c r="M30" s="45">
        <f>'U-Net'!AI30</f>
        <v/>
      </c>
      <c r="N30" s="45">
        <f>'DeepLabV3+'!AI30</f>
        <v/>
      </c>
      <c r="O30" s="45">
        <f>'YOLO11n-seg'!AI30</f>
        <v/>
      </c>
    </row>
    <row r="31" ht="15" customHeight="1" s="30">
      <c r="A31" s="73">
        <f>'U-Net'!A31</f>
        <v/>
      </c>
      <c r="B31" s="45">
        <f>'U-Net'!AH31</f>
        <v/>
      </c>
      <c r="C31" s="45">
        <f>'DeepLabV3+'!AH31</f>
        <v/>
      </c>
      <c r="D31" s="45">
        <f>'YOLO11n-seg'!AH31</f>
        <v/>
      </c>
      <c r="E31" s="46">
        <f>INDEX($B$4:$D$4,MATCH(MAX(B31:D31),B31:D31,0))</f>
        <v/>
      </c>
      <c r="F31" s="45">
        <f>MAX(B31:D31)-MIN(B31:D31)</f>
        <v/>
      </c>
      <c r="G31" s="45">
        <f>'U-Net'!AF31</f>
        <v/>
      </c>
      <c r="H31" s="45">
        <f>'DeepLabV3+'!AF31</f>
        <v/>
      </c>
      <c r="I31" s="45">
        <f>'YOLO11n-seg'!AF31</f>
        <v/>
      </c>
      <c r="J31" s="45">
        <f>'U-Net'!AG31</f>
        <v/>
      </c>
      <c r="K31" s="45">
        <f>'DeepLabV3+'!AG31</f>
        <v/>
      </c>
      <c r="L31" s="45">
        <f>'YOLO11n-seg'!AG31</f>
        <v/>
      </c>
      <c r="M31" s="45">
        <f>'U-Net'!AI31</f>
        <v/>
      </c>
      <c r="N31" s="45">
        <f>'DeepLabV3+'!AI31</f>
        <v/>
      </c>
      <c r="O31" s="45">
        <f>'YOLO11n-seg'!AI31</f>
        <v/>
      </c>
    </row>
    <row r="32" ht="15" customHeight="1" s="30">
      <c r="A32" s="73">
        <f>'U-Net'!A32</f>
        <v/>
      </c>
      <c r="B32" s="45">
        <f>'U-Net'!AH32</f>
        <v/>
      </c>
      <c r="C32" s="45">
        <f>'DeepLabV3+'!AH32</f>
        <v/>
      </c>
      <c r="D32" s="45">
        <f>'YOLO11n-seg'!AH32</f>
        <v/>
      </c>
      <c r="E32" s="46">
        <f>INDEX($B$4:$D$4,MATCH(MAX(B32:D32),B32:D32,0))</f>
        <v/>
      </c>
      <c r="F32" s="45">
        <f>MAX(B32:D32)-MIN(B32:D32)</f>
        <v/>
      </c>
      <c r="G32" s="45">
        <f>'U-Net'!AF32</f>
        <v/>
      </c>
      <c r="H32" s="45">
        <f>'DeepLabV3+'!AF32</f>
        <v/>
      </c>
      <c r="I32" s="45">
        <f>'YOLO11n-seg'!AF32</f>
        <v/>
      </c>
      <c r="J32" s="45">
        <f>'U-Net'!AG32</f>
        <v/>
      </c>
      <c r="K32" s="45">
        <f>'DeepLabV3+'!AG32</f>
        <v/>
      </c>
      <c r="L32" s="45">
        <f>'YOLO11n-seg'!AG32</f>
        <v/>
      </c>
      <c r="M32" s="45">
        <f>'U-Net'!AI32</f>
        <v/>
      </c>
      <c r="N32" s="45">
        <f>'DeepLabV3+'!AI32</f>
        <v/>
      </c>
      <c r="O32" s="45">
        <f>'YOLO11n-seg'!AI32</f>
        <v/>
      </c>
    </row>
    <row r="33" ht="15" customHeight="1" s="30">
      <c r="A33" s="73">
        <f>'U-Net'!A33</f>
        <v/>
      </c>
      <c r="B33" s="45">
        <f>'U-Net'!AH33</f>
        <v/>
      </c>
      <c r="C33" s="45">
        <f>'DeepLabV3+'!AH33</f>
        <v/>
      </c>
      <c r="D33" s="45">
        <f>'YOLO11n-seg'!AH33</f>
        <v/>
      </c>
      <c r="E33" s="46">
        <f>INDEX($B$4:$D$4,MATCH(MAX(B33:D33),B33:D33,0))</f>
        <v/>
      </c>
      <c r="F33" s="45">
        <f>MAX(B33:D33)-MIN(B33:D33)</f>
        <v/>
      </c>
      <c r="G33" s="45">
        <f>'U-Net'!AF33</f>
        <v/>
      </c>
      <c r="H33" s="45">
        <f>'DeepLabV3+'!AF33</f>
        <v/>
      </c>
      <c r="I33" s="45">
        <f>'YOLO11n-seg'!AF33</f>
        <v/>
      </c>
      <c r="J33" s="45">
        <f>'U-Net'!AG33</f>
        <v/>
      </c>
      <c r="K33" s="45">
        <f>'DeepLabV3+'!AG33</f>
        <v/>
      </c>
      <c r="L33" s="45">
        <f>'YOLO11n-seg'!AG33</f>
        <v/>
      </c>
      <c r="M33" s="45">
        <f>'U-Net'!AI33</f>
        <v/>
      </c>
      <c r="N33" s="45">
        <f>'DeepLabV3+'!AI33</f>
        <v/>
      </c>
      <c r="O33" s="45">
        <f>'YOLO11n-seg'!AI33</f>
        <v/>
      </c>
    </row>
    <row r="34" ht="15" customHeight="1" s="30">
      <c r="A34" s="73">
        <f>'U-Net'!A34</f>
        <v/>
      </c>
      <c r="B34" s="45">
        <f>'U-Net'!AH34</f>
        <v/>
      </c>
      <c r="C34" s="45">
        <f>'DeepLabV3+'!AH34</f>
        <v/>
      </c>
      <c r="D34" s="45">
        <f>'YOLO11n-seg'!AH34</f>
        <v/>
      </c>
      <c r="E34" s="46">
        <f>INDEX($B$4:$D$4,MATCH(MAX(B34:D34),B34:D34,0))</f>
        <v/>
      </c>
      <c r="F34" s="45">
        <f>MAX(B34:D34)-MIN(B34:D34)</f>
        <v/>
      </c>
      <c r="G34" s="45">
        <f>'U-Net'!AF34</f>
        <v/>
      </c>
      <c r="H34" s="45">
        <f>'DeepLabV3+'!AF34</f>
        <v/>
      </c>
      <c r="I34" s="45">
        <f>'YOLO11n-seg'!AF34</f>
        <v/>
      </c>
      <c r="J34" s="45">
        <f>'U-Net'!AG34</f>
        <v/>
      </c>
      <c r="K34" s="45">
        <f>'DeepLabV3+'!AG34</f>
        <v/>
      </c>
      <c r="L34" s="45">
        <f>'YOLO11n-seg'!AG34</f>
        <v/>
      </c>
      <c r="M34" s="45">
        <f>'U-Net'!AI34</f>
        <v/>
      </c>
      <c r="N34" s="45">
        <f>'DeepLabV3+'!AI34</f>
        <v/>
      </c>
      <c r="O34" s="45">
        <f>'YOLO11n-seg'!AI34</f>
        <v/>
      </c>
    </row>
    <row r="35" ht="15" customHeight="1" s="30">
      <c r="A35" s="73">
        <f>'U-Net'!A35</f>
        <v/>
      </c>
      <c r="B35" s="45">
        <f>'U-Net'!AH35</f>
        <v/>
      </c>
      <c r="C35" s="45">
        <f>'DeepLabV3+'!AH35</f>
        <v/>
      </c>
      <c r="D35" s="45">
        <f>'YOLO11n-seg'!AH35</f>
        <v/>
      </c>
      <c r="E35" s="46">
        <f>INDEX($B$4:$D$4,MATCH(MAX(B35:D35),B35:D35,0))</f>
        <v/>
      </c>
      <c r="F35" s="45">
        <f>MAX(B35:D35)-MIN(B35:D35)</f>
        <v/>
      </c>
      <c r="G35" s="45">
        <f>'U-Net'!AF35</f>
        <v/>
      </c>
      <c r="H35" s="45">
        <f>'DeepLabV3+'!AF35</f>
        <v/>
      </c>
      <c r="I35" s="45">
        <f>'YOLO11n-seg'!AF35</f>
        <v/>
      </c>
      <c r="J35" s="45">
        <f>'U-Net'!AG35</f>
        <v/>
      </c>
      <c r="K35" s="45">
        <f>'DeepLabV3+'!AG35</f>
        <v/>
      </c>
      <c r="L35" s="45">
        <f>'YOLO11n-seg'!AG35</f>
        <v/>
      </c>
      <c r="M35" s="45">
        <f>'U-Net'!AI35</f>
        <v/>
      </c>
      <c r="N35" s="45">
        <f>'DeepLabV3+'!AI35</f>
        <v/>
      </c>
      <c r="O35" s="45">
        <f>'YOLO11n-seg'!AI35</f>
        <v/>
      </c>
    </row>
    <row r="36" ht="15" customHeight="1" s="30">
      <c r="A36" s="73">
        <f>'U-Net'!A36</f>
        <v/>
      </c>
      <c r="B36" s="45">
        <f>'U-Net'!AH36</f>
        <v/>
      </c>
      <c r="C36" s="45">
        <f>'DeepLabV3+'!AH36</f>
        <v/>
      </c>
      <c r="D36" s="45">
        <f>'YOLO11n-seg'!AH36</f>
        <v/>
      </c>
      <c r="E36" s="46">
        <f>INDEX($B$4:$D$4,MATCH(MAX(B36:D36),B36:D36,0))</f>
        <v/>
      </c>
      <c r="F36" s="45">
        <f>MAX(B36:D36)-MIN(B36:D36)</f>
        <v/>
      </c>
      <c r="G36" s="45">
        <f>'U-Net'!AF36</f>
        <v/>
      </c>
      <c r="H36" s="45">
        <f>'DeepLabV3+'!AF36</f>
        <v/>
      </c>
      <c r="I36" s="45">
        <f>'YOLO11n-seg'!AF36</f>
        <v/>
      </c>
      <c r="J36" s="45">
        <f>'U-Net'!AG36</f>
        <v/>
      </c>
      <c r="K36" s="45">
        <f>'DeepLabV3+'!AG36</f>
        <v/>
      </c>
      <c r="L36" s="45">
        <f>'YOLO11n-seg'!AG36</f>
        <v/>
      </c>
      <c r="M36" s="45">
        <f>'U-Net'!AI36</f>
        <v/>
      </c>
      <c r="N36" s="45">
        <f>'DeepLabV3+'!AI36</f>
        <v/>
      </c>
      <c r="O36" s="45">
        <f>'YOLO11n-seg'!AI36</f>
        <v/>
      </c>
    </row>
    <row r="37" ht="15" customHeight="1" s="30">
      <c r="A37" s="73">
        <f>'U-Net'!A37</f>
        <v/>
      </c>
      <c r="B37" s="45">
        <f>'U-Net'!AH37</f>
        <v/>
      </c>
      <c r="C37" s="45">
        <f>'DeepLabV3+'!AH37</f>
        <v/>
      </c>
      <c r="D37" s="45">
        <f>'YOLO11n-seg'!AH37</f>
        <v/>
      </c>
      <c r="E37" s="46">
        <f>INDEX($B$4:$D$4,MATCH(MAX(B37:D37),B37:D37,0))</f>
        <v/>
      </c>
      <c r="F37" s="45">
        <f>MAX(B37:D37)-MIN(B37:D37)</f>
        <v/>
      </c>
      <c r="G37" s="45">
        <f>'U-Net'!AF37</f>
        <v/>
      </c>
      <c r="H37" s="45">
        <f>'DeepLabV3+'!AF37</f>
        <v/>
      </c>
      <c r="I37" s="45">
        <f>'YOLO11n-seg'!AF37</f>
        <v/>
      </c>
      <c r="J37" s="45">
        <f>'U-Net'!AG37</f>
        <v/>
      </c>
      <c r="K37" s="45">
        <f>'DeepLabV3+'!AG37</f>
        <v/>
      </c>
      <c r="L37" s="45">
        <f>'YOLO11n-seg'!AG37</f>
        <v/>
      </c>
      <c r="M37" s="45">
        <f>'U-Net'!AI37</f>
        <v/>
      </c>
      <c r="N37" s="45">
        <f>'DeepLabV3+'!AI37</f>
        <v/>
      </c>
      <c r="O37" s="45">
        <f>'YOLO11n-seg'!AI37</f>
        <v/>
      </c>
    </row>
    <row r="38" ht="15" customHeight="1" s="30">
      <c r="A38" s="73">
        <f>'U-Net'!A38</f>
        <v/>
      </c>
      <c r="B38" s="45">
        <f>'U-Net'!AH38</f>
        <v/>
      </c>
      <c r="C38" s="45">
        <f>'DeepLabV3+'!AH38</f>
        <v/>
      </c>
      <c r="D38" s="45">
        <f>'YOLO11n-seg'!AH38</f>
        <v/>
      </c>
      <c r="E38" s="46">
        <f>INDEX($B$4:$D$4,MATCH(MAX(B38:D38),B38:D38,0))</f>
        <v/>
      </c>
      <c r="F38" s="45">
        <f>MAX(B38:D38)-MIN(B38:D38)</f>
        <v/>
      </c>
      <c r="G38" s="45">
        <f>'U-Net'!AF38</f>
        <v/>
      </c>
      <c r="H38" s="45">
        <f>'DeepLabV3+'!AF38</f>
        <v/>
      </c>
      <c r="I38" s="45">
        <f>'YOLO11n-seg'!AF38</f>
        <v/>
      </c>
      <c r="J38" s="45">
        <f>'U-Net'!AG38</f>
        <v/>
      </c>
      <c r="K38" s="45">
        <f>'DeepLabV3+'!AG38</f>
        <v/>
      </c>
      <c r="L38" s="45">
        <f>'YOLO11n-seg'!AG38</f>
        <v/>
      </c>
      <c r="M38" s="45">
        <f>'U-Net'!AI38</f>
        <v/>
      </c>
      <c r="N38" s="45">
        <f>'DeepLabV3+'!AI38</f>
        <v/>
      </c>
      <c r="O38" s="45">
        <f>'YOLO11n-seg'!AI38</f>
        <v/>
      </c>
    </row>
    <row r="39" ht="15" customHeight="1" s="30">
      <c r="A39" s="73">
        <f>'U-Net'!A39</f>
        <v/>
      </c>
      <c r="B39" s="45">
        <f>'U-Net'!AH39</f>
        <v/>
      </c>
      <c r="C39" s="45">
        <f>'DeepLabV3+'!AH39</f>
        <v/>
      </c>
      <c r="D39" s="45">
        <f>'YOLO11n-seg'!AH39</f>
        <v/>
      </c>
      <c r="E39" s="46">
        <f>INDEX($B$4:$D$4,MATCH(MAX(B39:D39),B39:D39,0))</f>
        <v/>
      </c>
      <c r="F39" s="45">
        <f>MAX(B39:D39)-MIN(B39:D39)</f>
        <v/>
      </c>
      <c r="G39" s="45">
        <f>'U-Net'!AF39</f>
        <v/>
      </c>
      <c r="H39" s="45">
        <f>'DeepLabV3+'!AF39</f>
        <v/>
      </c>
      <c r="I39" s="45">
        <f>'YOLO11n-seg'!AF39</f>
        <v/>
      </c>
      <c r="J39" s="45">
        <f>'U-Net'!AG39</f>
        <v/>
      </c>
      <c r="K39" s="45">
        <f>'DeepLabV3+'!AG39</f>
        <v/>
      </c>
      <c r="L39" s="45">
        <f>'YOLO11n-seg'!AG39</f>
        <v/>
      </c>
      <c r="M39" s="45">
        <f>'U-Net'!AI39</f>
        <v/>
      </c>
      <c r="N39" s="45">
        <f>'DeepLabV3+'!AI39</f>
        <v/>
      </c>
      <c r="O39" s="45">
        <f>'YOLO11n-seg'!AI39</f>
        <v/>
      </c>
    </row>
    <row r="40" ht="15" customHeight="1" s="30">
      <c r="A40" s="73">
        <f>'U-Net'!A40</f>
        <v/>
      </c>
      <c r="B40" s="45">
        <f>'U-Net'!AH40</f>
        <v/>
      </c>
      <c r="C40" s="45">
        <f>'DeepLabV3+'!AH40</f>
        <v/>
      </c>
      <c r="D40" s="45">
        <f>'YOLO11n-seg'!AH40</f>
        <v/>
      </c>
      <c r="E40" s="46">
        <f>INDEX($B$4:$D$4,MATCH(MAX(B40:D40),B40:D40,0))</f>
        <v/>
      </c>
      <c r="F40" s="45">
        <f>MAX(B40:D40)-MIN(B40:D40)</f>
        <v/>
      </c>
      <c r="G40" s="45">
        <f>'U-Net'!AF40</f>
        <v/>
      </c>
      <c r="H40" s="45">
        <f>'DeepLabV3+'!AF40</f>
        <v/>
      </c>
      <c r="I40" s="45">
        <f>'YOLO11n-seg'!AF40</f>
        <v/>
      </c>
      <c r="J40" s="45">
        <f>'U-Net'!AG40</f>
        <v/>
      </c>
      <c r="K40" s="45">
        <f>'DeepLabV3+'!AG40</f>
        <v/>
      </c>
      <c r="L40" s="45">
        <f>'YOLO11n-seg'!AG40</f>
        <v/>
      </c>
      <c r="M40" s="45">
        <f>'U-Net'!AI40</f>
        <v/>
      </c>
      <c r="N40" s="45">
        <f>'DeepLabV3+'!AI40</f>
        <v/>
      </c>
      <c r="O40" s="45">
        <f>'YOLO11n-seg'!AI40</f>
        <v/>
      </c>
    </row>
    <row r="41" ht="15" customHeight="1" s="30">
      <c r="A41" s="73">
        <f>'U-Net'!A41</f>
        <v/>
      </c>
      <c r="B41" s="45">
        <f>'U-Net'!AH41</f>
        <v/>
      </c>
      <c r="C41" s="45">
        <f>'DeepLabV3+'!AH41</f>
        <v/>
      </c>
      <c r="D41" s="45">
        <f>'YOLO11n-seg'!AH41</f>
        <v/>
      </c>
      <c r="E41" s="46">
        <f>INDEX($B$4:$D$4,MATCH(MAX(B41:D41),B41:D41,0))</f>
        <v/>
      </c>
      <c r="F41" s="45">
        <f>MAX(B41:D41)-MIN(B41:D41)</f>
        <v/>
      </c>
      <c r="G41" s="45">
        <f>'U-Net'!AF41</f>
        <v/>
      </c>
      <c r="H41" s="45">
        <f>'DeepLabV3+'!AF41</f>
        <v/>
      </c>
      <c r="I41" s="45">
        <f>'YOLO11n-seg'!AF41</f>
        <v/>
      </c>
      <c r="J41" s="45">
        <f>'U-Net'!AG41</f>
        <v/>
      </c>
      <c r="K41" s="45">
        <f>'DeepLabV3+'!AG41</f>
        <v/>
      </c>
      <c r="L41" s="45">
        <f>'YOLO11n-seg'!AG41</f>
        <v/>
      </c>
      <c r="M41" s="45">
        <f>'U-Net'!AI41</f>
        <v/>
      </c>
      <c r="N41" s="45">
        <f>'DeepLabV3+'!AI41</f>
        <v/>
      </c>
      <c r="O41" s="45">
        <f>'YOLO11n-seg'!AI41</f>
        <v/>
      </c>
    </row>
    <row r="42" ht="15" customHeight="1" s="30">
      <c r="A42" s="73">
        <f>'U-Net'!A42</f>
        <v/>
      </c>
      <c r="B42" s="45">
        <f>'U-Net'!AH42</f>
        <v/>
      </c>
      <c r="C42" s="45">
        <f>'DeepLabV3+'!AH42</f>
        <v/>
      </c>
      <c r="D42" s="45">
        <f>'YOLO11n-seg'!AH42</f>
        <v/>
      </c>
      <c r="E42" s="46">
        <f>INDEX($B$4:$D$4,MATCH(MAX(B42:D42),B42:D42,0))</f>
        <v/>
      </c>
      <c r="F42" s="45">
        <f>MAX(B42:D42)-MIN(B42:D42)</f>
        <v/>
      </c>
      <c r="G42" s="45">
        <f>'U-Net'!AF42</f>
        <v/>
      </c>
      <c r="H42" s="45">
        <f>'DeepLabV3+'!AF42</f>
        <v/>
      </c>
      <c r="I42" s="45">
        <f>'YOLO11n-seg'!AF42</f>
        <v/>
      </c>
      <c r="J42" s="45">
        <f>'U-Net'!AG42</f>
        <v/>
      </c>
      <c r="K42" s="45">
        <f>'DeepLabV3+'!AG42</f>
        <v/>
      </c>
      <c r="L42" s="45">
        <f>'YOLO11n-seg'!AG42</f>
        <v/>
      </c>
      <c r="M42" s="45">
        <f>'U-Net'!AI42</f>
        <v/>
      </c>
      <c r="N42" s="45">
        <f>'DeepLabV3+'!AI42</f>
        <v/>
      </c>
      <c r="O42" s="45">
        <f>'YOLO11n-seg'!AI42</f>
        <v/>
      </c>
    </row>
    <row r="43" ht="15" customHeight="1" s="30">
      <c r="A43" s="73">
        <f>'U-Net'!A43</f>
        <v/>
      </c>
      <c r="B43" s="45">
        <f>'U-Net'!AH43</f>
        <v/>
      </c>
      <c r="C43" s="45">
        <f>'DeepLabV3+'!AH43</f>
        <v/>
      </c>
      <c r="D43" s="45">
        <f>'YOLO11n-seg'!AH43</f>
        <v/>
      </c>
      <c r="E43" s="46">
        <f>INDEX($B$4:$D$4,MATCH(MAX(B43:D43),B43:D43,0))</f>
        <v/>
      </c>
      <c r="F43" s="45">
        <f>MAX(B43:D43)-MIN(B43:D43)</f>
        <v/>
      </c>
      <c r="G43" s="45">
        <f>'U-Net'!AF43</f>
        <v/>
      </c>
      <c r="H43" s="45">
        <f>'DeepLabV3+'!AF43</f>
        <v/>
      </c>
      <c r="I43" s="45">
        <f>'YOLO11n-seg'!AF43</f>
        <v/>
      </c>
      <c r="J43" s="45">
        <f>'U-Net'!AG43</f>
        <v/>
      </c>
      <c r="K43" s="45">
        <f>'DeepLabV3+'!AG43</f>
        <v/>
      </c>
      <c r="L43" s="45">
        <f>'YOLO11n-seg'!AG43</f>
        <v/>
      </c>
      <c r="M43" s="45">
        <f>'U-Net'!AI43</f>
        <v/>
      </c>
      <c r="N43" s="45">
        <f>'DeepLabV3+'!AI43</f>
        <v/>
      </c>
      <c r="O43" s="45">
        <f>'YOLO11n-seg'!AI43</f>
        <v/>
      </c>
    </row>
    <row r="44" ht="15" customHeight="1" s="30">
      <c r="A44" s="73">
        <f>'U-Net'!A44</f>
        <v/>
      </c>
      <c r="B44" s="45">
        <f>'U-Net'!AH44</f>
        <v/>
      </c>
      <c r="C44" s="45">
        <f>'DeepLabV3+'!AH44</f>
        <v/>
      </c>
      <c r="D44" s="45">
        <f>'YOLO11n-seg'!AH44</f>
        <v/>
      </c>
      <c r="E44" s="46">
        <f>INDEX($B$4:$D$4,MATCH(MAX(B44:D44),B44:D44,0))</f>
        <v/>
      </c>
      <c r="F44" s="45">
        <f>MAX(B44:D44)-MIN(B44:D44)</f>
        <v/>
      </c>
      <c r="G44" s="45">
        <f>'U-Net'!AF44</f>
        <v/>
      </c>
      <c r="H44" s="45">
        <f>'DeepLabV3+'!AF44</f>
        <v/>
      </c>
      <c r="I44" s="45">
        <f>'YOLO11n-seg'!AF44</f>
        <v/>
      </c>
      <c r="J44" s="45">
        <f>'U-Net'!AG44</f>
        <v/>
      </c>
      <c r="K44" s="45">
        <f>'DeepLabV3+'!AG44</f>
        <v/>
      </c>
      <c r="L44" s="45">
        <f>'YOLO11n-seg'!AG44</f>
        <v/>
      </c>
      <c r="M44" s="45">
        <f>'U-Net'!AI44</f>
        <v/>
      </c>
      <c r="N44" s="45">
        <f>'DeepLabV3+'!AI44</f>
        <v/>
      </c>
      <c r="O44" s="45">
        <f>'YOLO11n-seg'!AI44</f>
        <v/>
      </c>
    </row>
    <row r="45" ht="15" customHeight="1" s="30">
      <c r="A45" s="73">
        <f>'U-Net'!A45</f>
        <v/>
      </c>
      <c r="B45" s="45">
        <f>'U-Net'!AH45</f>
        <v/>
      </c>
      <c r="C45" s="45">
        <f>'DeepLabV3+'!AH45</f>
        <v/>
      </c>
      <c r="D45" s="45">
        <f>'YOLO11n-seg'!AH45</f>
        <v/>
      </c>
      <c r="E45" s="46">
        <f>INDEX($B$4:$D$4,MATCH(MAX(B45:D45),B45:D45,0))</f>
        <v/>
      </c>
      <c r="F45" s="45">
        <f>MAX(B45:D45)-MIN(B45:D45)</f>
        <v/>
      </c>
      <c r="G45" s="45">
        <f>'U-Net'!AF45</f>
        <v/>
      </c>
      <c r="H45" s="45">
        <f>'DeepLabV3+'!AF45</f>
        <v/>
      </c>
      <c r="I45" s="45">
        <f>'YOLO11n-seg'!AF45</f>
        <v/>
      </c>
      <c r="J45" s="45">
        <f>'U-Net'!AG45</f>
        <v/>
      </c>
      <c r="K45" s="45">
        <f>'DeepLabV3+'!AG45</f>
        <v/>
      </c>
      <c r="L45" s="45">
        <f>'YOLO11n-seg'!AG45</f>
        <v/>
      </c>
      <c r="M45" s="45">
        <f>'U-Net'!AI45</f>
        <v/>
      </c>
      <c r="N45" s="45">
        <f>'DeepLabV3+'!AI45</f>
        <v/>
      </c>
      <c r="O45" s="45">
        <f>'YOLO11n-seg'!AI45</f>
        <v/>
      </c>
    </row>
    <row r="46" ht="15" customHeight="1" s="30">
      <c r="A46" s="73">
        <f>'U-Net'!A46</f>
        <v/>
      </c>
      <c r="B46" s="45">
        <f>'U-Net'!AH46</f>
        <v/>
      </c>
      <c r="C46" s="45">
        <f>'DeepLabV3+'!AH46</f>
        <v/>
      </c>
      <c r="D46" s="45">
        <f>'YOLO11n-seg'!AH46</f>
        <v/>
      </c>
      <c r="E46" s="46">
        <f>INDEX($B$4:$D$4,MATCH(MAX(B46:D46),B46:D46,0))</f>
        <v/>
      </c>
      <c r="F46" s="45">
        <f>MAX(B46:D46)-MIN(B46:D46)</f>
        <v/>
      </c>
      <c r="G46" s="45">
        <f>'U-Net'!AF46</f>
        <v/>
      </c>
      <c r="H46" s="45">
        <f>'DeepLabV3+'!AF46</f>
        <v/>
      </c>
      <c r="I46" s="45">
        <f>'YOLO11n-seg'!AF46</f>
        <v/>
      </c>
      <c r="J46" s="45">
        <f>'U-Net'!AG46</f>
        <v/>
      </c>
      <c r="K46" s="45">
        <f>'DeepLabV3+'!AG46</f>
        <v/>
      </c>
      <c r="L46" s="45">
        <f>'YOLO11n-seg'!AG46</f>
        <v/>
      </c>
      <c r="M46" s="45">
        <f>'U-Net'!AI46</f>
        <v/>
      </c>
      <c r="N46" s="45">
        <f>'DeepLabV3+'!AI46</f>
        <v/>
      </c>
      <c r="O46" s="45">
        <f>'YOLO11n-seg'!AI46</f>
        <v/>
      </c>
    </row>
    <row r="47" ht="15" customHeight="1" s="30">
      <c r="A47" s="73">
        <f>'U-Net'!A47</f>
        <v/>
      </c>
      <c r="B47" s="45">
        <f>'U-Net'!AH47</f>
        <v/>
      </c>
      <c r="C47" s="45">
        <f>'DeepLabV3+'!AH47</f>
        <v/>
      </c>
      <c r="D47" s="45">
        <f>'YOLO11n-seg'!AH47</f>
        <v/>
      </c>
      <c r="E47" s="46">
        <f>INDEX($B$4:$D$4,MATCH(MAX(B47:D47),B47:D47,0))</f>
        <v/>
      </c>
      <c r="F47" s="45">
        <f>MAX(B47:D47)-MIN(B47:D47)</f>
        <v/>
      </c>
      <c r="G47" s="45">
        <f>'U-Net'!AF47</f>
        <v/>
      </c>
      <c r="H47" s="45">
        <f>'DeepLabV3+'!AF47</f>
        <v/>
      </c>
      <c r="I47" s="45">
        <f>'YOLO11n-seg'!AF47</f>
        <v/>
      </c>
      <c r="J47" s="45">
        <f>'U-Net'!AG47</f>
        <v/>
      </c>
      <c r="K47" s="45">
        <f>'DeepLabV3+'!AG47</f>
        <v/>
      </c>
      <c r="L47" s="45">
        <f>'YOLO11n-seg'!AG47</f>
        <v/>
      </c>
      <c r="M47" s="45">
        <f>'U-Net'!AI47</f>
        <v/>
      </c>
      <c r="N47" s="45">
        <f>'DeepLabV3+'!AI47</f>
        <v/>
      </c>
      <c r="O47" s="45">
        <f>'YOLO11n-seg'!AI47</f>
        <v/>
      </c>
    </row>
    <row r="48" ht="15" customHeight="1" s="30">
      <c r="A48" s="73">
        <f>'U-Net'!A48</f>
        <v/>
      </c>
      <c r="B48" s="45">
        <f>'U-Net'!AH48</f>
        <v/>
      </c>
      <c r="C48" s="45">
        <f>'DeepLabV3+'!AH48</f>
        <v/>
      </c>
      <c r="D48" s="45">
        <f>'YOLO11n-seg'!AH48</f>
        <v/>
      </c>
      <c r="E48" s="46">
        <f>INDEX($B$4:$D$4,MATCH(MAX(B48:D48),B48:D48,0))</f>
        <v/>
      </c>
      <c r="F48" s="45">
        <f>MAX(B48:D48)-MIN(B48:D48)</f>
        <v/>
      </c>
      <c r="G48" s="45">
        <f>'U-Net'!AF48</f>
        <v/>
      </c>
      <c r="H48" s="45">
        <f>'DeepLabV3+'!AF48</f>
        <v/>
      </c>
      <c r="I48" s="45">
        <f>'YOLO11n-seg'!AF48</f>
        <v/>
      </c>
      <c r="J48" s="45">
        <f>'U-Net'!AG48</f>
        <v/>
      </c>
      <c r="K48" s="45">
        <f>'DeepLabV3+'!AG48</f>
        <v/>
      </c>
      <c r="L48" s="45">
        <f>'YOLO11n-seg'!AG48</f>
        <v/>
      </c>
      <c r="M48" s="45">
        <f>'U-Net'!AI48</f>
        <v/>
      </c>
      <c r="N48" s="45">
        <f>'DeepLabV3+'!AI48</f>
        <v/>
      </c>
      <c r="O48" s="45">
        <f>'YOLO11n-seg'!AI48</f>
        <v/>
      </c>
    </row>
    <row r="49" ht="15" customHeight="1" s="30">
      <c r="A49" s="73">
        <f>'U-Net'!A49</f>
        <v/>
      </c>
      <c r="B49" s="45">
        <f>'U-Net'!AH49</f>
        <v/>
      </c>
      <c r="C49" s="45">
        <f>'DeepLabV3+'!AH49</f>
        <v/>
      </c>
      <c r="D49" s="45">
        <f>'YOLO11n-seg'!AH49</f>
        <v/>
      </c>
      <c r="E49" s="46">
        <f>INDEX($B$4:$D$4,MATCH(MAX(B49:D49),B49:D49,0))</f>
        <v/>
      </c>
      <c r="F49" s="45">
        <f>MAX(B49:D49)-MIN(B49:D49)</f>
        <v/>
      </c>
      <c r="G49" s="45">
        <f>'U-Net'!AF49</f>
        <v/>
      </c>
      <c r="H49" s="45">
        <f>'DeepLabV3+'!AF49</f>
        <v/>
      </c>
      <c r="I49" s="45">
        <f>'YOLO11n-seg'!AF49</f>
        <v/>
      </c>
      <c r="J49" s="45">
        <f>'U-Net'!AG49</f>
        <v/>
      </c>
      <c r="K49" s="45">
        <f>'DeepLabV3+'!AG49</f>
        <v/>
      </c>
      <c r="L49" s="45">
        <f>'YOLO11n-seg'!AG49</f>
        <v/>
      </c>
      <c r="M49" s="45">
        <f>'U-Net'!AI49</f>
        <v/>
      </c>
      <c r="N49" s="45">
        <f>'DeepLabV3+'!AI49</f>
        <v/>
      </c>
      <c r="O49" s="45">
        <f>'YOLO11n-seg'!AI49</f>
        <v/>
      </c>
    </row>
    <row r="50" ht="15" customHeight="1" s="30">
      <c r="A50" s="73">
        <f>'U-Net'!A50</f>
        <v/>
      </c>
      <c r="B50" s="45">
        <f>'U-Net'!AH50</f>
        <v/>
      </c>
      <c r="C50" s="45">
        <f>'DeepLabV3+'!AH50</f>
        <v/>
      </c>
      <c r="D50" s="45">
        <f>'YOLO11n-seg'!AH50</f>
        <v/>
      </c>
      <c r="E50" s="46">
        <f>INDEX($B$4:$D$4,MATCH(MAX(B50:D50),B50:D50,0))</f>
        <v/>
      </c>
      <c r="F50" s="45">
        <f>MAX(B50:D50)-MIN(B50:D50)</f>
        <v/>
      </c>
      <c r="G50" s="45">
        <f>'U-Net'!AF50</f>
        <v/>
      </c>
      <c r="H50" s="45">
        <f>'DeepLabV3+'!AF50</f>
        <v/>
      </c>
      <c r="I50" s="45">
        <f>'YOLO11n-seg'!AF50</f>
        <v/>
      </c>
      <c r="J50" s="45">
        <f>'U-Net'!AG50</f>
        <v/>
      </c>
      <c r="K50" s="45">
        <f>'DeepLabV3+'!AG50</f>
        <v/>
      </c>
      <c r="L50" s="45">
        <f>'YOLO11n-seg'!AG50</f>
        <v/>
      </c>
      <c r="M50" s="45">
        <f>'U-Net'!AI50</f>
        <v/>
      </c>
      <c r="N50" s="45">
        <f>'DeepLabV3+'!AI50</f>
        <v/>
      </c>
      <c r="O50" s="45">
        <f>'YOLO11n-seg'!AI50</f>
        <v/>
      </c>
    </row>
    <row r="51" ht="15" customHeight="1" s="30">
      <c r="A51" s="73">
        <f>'U-Net'!A51</f>
        <v/>
      </c>
      <c r="B51" s="45">
        <f>'U-Net'!AH51</f>
        <v/>
      </c>
      <c r="C51" s="45">
        <f>'DeepLabV3+'!AH51</f>
        <v/>
      </c>
      <c r="D51" s="45">
        <f>'YOLO11n-seg'!AH51</f>
        <v/>
      </c>
      <c r="E51" s="46">
        <f>INDEX($B$4:$D$4,MATCH(MAX(B51:D51),B51:D51,0))</f>
        <v/>
      </c>
      <c r="F51" s="45">
        <f>MAX(B51:D51)-MIN(B51:D51)</f>
        <v/>
      </c>
      <c r="G51" s="45">
        <f>'U-Net'!AF51</f>
        <v/>
      </c>
      <c r="H51" s="45">
        <f>'DeepLabV3+'!AF51</f>
        <v/>
      </c>
      <c r="I51" s="45">
        <f>'YOLO11n-seg'!AF51</f>
        <v/>
      </c>
      <c r="J51" s="45">
        <f>'U-Net'!AG51</f>
        <v/>
      </c>
      <c r="K51" s="45">
        <f>'DeepLabV3+'!AG51</f>
        <v/>
      </c>
      <c r="L51" s="45">
        <f>'YOLO11n-seg'!AG51</f>
        <v/>
      </c>
      <c r="M51" s="45">
        <f>'U-Net'!AI51</f>
        <v/>
      </c>
      <c r="N51" s="45">
        <f>'DeepLabV3+'!AI51</f>
        <v/>
      </c>
      <c r="O51" s="45">
        <f>'YOLO11n-seg'!AI51</f>
        <v/>
      </c>
    </row>
    <row r="52" ht="15" customHeight="1" s="30">
      <c r="A52" s="73">
        <f>'U-Net'!A52</f>
        <v/>
      </c>
      <c r="B52" s="45">
        <f>'U-Net'!AH52</f>
        <v/>
      </c>
      <c r="C52" s="45">
        <f>'DeepLabV3+'!AH52</f>
        <v/>
      </c>
      <c r="D52" s="45">
        <f>'YOLO11n-seg'!AH52</f>
        <v/>
      </c>
      <c r="E52" s="46">
        <f>INDEX($B$4:$D$4,MATCH(MAX(B52:D52),B52:D52,0))</f>
        <v/>
      </c>
      <c r="F52" s="45">
        <f>MAX(B52:D52)-MIN(B52:D52)</f>
        <v/>
      </c>
      <c r="G52" s="45">
        <f>'U-Net'!AF52</f>
        <v/>
      </c>
      <c r="H52" s="45">
        <f>'DeepLabV3+'!AF52</f>
        <v/>
      </c>
      <c r="I52" s="45">
        <f>'YOLO11n-seg'!AF52</f>
        <v/>
      </c>
      <c r="J52" s="45">
        <f>'U-Net'!AG52</f>
        <v/>
      </c>
      <c r="K52" s="45">
        <f>'DeepLabV3+'!AG52</f>
        <v/>
      </c>
      <c r="L52" s="45">
        <f>'YOLO11n-seg'!AG52</f>
        <v/>
      </c>
      <c r="M52" s="45">
        <f>'U-Net'!AI52</f>
        <v/>
      </c>
      <c r="N52" s="45">
        <f>'DeepLabV3+'!AI52</f>
        <v/>
      </c>
      <c r="O52" s="45">
        <f>'YOLO11n-seg'!AI52</f>
        <v/>
      </c>
    </row>
    <row r="53" ht="15" customHeight="1" s="30">
      <c r="A53" s="73">
        <f>'U-Net'!A53</f>
        <v/>
      </c>
      <c r="B53" s="45">
        <f>'U-Net'!AH53</f>
        <v/>
      </c>
      <c r="C53" s="45">
        <f>'DeepLabV3+'!AH53</f>
        <v/>
      </c>
      <c r="D53" s="45">
        <f>'YOLO11n-seg'!AH53</f>
        <v/>
      </c>
      <c r="E53" s="46">
        <f>INDEX($B$4:$D$4,MATCH(MAX(B53:D53),B53:D53,0))</f>
        <v/>
      </c>
      <c r="F53" s="45">
        <f>MAX(B53:D53)-MIN(B53:D53)</f>
        <v/>
      </c>
      <c r="G53" s="45">
        <f>'U-Net'!AF53</f>
        <v/>
      </c>
      <c r="H53" s="45">
        <f>'DeepLabV3+'!AF53</f>
        <v/>
      </c>
      <c r="I53" s="45">
        <f>'YOLO11n-seg'!AF53</f>
        <v/>
      </c>
      <c r="J53" s="45">
        <f>'U-Net'!AG53</f>
        <v/>
      </c>
      <c r="K53" s="45">
        <f>'DeepLabV3+'!AG53</f>
        <v/>
      </c>
      <c r="L53" s="45">
        <f>'YOLO11n-seg'!AG53</f>
        <v/>
      </c>
      <c r="M53" s="45">
        <f>'U-Net'!AI53</f>
        <v/>
      </c>
      <c r="N53" s="45">
        <f>'DeepLabV3+'!AI53</f>
        <v/>
      </c>
      <c r="O53" s="45">
        <f>'YOLO11n-seg'!AI53</f>
        <v/>
      </c>
    </row>
    <row r="54" ht="15" customHeight="1" s="30">
      <c r="A54" s="73">
        <f>'U-Net'!A54</f>
        <v/>
      </c>
      <c r="B54" s="45">
        <f>'U-Net'!AH54</f>
        <v/>
      </c>
      <c r="C54" s="45">
        <f>'DeepLabV3+'!AH54</f>
        <v/>
      </c>
      <c r="D54" s="45">
        <f>'YOLO11n-seg'!AH54</f>
        <v/>
      </c>
      <c r="E54" s="46">
        <f>INDEX($B$4:$D$4,MATCH(MAX(B54:D54),B54:D54,0))</f>
        <v/>
      </c>
      <c r="F54" s="45">
        <f>MAX(B54:D54)-MIN(B54:D54)</f>
        <v/>
      </c>
      <c r="G54" s="45">
        <f>'U-Net'!AF54</f>
        <v/>
      </c>
      <c r="H54" s="45">
        <f>'DeepLabV3+'!AF54</f>
        <v/>
      </c>
      <c r="I54" s="45">
        <f>'YOLO11n-seg'!AF54</f>
        <v/>
      </c>
      <c r="J54" s="45">
        <f>'U-Net'!AG54</f>
        <v/>
      </c>
      <c r="K54" s="45">
        <f>'DeepLabV3+'!AG54</f>
        <v/>
      </c>
      <c r="L54" s="45">
        <f>'YOLO11n-seg'!AG54</f>
        <v/>
      </c>
      <c r="M54" s="45">
        <f>'U-Net'!AI54</f>
        <v/>
      </c>
      <c r="N54" s="45">
        <f>'DeepLabV3+'!AI54</f>
        <v/>
      </c>
      <c r="O54" s="45">
        <f>'YOLO11n-seg'!AI54</f>
        <v/>
      </c>
    </row>
    <row r="55" ht="15" customHeight="1" s="30">
      <c r="A55" s="73">
        <f>'U-Net'!A55</f>
        <v/>
      </c>
      <c r="B55" s="45">
        <f>'U-Net'!AH55</f>
        <v/>
      </c>
      <c r="C55" s="45">
        <f>'DeepLabV3+'!AH55</f>
        <v/>
      </c>
      <c r="D55" s="45">
        <f>'YOLO11n-seg'!AH55</f>
        <v/>
      </c>
      <c r="E55" s="46">
        <f>INDEX($B$4:$D$4,MATCH(MAX(B55:D55),B55:D55,0))</f>
        <v/>
      </c>
      <c r="F55" s="45">
        <f>MAX(B55:D55)-MIN(B55:D55)</f>
        <v/>
      </c>
      <c r="G55" s="45">
        <f>'U-Net'!AF55</f>
        <v/>
      </c>
      <c r="H55" s="45">
        <f>'DeepLabV3+'!AF55</f>
        <v/>
      </c>
      <c r="I55" s="45">
        <f>'YOLO11n-seg'!AF55</f>
        <v/>
      </c>
      <c r="J55" s="45">
        <f>'U-Net'!AG55</f>
        <v/>
      </c>
      <c r="K55" s="45">
        <f>'DeepLabV3+'!AG55</f>
        <v/>
      </c>
      <c r="L55" s="45">
        <f>'YOLO11n-seg'!AG55</f>
        <v/>
      </c>
      <c r="M55" s="45">
        <f>'U-Net'!AI55</f>
        <v/>
      </c>
      <c r="N55" s="45">
        <f>'DeepLabV3+'!AI55</f>
        <v/>
      </c>
      <c r="O55" s="45">
        <f>'YOLO11n-seg'!AI55</f>
        <v/>
      </c>
    </row>
    <row r="56" ht="15" customHeight="1" s="30">
      <c r="A56" s="73">
        <f>'U-Net'!A56</f>
        <v/>
      </c>
      <c r="B56" s="45">
        <f>'U-Net'!AH56</f>
        <v/>
      </c>
      <c r="C56" s="45">
        <f>'DeepLabV3+'!AH56</f>
        <v/>
      </c>
      <c r="D56" s="45">
        <f>'YOLO11n-seg'!AH56</f>
        <v/>
      </c>
      <c r="E56" s="46">
        <f>INDEX($B$4:$D$4,MATCH(MAX(B56:D56),B56:D56,0))</f>
        <v/>
      </c>
      <c r="F56" s="45">
        <f>MAX(B56:D56)-MIN(B56:D56)</f>
        <v/>
      </c>
      <c r="G56" s="45">
        <f>'U-Net'!AF56</f>
        <v/>
      </c>
      <c r="H56" s="45">
        <f>'DeepLabV3+'!AF56</f>
        <v/>
      </c>
      <c r="I56" s="45">
        <f>'YOLO11n-seg'!AF56</f>
        <v/>
      </c>
      <c r="J56" s="45">
        <f>'U-Net'!AG56</f>
        <v/>
      </c>
      <c r="K56" s="45">
        <f>'DeepLabV3+'!AG56</f>
        <v/>
      </c>
      <c r="L56" s="45">
        <f>'YOLO11n-seg'!AG56</f>
        <v/>
      </c>
      <c r="M56" s="45">
        <f>'U-Net'!AI56</f>
        <v/>
      </c>
      <c r="N56" s="45">
        <f>'DeepLabV3+'!AI56</f>
        <v/>
      </c>
      <c r="O56" s="45">
        <f>'YOLO11n-seg'!AI56</f>
        <v/>
      </c>
    </row>
    <row r="57" ht="15" customHeight="1" s="30">
      <c r="A57" s="73">
        <f>'U-Net'!A57</f>
        <v/>
      </c>
      <c r="B57" s="45">
        <f>'U-Net'!AH57</f>
        <v/>
      </c>
      <c r="C57" s="45">
        <f>'DeepLabV3+'!AH57</f>
        <v/>
      </c>
      <c r="D57" s="45">
        <f>'YOLO11n-seg'!AH57</f>
        <v/>
      </c>
      <c r="E57" s="46">
        <f>INDEX($B$4:$D$4,MATCH(MAX(B57:D57),B57:D57,0))</f>
        <v/>
      </c>
      <c r="F57" s="45">
        <f>MAX(B57:D57)-MIN(B57:D57)</f>
        <v/>
      </c>
      <c r="G57" s="45">
        <f>'U-Net'!AF57</f>
        <v/>
      </c>
      <c r="H57" s="45">
        <f>'DeepLabV3+'!AF57</f>
        <v/>
      </c>
      <c r="I57" s="45">
        <f>'YOLO11n-seg'!AF57</f>
        <v/>
      </c>
      <c r="J57" s="45">
        <f>'U-Net'!AG57</f>
        <v/>
      </c>
      <c r="K57" s="45">
        <f>'DeepLabV3+'!AG57</f>
        <v/>
      </c>
      <c r="L57" s="45">
        <f>'YOLO11n-seg'!AG57</f>
        <v/>
      </c>
      <c r="M57" s="45">
        <f>'U-Net'!AI57</f>
        <v/>
      </c>
      <c r="N57" s="45">
        <f>'DeepLabV3+'!AI57</f>
        <v/>
      </c>
      <c r="O57" s="45">
        <f>'YOLO11n-seg'!AI57</f>
        <v/>
      </c>
    </row>
    <row r="58" ht="15" customHeight="1" s="30">
      <c r="A58" s="73">
        <f>'U-Net'!A58</f>
        <v/>
      </c>
      <c r="B58" s="45">
        <f>'U-Net'!AH58</f>
        <v/>
      </c>
      <c r="C58" s="45">
        <f>'DeepLabV3+'!AH58</f>
        <v/>
      </c>
      <c r="D58" s="45">
        <f>'YOLO11n-seg'!AH58</f>
        <v/>
      </c>
      <c r="E58" s="46">
        <f>INDEX($B$4:$D$4,MATCH(MAX(B58:D58),B58:D58,0))</f>
        <v/>
      </c>
      <c r="F58" s="45">
        <f>MAX(B58:D58)-MIN(B58:D58)</f>
        <v/>
      </c>
      <c r="G58" s="45">
        <f>'U-Net'!AF58</f>
        <v/>
      </c>
      <c r="H58" s="45">
        <f>'DeepLabV3+'!AF58</f>
        <v/>
      </c>
      <c r="I58" s="45">
        <f>'YOLO11n-seg'!AF58</f>
        <v/>
      </c>
      <c r="J58" s="45">
        <f>'U-Net'!AG58</f>
        <v/>
      </c>
      <c r="K58" s="45">
        <f>'DeepLabV3+'!AG58</f>
        <v/>
      </c>
      <c r="L58" s="45">
        <f>'YOLO11n-seg'!AG58</f>
        <v/>
      </c>
      <c r="M58" s="45">
        <f>'U-Net'!AI58</f>
        <v/>
      </c>
      <c r="N58" s="45">
        <f>'DeepLabV3+'!AI58</f>
        <v/>
      </c>
      <c r="O58" s="45">
        <f>'YOLO11n-seg'!AI58</f>
        <v/>
      </c>
    </row>
    <row r="59" ht="15" customHeight="1" s="30">
      <c r="A59" s="73">
        <f>'U-Net'!A59</f>
        <v/>
      </c>
      <c r="B59" s="45">
        <f>'U-Net'!AH59</f>
        <v/>
      </c>
      <c r="C59" s="45">
        <f>'DeepLabV3+'!AH59</f>
        <v/>
      </c>
      <c r="D59" s="45">
        <f>'YOLO11n-seg'!AH59</f>
        <v/>
      </c>
      <c r="E59" s="46">
        <f>INDEX($B$4:$D$4,MATCH(MAX(B59:D59),B59:D59,0))</f>
        <v/>
      </c>
      <c r="F59" s="45">
        <f>MAX(B59:D59)-MIN(B59:D59)</f>
        <v/>
      </c>
      <c r="G59" s="45">
        <f>'U-Net'!AF59</f>
        <v/>
      </c>
      <c r="H59" s="45">
        <f>'DeepLabV3+'!AF59</f>
        <v/>
      </c>
      <c r="I59" s="45">
        <f>'YOLO11n-seg'!AF59</f>
        <v/>
      </c>
      <c r="J59" s="45">
        <f>'U-Net'!AG59</f>
        <v/>
      </c>
      <c r="K59" s="45">
        <f>'DeepLabV3+'!AG59</f>
        <v/>
      </c>
      <c r="L59" s="45">
        <f>'YOLO11n-seg'!AG59</f>
        <v/>
      </c>
      <c r="M59" s="45">
        <f>'U-Net'!AI59</f>
        <v/>
      </c>
      <c r="N59" s="45">
        <f>'DeepLabV3+'!AI59</f>
        <v/>
      </c>
      <c r="O59" s="45">
        <f>'YOLO11n-seg'!AI59</f>
        <v/>
      </c>
    </row>
    <row r="60" ht="15" customHeight="1" s="30">
      <c r="A60" s="73">
        <f>'U-Net'!A60</f>
        <v/>
      </c>
      <c r="B60" s="45">
        <f>'U-Net'!AH60</f>
        <v/>
      </c>
      <c r="C60" s="45">
        <f>'DeepLabV3+'!AH60</f>
        <v/>
      </c>
      <c r="D60" s="45">
        <f>'YOLO11n-seg'!AH60</f>
        <v/>
      </c>
      <c r="E60" s="46">
        <f>INDEX($B$4:$D$4,MATCH(MAX(B60:D60),B60:D60,0))</f>
        <v/>
      </c>
      <c r="F60" s="45">
        <f>MAX(B60:D60)-MIN(B60:D60)</f>
        <v/>
      </c>
      <c r="G60" s="45">
        <f>'U-Net'!AF60</f>
        <v/>
      </c>
      <c r="H60" s="45">
        <f>'DeepLabV3+'!AF60</f>
        <v/>
      </c>
      <c r="I60" s="45">
        <f>'YOLO11n-seg'!AF60</f>
        <v/>
      </c>
      <c r="J60" s="45">
        <f>'U-Net'!AG60</f>
        <v/>
      </c>
      <c r="K60" s="45">
        <f>'DeepLabV3+'!AG60</f>
        <v/>
      </c>
      <c r="L60" s="45">
        <f>'YOLO11n-seg'!AG60</f>
        <v/>
      </c>
      <c r="M60" s="45">
        <f>'U-Net'!AI60</f>
        <v/>
      </c>
      <c r="N60" s="45">
        <f>'DeepLabV3+'!AI60</f>
        <v/>
      </c>
      <c r="O60" s="45">
        <f>'YOLO11n-seg'!AI60</f>
        <v/>
      </c>
    </row>
    <row r="61" ht="15" customHeight="1" s="30">
      <c r="A61" s="73">
        <f>'U-Net'!A61</f>
        <v/>
      </c>
      <c r="B61" s="45">
        <f>'U-Net'!AH61</f>
        <v/>
      </c>
      <c r="C61" s="45">
        <f>'DeepLabV3+'!AH61</f>
        <v/>
      </c>
      <c r="D61" s="45">
        <f>'YOLO11n-seg'!AH61</f>
        <v/>
      </c>
      <c r="E61" s="46">
        <f>INDEX($B$4:$D$4,MATCH(MAX(B61:D61),B61:D61,0))</f>
        <v/>
      </c>
      <c r="F61" s="45">
        <f>MAX(B61:D61)-MIN(B61:D61)</f>
        <v/>
      </c>
      <c r="G61" s="45">
        <f>'U-Net'!AF61</f>
        <v/>
      </c>
      <c r="H61" s="45">
        <f>'DeepLabV3+'!AF61</f>
        <v/>
      </c>
      <c r="I61" s="45">
        <f>'YOLO11n-seg'!AF61</f>
        <v/>
      </c>
      <c r="J61" s="45">
        <f>'U-Net'!AG61</f>
        <v/>
      </c>
      <c r="K61" s="45">
        <f>'DeepLabV3+'!AG61</f>
        <v/>
      </c>
      <c r="L61" s="45">
        <f>'YOLO11n-seg'!AG61</f>
        <v/>
      </c>
      <c r="M61" s="45">
        <f>'U-Net'!AI61</f>
        <v/>
      </c>
      <c r="N61" s="45">
        <f>'DeepLabV3+'!AI61</f>
        <v/>
      </c>
      <c r="O61" s="45">
        <f>'YOLO11n-seg'!AI61</f>
        <v/>
      </c>
    </row>
    <row r="62" ht="15" customHeight="1" s="30">
      <c r="A62" s="73">
        <f>'U-Net'!A62</f>
        <v/>
      </c>
      <c r="B62" s="45">
        <f>'U-Net'!AH62</f>
        <v/>
      </c>
      <c r="C62" s="45">
        <f>'DeepLabV3+'!AH62</f>
        <v/>
      </c>
      <c r="D62" s="45">
        <f>'YOLO11n-seg'!AH62</f>
        <v/>
      </c>
      <c r="E62" s="46">
        <f>INDEX($B$4:$D$4,MATCH(MAX(B62:D62),B62:D62,0))</f>
        <v/>
      </c>
      <c r="F62" s="45">
        <f>MAX(B62:D62)-MIN(B62:D62)</f>
        <v/>
      </c>
      <c r="G62" s="45">
        <f>'U-Net'!AF62</f>
        <v/>
      </c>
      <c r="H62" s="45">
        <f>'DeepLabV3+'!AF62</f>
        <v/>
      </c>
      <c r="I62" s="45">
        <f>'YOLO11n-seg'!AF62</f>
        <v/>
      </c>
      <c r="J62" s="45">
        <f>'U-Net'!AG62</f>
        <v/>
      </c>
      <c r="K62" s="45">
        <f>'DeepLabV3+'!AG62</f>
        <v/>
      </c>
      <c r="L62" s="45">
        <f>'YOLO11n-seg'!AG62</f>
        <v/>
      </c>
      <c r="M62" s="45">
        <f>'U-Net'!AI62</f>
        <v/>
      </c>
      <c r="N62" s="45">
        <f>'DeepLabV3+'!AI62</f>
        <v/>
      </c>
      <c r="O62" s="45">
        <f>'YOLO11n-seg'!AI62</f>
        <v/>
      </c>
    </row>
    <row r="63" ht="15" customHeight="1" s="30">
      <c r="A63" s="73">
        <f>'U-Net'!A63</f>
        <v/>
      </c>
      <c r="B63" s="45">
        <f>'U-Net'!AH63</f>
        <v/>
      </c>
      <c r="C63" s="45">
        <f>'DeepLabV3+'!AH63</f>
        <v/>
      </c>
      <c r="D63" s="45">
        <f>'YOLO11n-seg'!AH63</f>
        <v/>
      </c>
      <c r="E63" s="46">
        <f>INDEX($B$4:$D$4,MATCH(MAX(B63:D63),B63:D63,0))</f>
        <v/>
      </c>
      <c r="F63" s="45">
        <f>MAX(B63:D63)-MIN(B63:D63)</f>
        <v/>
      </c>
      <c r="G63" s="45">
        <f>'U-Net'!AF63</f>
        <v/>
      </c>
      <c r="H63" s="45">
        <f>'DeepLabV3+'!AF63</f>
        <v/>
      </c>
      <c r="I63" s="45">
        <f>'YOLO11n-seg'!AF63</f>
        <v/>
      </c>
      <c r="J63" s="45">
        <f>'U-Net'!AG63</f>
        <v/>
      </c>
      <c r="K63" s="45">
        <f>'DeepLabV3+'!AG63</f>
        <v/>
      </c>
      <c r="L63" s="45">
        <f>'YOLO11n-seg'!AG63</f>
        <v/>
      </c>
      <c r="M63" s="45">
        <f>'U-Net'!AI63</f>
        <v/>
      </c>
      <c r="N63" s="45">
        <f>'DeepLabV3+'!AI63</f>
        <v/>
      </c>
      <c r="O63" s="45">
        <f>'YOLO11n-seg'!AI63</f>
        <v/>
      </c>
    </row>
    <row r="64" ht="15" customHeight="1" s="30">
      <c r="A64" s="73">
        <f>'U-Net'!A64</f>
        <v/>
      </c>
      <c r="B64" s="45">
        <f>'U-Net'!AH64</f>
        <v/>
      </c>
      <c r="C64" s="45">
        <f>'DeepLabV3+'!AH64</f>
        <v/>
      </c>
      <c r="D64" s="45">
        <f>'YOLO11n-seg'!AH64</f>
        <v/>
      </c>
      <c r="E64" s="46">
        <f>INDEX($B$4:$D$4,MATCH(MAX(B64:D64),B64:D64,0))</f>
        <v/>
      </c>
      <c r="F64" s="45">
        <f>MAX(B64:D64)-MIN(B64:D64)</f>
        <v/>
      </c>
      <c r="G64" s="45">
        <f>'U-Net'!AF64</f>
        <v/>
      </c>
      <c r="H64" s="45">
        <f>'DeepLabV3+'!AF64</f>
        <v/>
      </c>
      <c r="I64" s="45">
        <f>'YOLO11n-seg'!AF64</f>
        <v/>
      </c>
      <c r="J64" s="45">
        <f>'U-Net'!AG64</f>
        <v/>
      </c>
      <c r="K64" s="45">
        <f>'DeepLabV3+'!AG64</f>
        <v/>
      </c>
      <c r="L64" s="45">
        <f>'YOLO11n-seg'!AG64</f>
        <v/>
      </c>
      <c r="M64" s="45">
        <f>'U-Net'!AI64</f>
        <v/>
      </c>
      <c r="N64" s="45">
        <f>'DeepLabV3+'!AI64</f>
        <v/>
      </c>
      <c r="O64" s="45">
        <f>'YOLO11n-seg'!AI64</f>
        <v/>
      </c>
    </row>
    <row r="65" ht="15" customHeight="1" s="30">
      <c r="A65" s="73">
        <f>'U-Net'!A65</f>
        <v/>
      </c>
      <c r="B65" s="45">
        <f>'U-Net'!AH65</f>
        <v/>
      </c>
      <c r="C65" s="45">
        <f>'DeepLabV3+'!AH65</f>
        <v/>
      </c>
      <c r="D65" s="45">
        <f>'YOLO11n-seg'!AH65</f>
        <v/>
      </c>
      <c r="E65" s="46">
        <f>INDEX($B$4:$D$4,MATCH(MAX(B65:D65),B65:D65,0))</f>
        <v/>
      </c>
      <c r="F65" s="45">
        <f>MAX(B65:D65)-MIN(B65:D65)</f>
        <v/>
      </c>
      <c r="G65" s="45">
        <f>'U-Net'!AF65</f>
        <v/>
      </c>
      <c r="H65" s="45">
        <f>'DeepLabV3+'!AF65</f>
        <v/>
      </c>
      <c r="I65" s="45">
        <f>'YOLO11n-seg'!AF65</f>
        <v/>
      </c>
      <c r="J65" s="45">
        <f>'U-Net'!AG65</f>
        <v/>
      </c>
      <c r="K65" s="45">
        <f>'DeepLabV3+'!AG65</f>
        <v/>
      </c>
      <c r="L65" s="45">
        <f>'YOLO11n-seg'!AG65</f>
        <v/>
      </c>
      <c r="M65" s="45">
        <f>'U-Net'!AI65</f>
        <v/>
      </c>
      <c r="N65" s="45">
        <f>'DeepLabV3+'!AI65</f>
        <v/>
      </c>
      <c r="O65" s="45">
        <f>'YOLO11n-seg'!AI65</f>
        <v/>
      </c>
    </row>
    <row r="66" ht="15" customHeight="1" s="30">
      <c r="A66" s="73">
        <f>'U-Net'!A66</f>
        <v/>
      </c>
      <c r="B66" s="45">
        <f>'U-Net'!AH66</f>
        <v/>
      </c>
      <c r="C66" s="45">
        <f>'DeepLabV3+'!AH66</f>
        <v/>
      </c>
      <c r="D66" s="45">
        <f>'YOLO11n-seg'!AH66</f>
        <v/>
      </c>
      <c r="E66" s="46">
        <f>INDEX($B$4:$D$4,MATCH(MAX(B66:D66),B66:D66,0))</f>
        <v/>
      </c>
      <c r="F66" s="45">
        <f>MAX(B66:D66)-MIN(B66:D66)</f>
        <v/>
      </c>
      <c r="G66" s="45">
        <f>'U-Net'!AF66</f>
        <v/>
      </c>
      <c r="H66" s="45">
        <f>'DeepLabV3+'!AF66</f>
        <v/>
      </c>
      <c r="I66" s="45">
        <f>'YOLO11n-seg'!AF66</f>
        <v/>
      </c>
      <c r="J66" s="45">
        <f>'U-Net'!AG66</f>
        <v/>
      </c>
      <c r="K66" s="45">
        <f>'DeepLabV3+'!AG66</f>
        <v/>
      </c>
      <c r="L66" s="45">
        <f>'YOLO11n-seg'!AG66</f>
        <v/>
      </c>
      <c r="M66" s="45">
        <f>'U-Net'!AI66</f>
        <v/>
      </c>
      <c r="N66" s="45">
        <f>'DeepLabV3+'!AI66</f>
        <v/>
      </c>
      <c r="O66" s="45">
        <f>'YOLO11n-seg'!AI66</f>
        <v/>
      </c>
    </row>
    <row r="67" ht="15" customHeight="1" s="30">
      <c r="A67" s="73">
        <f>'U-Net'!A67</f>
        <v/>
      </c>
      <c r="B67" s="45">
        <f>'U-Net'!AH67</f>
        <v/>
      </c>
      <c r="C67" s="45">
        <f>'DeepLabV3+'!AH67</f>
        <v/>
      </c>
      <c r="D67" s="45">
        <f>'YOLO11n-seg'!AH67</f>
        <v/>
      </c>
      <c r="E67" s="46">
        <f>INDEX($B$4:$D$4,MATCH(MAX(B67:D67),B67:D67,0))</f>
        <v/>
      </c>
      <c r="F67" s="45">
        <f>MAX(B67:D67)-MIN(B67:D67)</f>
        <v/>
      </c>
      <c r="G67" s="45">
        <f>'U-Net'!AF67</f>
        <v/>
      </c>
      <c r="H67" s="45">
        <f>'DeepLabV3+'!AF67</f>
        <v/>
      </c>
      <c r="I67" s="45">
        <f>'YOLO11n-seg'!AF67</f>
        <v/>
      </c>
      <c r="J67" s="45">
        <f>'U-Net'!AG67</f>
        <v/>
      </c>
      <c r="K67" s="45">
        <f>'DeepLabV3+'!AG67</f>
        <v/>
      </c>
      <c r="L67" s="45">
        <f>'YOLO11n-seg'!AG67</f>
        <v/>
      </c>
      <c r="M67" s="45">
        <f>'U-Net'!AI67</f>
        <v/>
      </c>
      <c r="N67" s="45">
        <f>'DeepLabV3+'!AI67</f>
        <v/>
      </c>
      <c r="O67" s="45">
        <f>'YOLO11n-seg'!AI67</f>
        <v/>
      </c>
    </row>
    <row r="68" ht="15" customHeight="1" s="30">
      <c r="A68" s="73">
        <f>'U-Net'!A68</f>
        <v/>
      </c>
      <c r="B68" s="45">
        <f>'U-Net'!AH68</f>
        <v/>
      </c>
      <c r="C68" s="45">
        <f>'DeepLabV3+'!AH68</f>
        <v/>
      </c>
      <c r="D68" s="45">
        <f>'YOLO11n-seg'!AH68</f>
        <v/>
      </c>
      <c r="E68" s="46">
        <f>INDEX($B$4:$D$4,MATCH(MAX(B68:D68),B68:D68,0))</f>
        <v/>
      </c>
      <c r="F68" s="45">
        <f>MAX(B68:D68)-MIN(B68:D68)</f>
        <v/>
      </c>
      <c r="G68" s="45">
        <f>'U-Net'!AF68</f>
        <v/>
      </c>
      <c r="H68" s="45">
        <f>'DeepLabV3+'!AF68</f>
        <v/>
      </c>
      <c r="I68" s="45">
        <f>'YOLO11n-seg'!AF68</f>
        <v/>
      </c>
      <c r="J68" s="45">
        <f>'U-Net'!AG68</f>
        <v/>
      </c>
      <c r="K68" s="45">
        <f>'DeepLabV3+'!AG68</f>
        <v/>
      </c>
      <c r="L68" s="45">
        <f>'YOLO11n-seg'!AG68</f>
        <v/>
      </c>
      <c r="M68" s="45">
        <f>'U-Net'!AI68</f>
        <v/>
      </c>
      <c r="N68" s="45">
        <f>'DeepLabV3+'!AI68</f>
        <v/>
      </c>
      <c r="O68" s="45">
        <f>'YOLO11n-seg'!AI68</f>
        <v/>
      </c>
    </row>
    <row r="69" ht="15" customHeight="1" s="30">
      <c r="A69" s="73">
        <f>'U-Net'!A69</f>
        <v/>
      </c>
      <c r="B69" s="45">
        <f>'U-Net'!AH69</f>
        <v/>
      </c>
      <c r="C69" s="45">
        <f>'DeepLabV3+'!AH69</f>
        <v/>
      </c>
      <c r="D69" s="45">
        <f>'YOLO11n-seg'!AH69</f>
        <v/>
      </c>
      <c r="E69" s="46">
        <f>INDEX($B$4:$D$4,MATCH(MAX(B69:D69),B69:D69,0))</f>
        <v/>
      </c>
      <c r="F69" s="45">
        <f>MAX(B69:D69)-MIN(B69:D69)</f>
        <v/>
      </c>
      <c r="G69" s="45">
        <f>'U-Net'!AF69</f>
        <v/>
      </c>
      <c r="H69" s="45">
        <f>'DeepLabV3+'!AF69</f>
        <v/>
      </c>
      <c r="I69" s="45">
        <f>'YOLO11n-seg'!AF69</f>
        <v/>
      </c>
      <c r="J69" s="45">
        <f>'U-Net'!AG69</f>
        <v/>
      </c>
      <c r="K69" s="45">
        <f>'DeepLabV3+'!AG69</f>
        <v/>
      </c>
      <c r="L69" s="45">
        <f>'YOLO11n-seg'!AG69</f>
        <v/>
      </c>
      <c r="M69" s="45">
        <f>'U-Net'!AI69</f>
        <v/>
      </c>
      <c r="N69" s="45">
        <f>'DeepLabV3+'!AI69</f>
        <v/>
      </c>
      <c r="O69" s="45">
        <f>'YOLO11n-seg'!AI69</f>
        <v/>
      </c>
    </row>
    <row r="70" ht="15" customHeight="1" s="30">
      <c r="A70" s="73">
        <f>'U-Net'!A70</f>
        <v/>
      </c>
      <c r="B70" s="45">
        <f>'U-Net'!AH70</f>
        <v/>
      </c>
      <c r="C70" s="45">
        <f>'DeepLabV3+'!AH70</f>
        <v/>
      </c>
      <c r="D70" s="45">
        <f>'YOLO11n-seg'!AH70</f>
        <v/>
      </c>
      <c r="E70" s="46">
        <f>INDEX($B$4:$D$4,MATCH(MAX(B70:D70),B70:D70,0))</f>
        <v/>
      </c>
      <c r="F70" s="45">
        <f>MAX(B70:D70)-MIN(B70:D70)</f>
        <v/>
      </c>
      <c r="G70" s="45">
        <f>'U-Net'!AF70</f>
        <v/>
      </c>
      <c r="H70" s="45">
        <f>'DeepLabV3+'!AF70</f>
        <v/>
      </c>
      <c r="I70" s="45">
        <f>'YOLO11n-seg'!AF70</f>
        <v/>
      </c>
      <c r="J70" s="45">
        <f>'U-Net'!AG70</f>
        <v/>
      </c>
      <c r="K70" s="45">
        <f>'DeepLabV3+'!AG70</f>
        <v/>
      </c>
      <c r="L70" s="45">
        <f>'YOLO11n-seg'!AG70</f>
        <v/>
      </c>
      <c r="M70" s="45">
        <f>'U-Net'!AI70</f>
        <v/>
      </c>
      <c r="N70" s="45">
        <f>'DeepLabV3+'!AI70</f>
        <v/>
      </c>
      <c r="O70" s="45">
        <f>'YOLO11n-seg'!AI70</f>
        <v/>
      </c>
    </row>
    <row r="71" ht="15" customHeight="1" s="30">
      <c r="A71" s="73">
        <f>'U-Net'!A71</f>
        <v/>
      </c>
      <c r="B71" s="45">
        <f>'U-Net'!AH71</f>
        <v/>
      </c>
      <c r="C71" s="45">
        <f>'DeepLabV3+'!AH71</f>
        <v/>
      </c>
      <c r="D71" s="45">
        <f>'YOLO11n-seg'!AH71</f>
        <v/>
      </c>
      <c r="E71" s="46">
        <f>INDEX($B$4:$D$4,MATCH(MAX(B71:D71),B71:D71,0))</f>
        <v/>
      </c>
      <c r="F71" s="45">
        <f>MAX(B71:D71)-MIN(B71:D71)</f>
        <v/>
      </c>
      <c r="G71" s="45">
        <f>'U-Net'!AF71</f>
        <v/>
      </c>
      <c r="H71" s="45">
        <f>'DeepLabV3+'!AF71</f>
        <v/>
      </c>
      <c r="I71" s="45">
        <f>'YOLO11n-seg'!AF71</f>
        <v/>
      </c>
      <c r="J71" s="45">
        <f>'U-Net'!AG71</f>
        <v/>
      </c>
      <c r="K71" s="45">
        <f>'DeepLabV3+'!AG71</f>
        <v/>
      </c>
      <c r="L71" s="45">
        <f>'YOLO11n-seg'!AG71</f>
        <v/>
      </c>
      <c r="M71" s="45">
        <f>'U-Net'!AI71</f>
        <v/>
      </c>
      <c r="N71" s="45">
        <f>'DeepLabV3+'!AI71</f>
        <v/>
      </c>
      <c r="O71" s="45">
        <f>'YOLO11n-seg'!AI71</f>
        <v/>
      </c>
    </row>
    <row r="72" ht="15" customHeight="1" s="30">
      <c r="A72" s="73">
        <f>'U-Net'!A72</f>
        <v/>
      </c>
      <c r="B72" s="45">
        <f>'U-Net'!AH72</f>
        <v/>
      </c>
      <c r="C72" s="45">
        <f>'DeepLabV3+'!AH72</f>
        <v/>
      </c>
      <c r="D72" s="45">
        <f>'YOLO11n-seg'!AH72</f>
        <v/>
      </c>
      <c r="E72" s="46">
        <f>INDEX($B$4:$D$4,MATCH(MAX(B72:D72),B72:D72,0))</f>
        <v/>
      </c>
      <c r="F72" s="45">
        <f>MAX(B72:D72)-MIN(B72:D72)</f>
        <v/>
      </c>
      <c r="G72" s="45">
        <f>'U-Net'!AF72</f>
        <v/>
      </c>
      <c r="H72" s="45">
        <f>'DeepLabV3+'!AF72</f>
        <v/>
      </c>
      <c r="I72" s="45">
        <f>'YOLO11n-seg'!AF72</f>
        <v/>
      </c>
      <c r="J72" s="45">
        <f>'U-Net'!AG72</f>
        <v/>
      </c>
      <c r="K72" s="45">
        <f>'DeepLabV3+'!AG72</f>
        <v/>
      </c>
      <c r="L72" s="45">
        <f>'YOLO11n-seg'!AG72</f>
        <v/>
      </c>
      <c r="M72" s="45">
        <f>'U-Net'!AI72</f>
        <v/>
      </c>
      <c r="N72" s="45">
        <f>'DeepLabV3+'!AI72</f>
        <v/>
      </c>
      <c r="O72" s="45">
        <f>'YOLO11n-seg'!AI72</f>
        <v/>
      </c>
    </row>
    <row r="73" ht="15" customHeight="1" s="30">
      <c r="A73" s="73">
        <f>'U-Net'!A73</f>
        <v/>
      </c>
      <c r="B73" s="45">
        <f>'U-Net'!AH73</f>
        <v/>
      </c>
      <c r="C73" s="45">
        <f>'DeepLabV3+'!AH73</f>
        <v/>
      </c>
      <c r="D73" s="45">
        <f>'YOLO11n-seg'!AH73</f>
        <v/>
      </c>
      <c r="E73" s="46">
        <f>INDEX($B$4:$D$4,MATCH(MAX(B73:D73),B73:D73,0))</f>
        <v/>
      </c>
      <c r="F73" s="45">
        <f>MAX(B73:D73)-MIN(B73:D73)</f>
        <v/>
      </c>
      <c r="G73" s="45">
        <f>'U-Net'!AF73</f>
        <v/>
      </c>
      <c r="H73" s="45">
        <f>'DeepLabV3+'!AF73</f>
        <v/>
      </c>
      <c r="I73" s="45">
        <f>'YOLO11n-seg'!AF73</f>
        <v/>
      </c>
      <c r="J73" s="45">
        <f>'U-Net'!AG73</f>
        <v/>
      </c>
      <c r="K73" s="45">
        <f>'DeepLabV3+'!AG73</f>
        <v/>
      </c>
      <c r="L73" s="45">
        <f>'YOLO11n-seg'!AG73</f>
        <v/>
      </c>
      <c r="M73" s="45">
        <f>'U-Net'!AI73</f>
        <v/>
      </c>
      <c r="N73" s="45">
        <f>'DeepLabV3+'!AI73</f>
        <v/>
      </c>
      <c r="O73" s="45">
        <f>'YOLO11n-seg'!AI73</f>
        <v/>
      </c>
    </row>
    <row r="74" ht="15" customHeight="1" s="30">
      <c r="A74" s="73">
        <f>'U-Net'!A74</f>
        <v/>
      </c>
      <c r="B74" s="45">
        <f>'U-Net'!AH74</f>
        <v/>
      </c>
      <c r="C74" s="45">
        <f>'DeepLabV3+'!AH74</f>
        <v/>
      </c>
      <c r="D74" s="45">
        <f>'YOLO11n-seg'!AH74</f>
        <v/>
      </c>
      <c r="E74" s="46">
        <f>INDEX($B$4:$D$4,MATCH(MAX(B74:D74),B74:D74,0))</f>
        <v/>
      </c>
      <c r="F74" s="45">
        <f>MAX(B74:D74)-MIN(B74:D74)</f>
        <v/>
      </c>
      <c r="G74" s="45">
        <f>'U-Net'!AF74</f>
        <v/>
      </c>
      <c r="H74" s="45">
        <f>'DeepLabV3+'!AF74</f>
        <v/>
      </c>
      <c r="I74" s="45">
        <f>'YOLO11n-seg'!AF74</f>
        <v/>
      </c>
      <c r="J74" s="45">
        <f>'U-Net'!AG74</f>
        <v/>
      </c>
      <c r="K74" s="45">
        <f>'DeepLabV3+'!AG74</f>
        <v/>
      </c>
      <c r="L74" s="45">
        <f>'YOLO11n-seg'!AG74</f>
        <v/>
      </c>
      <c r="M74" s="45">
        <f>'U-Net'!AI74</f>
        <v/>
      </c>
      <c r="N74" s="45">
        <f>'DeepLabV3+'!AI74</f>
        <v/>
      </c>
      <c r="O74" s="45">
        <f>'YOLO11n-seg'!AI74</f>
        <v/>
      </c>
    </row>
    <row r="75" ht="15" customHeight="1" s="30">
      <c r="A75" s="73">
        <f>'U-Net'!A75</f>
        <v/>
      </c>
      <c r="B75" s="45">
        <f>'U-Net'!AH75</f>
        <v/>
      </c>
      <c r="C75" s="45">
        <f>'DeepLabV3+'!AH75</f>
        <v/>
      </c>
      <c r="D75" s="45">
        <f>'YOLO11n-seg'!AH75</f>
        <v/>
      </c>
      <c r="E75" s="46">
        <f>INDEX($B$4:$D$4,MATCH(MAX(B75:D75),B75:D75,0))</f>
        <v/>
      </c>
      <c r="F75" s="45">
        <f>MAX(B75:D75)-MIN(B75:D75)</f>
        <v/>
      </c>
      <c r="G75" s="45">
        <f>'U-Net'!AF75</f>
        <v/>
      </c>
      <c r="H75" s="45">
        <f>'DeepLabV3+'!AF75</f>
        <v/>
      </c>
      <c r="I75" s="45">
        <f>'YOLO11n-seg'!AF75</f>
        <v/>
      </c>
      <c r="J75" s="45">
        <f>'U-Net'!AG75</f>
        <v/>
      </c>
      <c r="K75" s="45">
        <f>'DeepLabV3+'!AG75</f>
        <v/>
      </c>
      <c r="L75" s="45">
        <f>'YOLO11n-seg'!AG75</f>
        <v/>
      </c>
      <c r="M75" s="45">
        <f>'U-Net'!AI75</f>
        <v/>
      </c>
      <c r="N75" s="45">
        <f>'DeepLabV3+'!AI75</f>
        <v/>
      </c>
      <c r="O75" s="45">
        <f>'YOLO11n-seg'!AI75</f>
        <v/>
      </c>
    </row>
    <row r="76" ht="15" customHeight="1" s="30">
      <c r="A76" s="73">
        <f>'U-Net'!A76</f>
        <v/>
      </c>
      <c r="B76" s="45">
        <f>'U-Net'!AH76</f>
        <v/>
      </c>
      <c r="C76" s="45">
        <f>'DeepLabV3+'!AH76</f>
        <v/>
      </c>
      <c r="D76" s="45">
        <f>'YOLO11n-seg'!AH76</f>
        <v/>
      </c>
      <c r="E76" s="46">
        <f>INDEX($B$4:$D$4,MATCH(MAX(B76:D76),B76:D76,0))</f>
        <v/>
      </c>
      <c r="F76" s="45">
        <f>MAX(B76:D76)-MIN(B76:D76)</f>
        <v/>
      </c>
      <c r="G76" s="45">
        <f>'U-Net'!AF76</f>
        <v/>
      </c>
      <c r="H76" s="45">
        <f>'DeepLabV3+'!AF76</f>
        <v/>
      </c>
      <c r="I76" s="45">
        <f>'YOLO11n-seg'!AF76</f>
        <v/>
      </c>
      <c r="J76" s="45">
        <f>'U-Net'!AG76</f>
        <v/>
      </c>
      <c r="K76" s="45">
        <f>'DeepLabV3+'!AG76</f>
        <v/>
      </c>
      <c r="L76" s="45">
        <f>'YOLO11n-seg'!AG76</f>
        <v/>
      </c>
      <c r="M76" s="45">
        <f>'U-Net'!AI76</f>
        <v/>
      </c>
      <c r="N76" s="45">
        <f>'DeepLabV3+'!AI76</f>
        <v/>
      </c>
      <c r="O76" s="45">
        <f>'YOLO11n-seg'!AI76</f>
        <v/>
      </c>
    </row>
    <row r="77" ht="15" customHeight="1" s="30">
      <c r="A77" s="73">
        <f>'U-Net'!A77</f>
        <v/>
      </c>
      <c r="B77" s="45">
        <f>'U-Net'!AH77</f>
        <v/>
      </c>
      <c r="C77" s="45">
        <f>'DeepLabV3+'!AH77</f>
        <v/>
      </c>
      <c r="D77" s="45">
        <f>'YOLO11n-seg'!AH77</f>
        <v/>
      </c>
      <c r="E77" s="46">
        <f>INDEX($B$4:$D$4,MATCH(MAX(B77:D77),B77:D77,0))</f>
        <v/>
      </c>
      <c r="F77" s="45">
        <f>MAX(B77:D77)-MIN(B77:D77)</f>
        <v/>
      </c>
      <c r="G77" s="45">
        <f>'U-Net'!AF77</f>
        <v/>
      </c>
      <c r="H77" s="45">
        <f>'DeepLabV3+'!AF77</f>
        <v/>
      </c>
      <c r="I77" s="45">
        <f>'YOLO11n-seg'!AF77</f>
        <v/>
      </c>
      <c r="J77" s="45">
        <f>'U-Net'!AG77</f>
        <v/>
      </c>
      <c r="K77" s="45">
        <f>'DeepLabV3+'!AG77</f>
        <v/>
      </c>
      <c r="L77" s="45">
        <f>'YOLO11n-seg'!AG77</f>
        <v/>
      </c>
      <c r="M77" s="45">
        <f>'U-Net'!AI77</f>
        <v/>
      </c>
      <c r="N77" s="45">
        <f>'DeepLabV3+'!AI77</f>
        <v/>
      </c>
      <c r="O77" s="45">
        <f>'YOLO11n-seg'!AI77</f>
        <v/>
      </c>
    </row>
    <row r="78" ht="15" customHeight="1" s="30">
      <c r="A78" s="73">
        <f>'U-Net'!A78</f>
        <v/>
      </c>
      <c r="B78" s="45">
        <f>'U-Net'!AH78</f>
        <v/>
      </c>
      <c r="C78" s="45">
        <f>'DeepLabV3+'!AH78</f>
        <v/>
      </c>
      <c r="D78" s="45">
        <f>'YOLO11n-seg'!AH78</f>
        <v/>
      </c>
      <c r="E78" s="46">
        <f>INDEX($B$4:$D$4,MATCH(MAX(B78:D78),B78:D78,0))</f>
        <v/>
      </c>
      <c r="F78" s="45">
        <f>MAX(B78:D78)-MIN(B78:D78)</f>
        <v/>
      </c>
      <c r="G78" s="45">
        <f>'U-Net'!AF78</f>
        <v/>
      </c>
      <c r="H78" s="45">
        <f>'DeepLabV3+'!AF78</f>
        <v/>
      </c>
      <c r="I78" s="45">
        <f>'YOLO11n-seg'!AF78</f>
        <v/>
      </c>
      <c r="J78" s="45">
        <f>'U-Net'!AG78</f>
        <v/>
      </c>
      <c r="K78" s="45">
        <f>'DeepLabV3+'!AG78</f>
        <v/>
      </c>
      <c r="L78" s="45">
        <f>'YOLO11n-seg'!AG78</f>
        <v/>
      </c>
      <c r="M78" s="45">
        <f>'U-Net'!AI78</f>
        <v/>
      </c>
      <c r="N78" s="45">
        <f>'DeepLabV3+'!AI78</f>
        <v/>
      </c>
      <c r="O78" s="45">
        <f>'YOLO11n-seg'!AI78</f>
        <v/>
      </c>
    </row>
    <row r="79" ht="15" customHeight="1" s="30">
      <c r="A79" s="73">
        <f>'U-Net'!A79</f>
        <v/>
      </c>
      <c r="B79" s="45">
        <f>'U-Net'!AH79</f>
        <v/>
      </c>
      <c r="C79" s="45">
        <f>'DeepLabV3+'!AH79</f>
        <v/>
      </c>
      <c r="D79" s="45">
        <f>'YOLO11n-seg'!AH79</f>
        <v/>
      </c>
      <c r="E79" s="46">
        <f>INDEX($B$4:$D$4,MATCH(MAX(B79:D79),B79:D79,0))</f>
        <v/>
      </c>
      <c r="F79" s="45">
        <f>MAX(B79:D79)-MIN(B79:D79)</f>
        <v/>
      </c>
      <c r="G79" s="45">
        <f>'U-Net'!AF79</f>
        <v/>
      </c>
      <c r="H79" s="45">
        <f>'DeepLabV3+'!AF79</f>
        <v/>
      </c>
      <c r="I79" s="45">
        <f>'YOLO11n-seg'!AF79</f>
        <v/>
      </c>
      <c r="J79" s="45">
        <f>'U-Net'!AG79</f>
        <v/>
      </c>
      <c r="K79" s="45">
        <f>'DeepLabV3+'!AG79</f>
        <v/>
      </c>
      <c r="L79" s="45">
        <f>'YOLO11n-seg'!AG79</f>
        <v/>
      </c>
      <c r="M79" s="45">
        <f>'U-Net'!AI79</f>
        <v/>
      </c>
      <c r="N79" s="45">
        <f>'DeepLabV3+'!AI79</f>
        <v/>
      </c>
      <c r="O79" s="45">
        <f>'YOLO11n-seg'!AI79</f>
        <v/>
      </c>
    </row>
    <row r="80" ht="15" customHeight="1" s="30">
      <c r="A80" s="73">
        <f>'U-Net'!A80</f>
        <v/>
      </c>
      <c r="B80" s="45">
        <f>'U-Net'!AH80</f>
        <v/>
      </c>
      <c r="C80" s="45">
        <f>'DeepLabV3+'!AH80</f>
        <v/>
      </c>
      <c r="D80" s="45">
        <f>'YOLO11n-seg'!AH80</f>
        <v/>
      </c>
      <c r="E80" s="46">
        <f>INDEX($B$4:$D$4,MATCH(MAX(B80:D80),B80:D80,0))</f>
        <v/>
      </c>
      <c r="F80" s="45">
        <f>MAX(B80:D80)-MIN(B80:D80)</f>
        <v/>
      </c>
      <c r="G80" s="45">
        <f>'U-Net'!AF80</f>
        <v/>
      </c>
      <c r="H80" s="45">
        <f>'DeepLabV3+'!AF80</f>
        <v/>
      </c>
      <c r="I80" s="45">
        <f>'YOLO11n-seg'!AF80</f>
        <v/>
      </c>
      <c r="J80" s="45">
        <f>'U-Net'!AG80</f>
        <v/>
      </c>
      <c r="K80" s="45">
        <f>'DeepLabV3+'!AG80</f>
        <v/>
      </c>
      <c r="L80" s="45">
        <f>'YOLO11n-seg'!AG80</f>
        <v/>
      </c>
      <c r="M80" s="45">
        <f>'U-Net'!AI80</f>
        <v/>
      </c>
      <c r="N80" s="45">
        <f>'DeepLabV3+'!AI80</f>
        <v/>
      </c>
      <c r="O80" s="45">
        <f>'YOLO11n-seg'!AI80</f>
        <v/>
      </c>
    </row>
    <row r="81" ht="15" customHeight="1" s="30">
      <c r="A81" s="73">
        <f>'U-Net'!A81</f>
        <v/>
      </c>
      <c r="B81" s="45">
        <f>'U-Net'!AH81</f>
        <v/>
      </c>
      <c r="C81" s="45">
        <f>'DeepLabV3+'!AH81</f>
        <v/>
      </c>
      <c r="D81" s="45">
        <f>'YOLO11n-seg'!AH81</f>
        <v/>
      </c>
      <c r="E81" s="46">
        <f>INDEX($B$4:$D$4,MATCH(MAX(B81:D81),B81:D81,0))</f>
        <v/>
      </c>
      <c r="F81" s="45">
        <f>MAX(B81:D81)-MIN(B81:D81)</f>
        <v/>
      </c>
      <c r="G81" s="45">
        <f>'U-Net'!AF81</f>
        <v/>
      </c>
      <c r="H81" s="45">
        <f>'DeepLabV3+'!AF81</f>
        <v/>
      </c>
      <c r="I81" s="45">
        <f>'YOLO11n-seg'!AF81</f>
        <v/>
      </c>
      <c r="J81" s="45">
        <f>'U-Net'!AG81</f>
        <v/>
      </c>
      <c r="K81" s="45">
        <f>'DeepLabV3+'!AG81</f>
        <v/>
      </c>
      <c r="L81" s="45">
        <f>'YOLO11n-seg'!AG81</f>
        <v/>
      </c>
      <c r="M81" s="45">
        <f>'U-Net'!AI81</f>
        <v/>
      </c>
      <c r="N81" s="45">
        <f>'DeepLabV3+'!AI81</f>
        <v/>
      </c>
      <c r="O81" s="45">
        <f>'YOLO11n-seg'!AI81</f>
        <v/>
      </c>
    </row>
    <row r="82" ht="15" customHeight="1" s="30">
      <c r="A82" s="73">
        <f>'U-Net'!A82</f>
        <v/>
      </c>
      <c r="B82" s="45">
        <f>'U-Net'!AH82</f>
        <v/>
      </c>
      <c r="C82" s="45">
        <f>'DeepLabV3+'!AH82</f>
        <v/>
      </c>
      <c r="D82" s="45">
        <f>'YOLO11n-seg'!AH82</f>
        <v/>
      </c>
      <c r="E82" s="46">
        <f>INDEX($B$4:$D$4,MATCH(MAX(B82:D82),B82:D82,0))</f>
        <v/>
      </c>
      <c r="F82" s="45">
        <f>MAX(B82:D82)-MIN(B82:D82)</f>
        <v/>
      </c>
      <c r="G82" s="45">
        <f>'U-Net'!AF82</f>
        <v/>
      </c>
      <c r="H82" s="45">
        <f>'DeepLabV3+'!AF82</f>
        <v/>
      </c>
      <c r="I82" s="45">
        <f>'YOLO11n-seg'!AF82</f>
        <v/>
      </c>
      <c r="J82" s="45">
        <f>'U-Net'!AG82</f>
        <v/>
      </c>
      <c r="K82" s="45">
        <f>'DeepLabV3+'!AG82</f>
        <v/>
      </c>
      <c r="L82" s="45">
        <f>'YOLO11n-seg'!AG82</f>
        <v/>
      </c>
      <c r="M82" s="45">
        <f>'U-Net'!AI82</f>
        <v/>
      </c>
      <c r="N82" s="45">
        <f>'DeepLabV3+'!AI82</f>
        <v/>
      </c>
      <c r="O82" s="45">
        <f>'YOLO11n-seg'!AI82</f>
        <v/>
      </c>
    </row>
    <row r="83" ht="15" customHeight="1" s="30">
      <c r="A83" s="73">
        <f>'U-Net'!A83</f>
        <v/>
      </c>
      <c r="B83" s="45">
        <f>'U-Net'!AH83</f>
        <v/>
      </c>
      <c r="C83" s="45">
        <f>'DeepLabV3+'!AH83</f>
        <v/>
      </c>
      <c r="D83" s="45">
        <f>'YOLO11n-seg'!AH83</f>
        <v/>
      </c>
      <c r="E83" s="46">
        <f>INDEX($B$4:$D$4,MATCH(MAX(B83:D83),B83:D83,0))</f>
        <v/>
      </c>
      <c r="F83" s="45">
        <f>MAX(B83:D83)-MIN(B83:D83)</f>
        <v/>
      </c>
      <c r="G83" s="45">
        <f>'U-Net'!AF83</f>
        <v/>
      </c>
      <c r="H83" s="45">
        <f>'DeepLabV3+'!AF83</f>
        <v/>
      </c>
      <c r="I83" s="45">
        <f>'YOLO11n-seg'!AF83</f>
        <v/>
      </c>
      <c r="J83" s="45">
        <f>'U-Net'!AG83</f>
        <v/>
      </c>
      <c r="K83" s="45">
        <f>'DeepLabV3+'!AG83</f>
        <v/>
      </c>
      <c r="L83" s="45">
        <f>'YOLO11n-seg'!AG83</f>
        <v/>
      </c>
      <c r="M83" s="45">
        <f>'U-Net'!AI83</f>
        <v/>
      </c>
      <c r="N83" s="45">
        <f>'DeepLabV3+'!AI83</f>
        <v/>
      </c>
      <c r="O83" s="45">
        <f>'YOLO11n-seg'!AI83</f>
        <v/>
      </c>
    </row>
    <row r="84" ht="15" customHeight="1" s="30">
      <c r="A84" s="73">
        <f>'U-Net'!A84</f>
        <v/>
      </c>
      <c r="B84" s="45">
        <f>'U-Net'!AH84</f>
        <v/>
      </c>
      <c r="C84" s="45">
        <f>'DeepLabV3+'!AH84</f>
        <v/>
      </c>
      <c r="D84" s="45">
        <f>'YOLO11n-seg'!AH84</f>
        <v/>
      </c>
      <c r="E84" s="46">
        <f>INDEX($B$4:$D$4,MATCH(MAX(B84:D84),B84:D84,0))</f>
        <v/>
      </c>
      <c r="F84" s="45">
        <f>MAX(B84:D84)-MIN(B84:D84)</f>
        <v/>
      </c>
      <c r="G84" s="45">
        <f>'U-Net'!AF84</f>
        <v/>
      </c>
      <c r="H84" s="45">
        <f>'DeepLabV3+'!AF84</f>
        <v/>
      </c>
      <c r="I84" s="45">
        <f>'YOLO11n-seg'!AF84</f>
        <v/>
      </c>
      <c r="J84" s="45">
        <f>'U-Net'!AG84</f>
        <v/>
      </c>
      <c r="K84" s="45">
        <f>'DeepLabV3+'!AG84</f>
        <v/>
      </c>
      <c r="L84" s="45">
        <f>'YOLO11n-seg'!AG84</f>
        <v/>
      </c>
      <c r="M84" s="45">
        <f>'U-Net'!AI84</f>
        <v/>
      </c>
      <c r="N84" s="45">
        <f>'DeepLabV3+'!AI84</f>
        <v/>
      </c>
      <c r="O84" s="45">
        <f>'YOLO11n-seg'!AI84</f>
        <v/>
      </c>
    </row>
    <row r="85" ht="15" customHeight="1" s="30">
      <c r="A85" s="73">
        <f>'U-Net'!A85</f>
        <v/>
      </c>
      <c r="B85" s="45">
        <f>'U-Net'!AH85</f>
        <v/>
      </c>
      <c r="C85" s="45">
        <f>'DeepLabV3+'!AH85</f>
        <v/>
      </c>
      <c r="D85" s="45">
        <f>'YOLO11n-seg'!AH85</f>
        <v/>
      </c>
      <c r="E85" s="46">
        <f>INDEX($B$4:$D$4,MATCH(MAX(B85:D85),B85:D85,0))</f>
        <v/>
      </c>
      <c r="F85" s="45">
        <f>MAX(B85:D85)-MIN(B85:D85)</f>
        <v/>
      </c>
      <c r="G85" s="45">
        <f>'U-Net'!AF85</f>
        <v/>
      </c>
      <c r="H85" s="45">
        <f>'DeepLabV3+'!AF85</f>
        <v/>
      </c>
      <c r="I85" s="45">
        <f>'YOLO11n-seg'!AF85</f>
        <v/>
      </c>
      <c r="J85" s="45">
        <f>'U-Net'!AG85</f>
        <v/>
      </c>
      <c r="K85" s="45">
        <f>'DeepLabV3+'!AG85</f>
        <v/>
      </c>
      <c r="L85" s="45">
        <f>'YOLO11n-seg'!AG85</f>
        <v/>
      </c>
      <c r="M85" s="45">
        <f>'U-Net'!AI85</f>
        <v/>
      </c>
      <c r="N85" s="45">
        <f>'DeepLabV3+'!AI85</f>
        <v/>
      </c>
      <c r="O85" s="45">
        <f>'YOLO11n-seg'!AI85</f>
        <v/>
      </c>
    </row>
    <row r="86" ht="15" customHeight="1" s="30">
      <c r="A86" s="73">
        <f>'U-Net'!A86</f>
        <v/>
      </c>
      <c r="B86" s="45">
        <f>'U-Net'!AH86</f>
        <v/>
      </c>
      <c r="C86" s="45">
        <f>'DeepLabV3+'!AH86</f>
        <v/>
      </c>
      <c r="D86" s="45">
        <f>'YOLO11n-seg'!AH86</f>
        <v/>
      </c>
      <c r="E86" s="46">
        <f>INDEX($B$4:$D$4,MATCH(MAX(B86:D86),B86:D86,0))</f>
        <v/>
      </c>
      <c r="F86" s="45">
        <f>MAX(B86:D86)-MIN(B86:D86)</f>
        <v/>
      </c>
      <c r="G86" s="45">
        <f>'U-Net'!AF86</f>
        <v/>
      </c>
      <c r="H86" s="45">
        <f>'DeepLabV3+'!AF86</f>
        <v/>
      </c>
      <c r="I86" s="45">
        <f>'YOLO11n-seg'!AF86</f>
        <v/>
      </c>
      <c r="J86" s="45">
        <f>'U-Net'!AG86</f>
        <v/>
      </c>
      <c r="K86" s="45">
        <f>'DeepLabV3+'!AG86</f>
        <v/>
      </c>
      <c r="L86" s="45">
        <f>'YOLO11n-seg'!AG86</f>
        <v/>
      </c>
      <c r="M86" s="45">
        <f>'U-Net'!AI86</f>
        <v/>
      </c>
      <c r="N86" s="45">
        <f>'DeepLabV3+'!AI86</f>
        <v/>
      </c>
      <c r="O86" s="45">
        <f>'YOLO11n-seg'!AI86</f>
        <v/>
      </c>
    </row>
    <row r="87" ht="15" customHeight="1" s="30">
      <c r="A87" s="73">
        <f>'U-Net'!A87</f>
        <v/>
      </c>
      <c r="B87" s="45">
        <f>'U-Net'!AH87</f>
        <v/>
      </c>
      <c r="C87" s="45">
        <f>'DeepLabV3+'!AH87</f>
        <v/>
      </c>
      <c r="D87" s="45">
        <f>'YOLO11n-seg'!AH87</f>
        <v/>
      </c>
      <c r="E87" s="46">
        <f>INDEX($B$4:$D$4,MATCH(MAX(B87:D87),B87:D87,0))</f>
        <v/>
      </c>
      <c r="F87" s="45">
        <f>MAX(B87:D87)-MIN(B87:D87)</f>
        <v/>
      </c>
      <c r="G87" s="45">
        <f>'U-Net'!AF87</f>
        <v/>
      </c>
      <c r="H87" s="45">
        <f>'DeepLabV3+'!AF87</f>
        <v/>
      </c>
      <c r="I87" s="45">
        <f>'YOLO11n-seg'!AF87</f>
        <v/>
      </c>
      <c r="J87" s="45">
        <f>'U-Net'!AG87</f>
        <v/>
      </c>
      <c r="K87" s="45">
        <f>'DeepLabV3+'!AG87</f>
        <v/>
      </c>
      <c r="L87" s="45">
        <f>'YOLO11n-seg'!AG87</f>
        <v/>
      </c>
      <c r="M87" s="45">
        <f>'U-Net'!AI87</f>
        <v/>
      </c>
      <c r="N87" s="45">
        <f>'DeepLabV3+'!AI87</f>
        <v/>
      </c>
      <c r="O87" s="45">
        <f>'YOLO11n-seg'!AI87</f>
        <v/>
      </c>
    </row>
    <row r="88" ht="15" customHeight="1" s="30">
      <c r="A88" s="73">
        <f>'U-Net'!A88</f>
        <v/>
      </c>
      <c r="B88" s="45">
        <f>'U-Net'!AH88</f>
        <v/>
      </c>
      <c r="C88" s="45">
        <f>'DeepLabV3+'!AH88</f>
        <v/>
      </c>
      <c r="D88" s="45">
        <f>'YOLO11n-seg'!AH88</f>
        <v/>
      </c>
      <c r="E88" s="46">
        <f>INDEX($B$4:$D$4,MATCH(MAX(B88:D88),B88:D88,0))</f>
        <v/>
      </c>
      <c r="F88" s="45">
        <f>MAX(B88:D88)-MIN(B88:D88)</f>
        <v/>
      </c>
      <c r="G88" s="45">
        <f>'U-Net'!AF88</f>
        <v/>
      </c>
      <c r="H88" s="45">
        <f>'DeepLabV3+'!AF88</f>
        <v/>
      </c>
      <c r="I88" s="45">
        <f>'YOLO11n-seg'!AF88</f>
        <v/>
      </c>
      <c r="J88" s="45">
        <f>'U-Net'!AG88</f>
        <v/>
      </c>
      <c r="K88" s="45">
        <f>'DeepLabV3+'!AG88</f>
        <v/>
      </c>
      <c r="L88" s="45">
        <f>'YOLO11n-seg'!AG88</f>
        <v/>
      </c>
      <c r="M88" s="45">
        <f>'U-Net'!AI88</f>
        <v/>
      </c>
      <c r="N88" s="45">
        <f>'DeepLabV3+'!AI88</f>
        <v/>
      </c>
      <c r="O88" s="45">
        <f>'YOLO11n-seg'!AI88</f>
        <v/>
      </c>
    </row>
    <row r="89" ht="15" customHeight="1" s="30">
      <c r="A89" s="73">
        <f>'U-Net'!A89</f>
        <v/>
      </c>
      <c r="B89" s="45">
        <f>'U-Net'!AH89</f>
        <v/>
      </c>
      <c r="C89" s="45">
        <f>'DeepLabV3+'!AH89</f>
        <v/>
      </c>
      <c r="D89" s="45">
        <f>'YOLO11n-seg'!AH89</f>
        <v/>
      </c>
      <c r="E89" s="46">
        <f>INDEX($B$4:$D$4,MATCH(MAX(B89:D89),B89:D89,0))</f>
        <v/>
      </c>
      <c r="F89" s="45">
        <f>MAX(B89:D89)-MIN(B89:D89)</f>
        <v/>
      </c>
      <c r="G89" s="45">
        <f>'U-Net'!AF89</f>
        <v/>
      </c>
      <c r="H89" s="45">
        <f>'DeepLabV3+'!AF89</f>
        <v/>
      </c>
      <c r="I89" s="45">
        <f>'YOLO11n-seg'!AF89</f>
        <v/>
      </c>
      <c r="J89" s="45">
        <f>'U-Net'!AG89</f>
        <v/>
      </c>
      <c r="K89" s="45">
        <f>'DeepLabV3+'!AG89</f>
        <v/>
      </c>
      <c r="L89" s="45">
        <f>'YOLO11n-seg'!AG89</f>
        <v/>
      </c>
      <c r="M89" s="45">
        <f>'U-Net'!AI89</f>
        <v/>
      </c>
      <c r="N89" s="45">
        <f>'DeepLabV3+'!AI89</f>
        <v/>
      </c>
      <c r="O89" s="45">
        <f>'YOLO11n-seg'!AI89</f>
        <v/>
      </c>
    </row>
    <row r="90" ht="15" customHeight="1" s="30">
      <c r="A90" s="73">
        <f>'U-Net'!A90</f>
        <v/>
      </c>
      <c r="B90" s="45">
        <f>'U-Net'!AH90</f>
        <v/>
      </c>
      <c r="C90" s="45">
        <f>'DeepLabV3+'!AH90</f>
        <v/>
      </c>
      <c r="D90" s="45">
        <f>'YOLO11n-seg'!AH90</f>
        <v/>
      </c>
      <c r="E90" s="46">
        <f>INDEX($B$4:$D$4,MATCH(MAX(B90:D90),B90:D90,0))</f>
        <v/>
      </c>
      <c r="F90" s="45">
        <f>MAX(B90:D90)-MIN(B90:D90)</f>
        <v/>
      </c>
      <c r="G90" s="45">
        <f>'U-Net'!AF90</f>
        <v/>
      </c>
      <c r="H90" s="45">
        <f>'DeepLabV3+'!AF90</f>
        <v/>
      </c>
      <c r="I90" s="45">
        <f>'YOLO11n-seg'!AF90</f>
        <v/>
      </c>
      <c r="J90" s="45">
        <f>'U-Net'!AG90</f>
        <v/>
      </c>
      <c r="K90" s="45">
        <f>'DeepLabV3+'!AG90</f>
        <v/>
      </c>
      <c r="L90" s="45">
        <f>'YOLO11n-seg'!AG90</f>
        <v/>
      </c>
      <c r="M90" s="45">
        <f>'U-Net'!AI90</f>
        <v/>
      </c>
      <c r="N90" s="45">
        <f>'DeepLabV3+'!AI90</f>
        <v/>
      </c>
      <c r="O90" s="45">
        <f>'YOLO11n-seg'!AI90</f>
        <v/>
      </c>
    </row>
    <row r="91" ht="15" customHeight="1" s="30">
      <c r="A91" s="73">
        <f>'U-Net'!A91</f>
        <v/>
      </c>
      <c r="B91" s="45">
        <f>'U-Net'!AH91</f>
        <v/>
      </c>
      <c r="C91" s="45">
        <f>'DeepLabV3+'!AH91</f>
        <v/>
      </c>
      <c r="D91" s="45">
        <f>'YOLO11n-seg'!AH91</f>
        <v/>
      </c>
      <c r="E91" s="46">
        <f>INDEX($B$4:$D$4,MATCH(MAX(B91:D91),B91:D91,0))</f>
        <v/>
      </c>
      <c r="F91" s="45">
        <f>MAX(B91:D91)-MIN(B91:D91)</f>
        <v/>
      </c>
      <c r="G91" s="45">
        <f>'U-Net'!AF91</f>
        <v/>
      </c>
      <c r="H91" s="45">
        <f>'DeepLabV3+'!AF91</f>
        <v/>
      </c>
      <c r="I91" s="45">
        <f>'YOLO11n-seg'!AF91</f>
        <v/>
      </c>
      <c r="J91" s="45">
        <f>'U-Net'!AG91</f>
        <v/>
      </c>
      <c r="K91" s="45">
        <f>'DeepLabV3+'!AG91</f>
        <v/>
      </c>
      <c r="L91" s="45">
        <f>'YOLO11n-seg'!AG91</f>
        <v/>
      </c>
      <c r="M91" s="45">
        <f>'U-Net'!AI91</f>
        <v/>
      </c>
      <c r="N91" s="45">
        <f>'DeepLabV3+'!AI91</f>
        <v/>
      </c>
      <c r="O91" s="45">
        <f>'YOLO11n-seg'!AI91</f>
        <v/>
      </c>
    </row>
    <row r="92" ht="15" customHeight="1" s="30">
      <c r="A92" s="73">
        <f>'U-Net'!A92</f>
        <v/>
      </c>
      <c r="B92" s="45">
        <f>'U-Net'!AH92</f>
        <v/>
      </c>
      <c r="C92" s="45">
        <f>'DeepLabV3+'!AH92</f>
        <v/>
      </c>
      <c r="D92" s="45">
        <f>'YOLO11n-seg'!AH92</f>
        <v/>
      </c>
      <c r="E92" s="46">
        <f>INDEX($B$4:$D$4,MATCH(MAX(B92:D92),B92:D92,0))</f>
        <v/>
      </c>
      <c r="F92" s="45">
        <f>MAX(B92:D92)-MIN(B92:D92)</f>
        <v/>
      </c>
      <c r="G92" s="45">
        <f>'U-Net'!AF92</f>
        <v/>
      </c>
      <c r="H92" s="45">
        <f>'DeepLabV3+'!AF92</f>
        <v/>
      </c>
      <c r="I92" s="45">
        <f>'YOLO11n-seg'!AF92</f>
        <v/>
      </c>
      <c r="J92" s="45">
        <f>'U-Net'!AG92</f>
        <v/>
      </c>
      <c r="K92" s="45">
        <f>'DeepLabV3+'!AG92</f>
        <v/>
      </c>
      <c r="L92" s="45">
        <f>'YOLO11n-seg'!AG92</f>
        <v/>
      </c>
      <c r="M92" s="45">
        <f>'U-Net'!AI92</f>
        <v/>
      </c>
      <c r="N92" s="45">
        <f>'DeepLabV3+'!AI92</f>
        <v/>
      </c>
      <c r="O92" s="45">
        <f>'YOLO11n-seg'!AI92</f>
        <v/>
      </c>
    </row>
    <row r="93" ht="15" customHeight="1" s="30">
      <c r="A93" s="73">
        <f>'U-Net'!A93</f>
        <v/>
      </c>
      <c r="B93" s="45">
        <f>'U-Net'!AH93</f>
        <v/>
      </c>
      <c r="C93" s="45">
        <f>'DeepLabV3+'!AH93</f>
        <v/>
      </c>
      <c r="D93" s="45">
        <f>'YOLO11n-seg'!AH93</f>
        <v/>
      </c>
      <c r="E93" s="46">
        <f>INDEX($B$4:$D$4,MATCH(MAX(B93:D93),B93:D93,0))</f>
        <v/>
      </c>
      <c r="F93" s="45">
        <f>MAX(B93:D93)-MIN(B93:D93)</f>
        <v/>
      </c>
      <c r="G93" s="45">
        <f>'U-Net'!AF93</f>
        <v/>
      </c>
      <c r="H93" s="45">
        <f>'DeepLabV3+'!AF93</f>
        <v/>
      </c>
      <c r="I93" s="45">
        <f>'YOLO11n-seg'!AF93</f>
        <v/>
      </c>
      <c r="J93" s="45">
        <f>'U-Net'!AG93</f>
        <v/>
      </c>
      <c r="K93" s="45">
        <f>'DeepLabV3+'!AG93</f>
        <v/>
      </c>
      <c r="L93" s="45">
        <f>'YOLO11n-seg'!AG93</f>
        <v/>
      </c>
      <c r="M93" s="45">
        <f>'U-Net'!AI93</f>
        <v/>
      </c>
      <c r="N93" s="45">
        <f>'DeepLabV3+'!AI93</f>
        <v/>
      </c>
      <c r="O93" s="45">
        <f>'YOLO11n-seg'!AI93</f>
        <v/>
      </c>
    </row>
    <row r="94" ht="15" customHeight="1" s="30">
      <c r="A94" s="73">
        <f>'U-Net'!A94</f>
        <v/>
      </c>
      <c r="B94" s="45">
        <f>'U-Net'!AH94</f>
        <v/>
      </c>
      <c r="C94" s="45">
        <f>'DeepLabV3+'!AH94</f>
        <v/>
      </c>
      <c r="D94" s="45">
        <f>'YOLO11n-seg'!AH94</f>
        <v/>
      </c>
      <c r="E94" s="46">
        <f>INDEX($B$4:$D$4,MATCH(MAX(B94:D94),B94:D94,0))</f>
        <v/>
      </c>
      <c r="F94" s="45">
        <f>MAX(B94:D94)-MIN(B94:D94)</f>
        <v/>
      </c>
      <c r="G94" s="45">
        <f>'U-Net'!AF94</f>
        <v/>
      </c>
      <c r="H94" s="45">
        <f>'DeepLabV3+'!AF94</f>
        <v/>
      </c>
      <c r="I94" s="45">
        <f>'YOLO11n-seg'!AF94</f>
        <v/>
      </c>
      <c r="J94" s="45">
        <f>'U-Net'!AG94</f>
        <v/>
      </c>
      <c r="K94" s="45">
        <f>'DeepLabV3+'!AG94</f>
        <v/>
      </c>
      <c r="L94" s="45">
        <f>'YOLO11n-seg'!AG94</f>
        <v/>
      </c>
      <c r="M94" s="45">
        <f>'U-Net'!AI94</f>
        <v/>
      </c>
      <c r="N94" s="45">
        <f>'DeepLabV3+'!AI94</f>
        <v/>
      </c>
      <c r="O94" s="45">
        <f>'YOLO11n-seg'!AI94</f>
        <v/>
      </c>
    </row>
    <row r="95" ht="15" customHeight="1" s="30">
      <c r="A95" s="73">
        <f>'U-Net'!A95</f>
        <v/>
      </c>
      <c r="B95" s="45">
        <f>'U-Net'!AH95</f>
        <v/>
      </c>
      <c r="C95" s="45">
        <f>'DeepLabV3+'!AH95</f>
        <v/>
      </c>
      <c r="D95" s="45">
        <f>'YOLO11n-seg'!AH95</f>
        <v/>
      </c>
      <c r="E95" s="46">
        <f>INDEX($B$4:$D$4,MATCH(MAX(B95:D95),B95:D95,0))</f>
        <v/>
      </c>
      <c r="F95" s="45">
        <f>MAX(B95:D95)-MIN(B95:D95)</f>
        <v/>
      </c>
      <c r="G95" s="45">
        <f>'U-Net'!AF95</f>
        <v/>
      </c>
      <c r="H95" s="45">
        <f>'DeepLabV3+'!AF95</f>
        <v/>
      </c>
      <c r="I95" s="45">
        <f>'YOLO11n-seg'!AF95</f>
        <v/>
      </c>
      <c r="J95" s="45">
        <f>'U-Net'!AG95</f>
        <v/>
      </c>
      <c r="K95" s="45">
        <f>'DeepLabV3+'!AG95</f>
        <v/>
      </c>
      <c r="L95" s="45">
        <f>'YOLO11n-seg'!AG95</f>
        <v/>
      </c>
      <c r="M95" s="45">
        <f>'U-Net'!AI95</f>
        <v/>
      </c>
      <c r="N95" s="45">
        <f>'DeepLabV3+'!AI95</f>
        <v/>
      </c>
      <c r="O95" s="45">
        <f>'YOLO11n-seg'!AI95</f>
        <v/>
      </c>
    </row>
    <row r="96" ht="15" customHeight="1" s="30">
      <c r="A96" s="73">
        <f>'U-Net'!A96</f>
        <v/>
      </c>
      <c r="B96" s="45">
        <f>'U-Net'!AH96</f>
        <v/>
      </c>
      <c r="C96" s="45">
        <f>'DeepLabV3+'!AH96</f>
        <v/>
      </c>
      <c r="D96" s="45">
        <f>'YOLO11n-seg'!AH96</f>
        <v/>
      </c>
      <c r="E96" s="46">
        <f>INDEX($B$4:$D$4,MATCH(MAX(B96:D96),B96:D96,0))</f>
        <v/>
      </c>
      <c r="F96" s="45">
        <f>MAX(B96:D96)-MIN(B96:D96)</f>
        <v/>
      </c>
      <c r="G96" s="45">
        <f>'U-Net'!AF96</f>
        <v/>
      </c>
      <c r="H96" s="45">
        <f>'DeepLabV3+'!AF96</f>
        <v/>
      </c>
      <c r="I96" s="45">
        <f>'YOLO11n-seg'!AF96</f>
        <v/>
      </c>
      <c r="J96" s="45">
        <f>'U-Net'!AG96</f>
        <v/>
      </c>
      <c r="K96" s="45">
        <f>'DeepLabV3+'!AG96</f>
        <v/>
      </c>
      <c r="L96" s="45">
        <f>'YOLO11n-seg'!AG96</f>
        <v/>
      </c>
      <c r="M96" s="45">
        <f>'U-Net'!AI96</f>
        <v/>
      </c>
      <c r="N96" s="45">
        <f>'DeepLabV3+'!AI96</f>
        <v/>
      </c>
      <c r="O96" s="45">
        <f>'YOLO11n-seg'!AI96</f>
        <v/>
      </c>
    </row>
    <row r="97" ht="15" customHeight="1" s="30">
      <c r="A97" s="73">
        <f>'U-Net'!A97</f>
        <v/>
      </c>
      <c r="B97" s="45">
        <f>'U-Net'!AH97</f>
        <v/>
      </c>
      <c r="C97" s="45">
        <f>'DeepLabV3+'!AH97</f>
        <v/>
      </c>
      <c r="D97" s="45">
        <f>'YOLO11n-seg'!AH97</f>
        <v/>
      </c>
      <c r="E97" s="46">
        <f>INDEX($B$4:$D$4,MATCH(MAX(B97:D97),B97:D97,0))</f>
        <v/>
      </c>
      <c r="F97" s="45">
        <f>MAX(B97:D97)-MIN(B97:D97)</f>
        <v/>
      </c>
      <c r="G97" s="45">
        <f>'U-Net'!AF97</f>
        <v/>
      </c>
      <c r="H97" s="45">
        <f>'DeepLabV3+'!AF97</f>
        <v/>
      </c>
      <c r="I97" s="45">
        <f>'YOLO11n-seg'!AF97</f>
        <v/>
      </c>
      <c r="J97" s="45">
        <f>'U-Net'!AG97</f>
        <v/>
      </c>
      <c r="K97" s="45">
        <f>'DeepLabV3+'!AG97</f>
        <v/>
      </c>
      <c r="L97" s="45">
        <f>'YOLO11n-seg'!AG97</f>
        <v/>
      </c>
      <c r="M97" s="45">
        <f>'U-Net'!AI97</f>
        <v/>
      </c>
      <c r="N97" s="45">
        <f>'DeepLabV3+'!AI97</f>
        <v/>
      </c>
      <c r="O97" s="45">
        <f>'YOLO11n-seg'!AI97</f>
        <v/>
      </c>
    </row>
    <row r="98" ht="15" customHeight="1" s="30">
      <c r="A98" s="73">
        <f>'U-Net'!A98</f>
        <v/>
      </c>
      <c r="B98" s="45">
        <f>'U-Net'!AH98</f>
        <v/>
      </c>
      <c r="C98" s="45">
        <f>'DeepLabV3+'!AH98</f>
        <v/>
      </c>
      <c r="D98" s="45">
        <f>'YOLO11n-seg'!AH98</f>
        <v/>
      </c>
      <c r="E98" s="46">
        <f>INDEX($B$4:$D$4,MATCH(MAX(B98:D98),B98:D98,0))</f>
        <v/>
      </c>
      <c r="F98" s="45">
        <f>MAX(B98:D98)-MIN(B98:D98)</f>
        <v/>
      </c>
      <c r="G98" s="45">
        <f>'U-Net'!AF98</f>
        <v/>
      </c>
      <c r="H98" s="45">
        <f>'DeepLabV3+'!AF98</f>
        <v/>
      </c>
      <c r="I98" s="45">
        <f>'YOLO11n-seg'!AF98</f>
        <v/>
      </c>
      <c r="J98" s="45">
        <f>'U-Net'!AG98</f>
        <v/>
      </c>
      <c r="K98" s="45">
        <f>'DeepLabV3+'!AG98</f>
        <v/>
      </c>
      <c r="L98" s="45">
        <f>'YOLO11n-seg'!AG98</f>
        <v/>
      </c>
      <c r="M98" s="45">
        <f>'U-Net'!AI98</f>
        <v/>
      </c>
      <c r="N98" s="45">
        <f>'DeepLabV3+'!AI98</f>
        <v/>
      </c>
      <c r="O98" s="45">
        <f>'YOLO11n-seg'!AI98</f>
        <v/>
      </c>
    </row>
    <row r="99" ht="15" customHeight="1" s="30">
      <c r="A99" s="73">
        <f>'U-Net'!A99</f>
        <v/>
      </c>
      <c r="B99" s="45">
        <f>'U-Net'!AH99</f>
        <v/>
      </c>
      <c r="C99" s="45">
        <f>'DeepLabV3+'!AH99</f>
        <v/>
      </c>
      <c r="D99" s="45">
        <f>'YOLO11n-seg'!AH99</f>
        <v/>
      </c>
      <c r="E99" s="46">
        <f>INDEX($B$4:$D$4,MATCH(MAX(B99:D99),B99:D99,0))</f>
        <v/>
      </c>
      <c r="F99" s="45">
        <f>MAX(B99:D99)-MIN(B99:D99)</f>
        <v/>
      </c>
      <c r="G99" s="45">
        <f>'U-Net'!AF99</f>
        <v/>
      </c>
      <c r="H99" s="45">
        <f>'DeepLabV3+'!AF99</f>
        <v/>
      </c>
      <c r="I99" s="45">
        <f>'YOLO11n-seg'!AF99</f>
        <v/>
      </c>
      <c r="J99" s="45">
        <f>'U-Net'!AG99</f>
        <v/>
      </c>
      <c r="K99" s="45">
        <f>'DeepLabV3+'!AG99</f>
        <v/>
      </c>
      <c r="L99" s="45">
        <f>'YOLO11n-seg'!AG99</f>
        <v/>
      </c>
      <c r="M99" s="45">
        <f>'U-Net'!AI99</f>
        <v/>
      </c>
      <c r="N99" s="45">
        <f>'DeepLabV3+'!AI99</f>
        <v/>
      </c>
      <c r="O99" s="45">
        <f>'YOLO11n-seg'!AI99</f>
        <v/>
      </c>
    </row>
    <row r="100" ht="15" customHeight="1" s="30">
      <c r="A100" s="73">
        <f>'U-Net'!A100</f>
        <v/>
      </c>
      <c r="B100" s="45">
        <f>'U-Net'!AH100</f>
        <v/>
      </c>
      <c r="C100" s="45">
        <f>'DeepLabV3+'!AH100</f>
        <v/>
      </c>
      <c r="D100" s="45">
        <f>'YOLO11n-seg'!AH100</f>
        <v/>
      </c>
      <c r="E100" s="46">
        <f>INDEX($B$4:$D$4,MATCH(MAX(B100:D100),B100:D100,0))</f>
        <v/>
      </c>
      <c r="F100" s="45">
        <f>MAX(B100:D100)-MIN(B100:D100)</f>
        <v/>
      </c>
      <c r="G100" s="45">
        <f>'U-Net'!AF100</f>
        <v/>
      </c>
      <c r="H100" s="45">
        <f>'DeepLabV3+'!AF100</f>
        <v/>
      </c>
      <c r="I100" s="45">
        <f>'YOLO11n-seg'!AF100</f>
        <v/>
      </c>
      <c r="J100" s="45">
        <f>'U-Net'!AG100</f>
        <v/>
      </c>
      <c r="K100" s="45">
        <f>'DeepLabV3+'!AG100</f>
        <v/>
      </c>
      <c r="L100" s="45">
        <f>'YOLO11n-seg'!AG100</f>
        <v/>
      </c>
      <c r="M100" s="45">
        <f>'U-Net'!AI100</f>
        <v/>
      </c>
      <c r="N100" s="45">
        <f>'DeepLabV3+'!AI100</f>
        <v/>
      </c>
      <c r="O100" s="45">
        <f>'YOLO11n-seg'!AI100</f>
        <v/>
      </c>
    </row>
    <row r="101" ht="15" customHeight="1" s="30">
      <c r="A101" s="73">
        <f>'U-Net'!A101</f>
        <v/>
      </c>
      <c r="B101" s="45">
        <f>'U-Net'!AH101</f>
        <v/>
      </c>
      <c r="C101" s="45">
        <f>'DeepLabV3+'!AH101</f>
        <v/>
      </c>
      <c r="D101" s="45">
        <f>'YOLO11n-seg'!AH101</f>
        <v/>
      </c>
      <c r="E101" s="46">
        <f>INDEX($B$4:$D$4,MATCH(MAX(B101:D101),B101:D101,0))</f>
        <v/>
      </c>
      <c r="F101" s="45">
        <f>MAX(B101:D101)-MIN(B101:D101)</f>
        <v/>
      </c>
      <c r="G101" s="45">
        <f>'U-Net'!AF101</f>
        <v/>
      </c>
      <c r="H101" s="45">
        <f>'DeepLabV3+'!AF101</f>
        <v/>
      </c>
      <c r="I101" s="45">
        <f>'YOLO11n-seg'!AF101</f>
        <v/>
      </c>
      <c r="J101" s="45">
        <f>'U-Net'!AG101</f>
        <v/>
      </c>
      <c r="K101" s="45">
        <f>'DeepLabV3+'!AG101</f>
        <v/>
      </c>
      <c r="L101" s="45">
        <f>'YOLO11n-seg'!AG101</f>
        <v/>
      </c>
      <c r="M101" s="45">
        <f>'U-Net'!AI101</f>
        <v/>
      </c>
      <c r="N101" s="45">
        <f>'DeepLabV3+'!AI101</f>
        <v/>
      </c>
      <c r="O101" s="45">
        <f>'YOLO11n-seg'!AI101</f>
        <v/>
      </c>
    </row>
    <row r="102" ht="15" customHeight="1" s="30">
      <c r="A102" s="73">
        <f>'U-Net'!A102</f>
        <v/>
      </c>
      <c r="B102" s="45">
        <f>'U-Net'!AH102</f>
        <v/>
      </c>
      <c r="C102" s="45">
        <f>'DeepLabV3+'!AH102</f>
        <v/>
      </c>
      <c r="D102" s="45">
        <f>'YOLO11n-seg'!AH102</f>
        <v/>
      </c>
      <c r="E102" s="46">
        <f>INDEX($B$4:$D$4,MATCH(MAX(B102:D102),B102:D102,0))</f>
        <v/>
      </c>
      <c r="F102" s="45">
        <f>MAX(B102:D102)-MIN(B102:D102)</f>
        <v/>
      </c>
      <c r="G102" s="45">
        <f>'U-Net'!AF102</f>
        <v/>
      </c>
      <c r="H102" s="45">
        <f>'DeepLabV3+'!AF102</f>
        <v/>
      </c>
      <c r="I102" s="45">
        <f>'YOLO11n-seg'!AF102</f>
        <v/>
      </c>
      <c r="J102" s="45">
        <f>'U-Net'!AG102</f>
        <v/>
      </c>
      <c r="K102" s="45">
        <f>'DeepLabV3+'!AG102</f>
        <v/>
      </c>
      <c r="L102" s="45">
        <f>'YOLO11n-seg'!AG102</f>
        <v/>
      </c>
      <c r="M102" s="45">
        <f>'U-Net'!AI102</f>
        <v/>
      </c>
      <c r="N102" s="45">
        <f>'DeepLabV3+'!AI102</f>
        <v/>
      </c>
      <c r="O102" s="45">
        <f>'YOLO11n-seg'!AI102</f>
        <v/>
      </c>
    </row>
    <row r="103" ht="15" customHeight="1" s="30">
      <c r="A103" s="73">
        <f>'U-Net'!A103</f>
        <v/>
      </c>
      <c r="B103" s="45">
        <f>'U-Net'!AH103</f>
        <v/>
      </c>
      <c r="C103" s="45">
        <f>'DeepLabV3+'!AH103</f>
        <v/>
      </c>
      <c r="D103" s="45">
        <f>'YOLO11n-seg'!AH103</f>
        <v/>
      </c>
      <c r="E103" s="46">
        <f>INDEX($B$4:$D$4,MATCH(MAX(B103:D103),B103:D103,0))</f>
        <v/>
      </c>
      <c r="F103" s="45">
        <f>MAX(B103:D103)-MIN(B103:D103)</f>
        <v/>
      </c>
      <c r="G103" s="45">
        <f>'U-Net'!AF103</f>
        <v/>
      </c>
      <c r="H103" s="45">
        <f>'DeepLabV3+'!AF103</f>
        <v/>
      </c>
      <c r="I103" s="45">
        <f>'YOLO11n-seg'!AF103</f>
        <v/>
      </c>
      <c r="J103" s="45">
        <f>'U-Net'!AG103</f>
        <v/>
      </c>
      <c r="K103" s="45">
        <f>'DeepLabV3+'!AG103</f>
        <v/>
      </c>
      <c r="L103" s="45">
        <f>'YOLO11n-seg'!AG103</f>
        <v/>
      </c>
      <c r="M103" s="45">
        <f>'U-Net'!AI103</f>
        <v/>
      </c>
      <c r="N103" s="45">
        <f>'DeepLabV3+'!AI103</f>
        <v/>
      </c>
      <c r="O103" s="45">
        <f>'YOLO11n-seg'!AI103</f>
        <v/>
      </c>
    </row>
    <row r="104" ht="15" customHeight="1" s="30">
      <c r="A104" s="73">
        <f>'U-Net'!A104</f>
        <v/>
      </c>
      <c r="B104" s="45">
        <f>'U-Net'!AH104</f>
        <v/>
      </c>
      <c r="C104" s="45">
        <f>'DeepLabV3+'!AH104</f>
        <v/>
      </c>
      <c r="D104" s="45">
        <f>'YOLO11n-seg'!AH104</f>
        <v/>
      </c>
      <c r="E104" s="46">
        <f>INDEX($B$4:$D$4,MATCH(MAX(B104:D104),B104:D104,0))</f>
        <v/>
      </c>
      <c r="F104" s="45">
        <f>MAX(B104:D104)-MIN(B104:D104)</f>
        <v/>
      </c>
      <c r="G104" s="45">
        <f>'U-Net'!AF104</f>
        <v/>
      </c>
      <c r="H104" s="45">
        <f>'DeepLabV3+'!AF104</f>
        <v/>
      </c>
      <c r="I104" s="45">
        <f>'YOLO11n-seg'!AF104</f>
        <v/>
      </c>
      <c r="J104" s="45">
        <f>'U-Net'!AG104</f>
        <v/>
      </c>
      <c r="K104" s="45">
        <f>'DeepLabV3+'!AG104</f>
        <v/>
      </c>
      <c r="L104" s="45">
        <f>'YOLO11n-seg'!AG104</f>
        <v/>
      </c>
      <c r="M104" s="45">
        <f>'U-Net'!AI104</f>
        <v/>
      </c>
      <c r="N104" s="45">
        <f>'DeepLabV3+'!AI104</f>
        <v/>
      </c>
      <c r="O104" s="45">
        <f>'YOLO11n-seg'!AI104</f>
        <v/>
      </c>
    </row>
    <row r="105" ht="15" customHeight="1" s="30">
      <c r="A105" s="73">
        <f>'U-Net'!A105</f>
        <v/>
      </c>
      <c r="B105" s="45">
        <f>'U-Net'!AH105</f>
        <v/>
      </c>
      <c r="C105" s="45">
        <f>'DeepLabV3+'!AH105</f>
        <v/>
      </c>
      <c r="D105" s="45">
        <f>'YOLO11n-seg'!AH105</f>
        <v/>
      </c>
      <c r="E105" s="46">
        <f>INDEX($B$4:$D$4,MATCH(MAX(B105:D105),B105:D105,0))</f>
        <v/>
      </c>
      <c r="F105" s="45">
        <f>MAX(B105:D105)-MIN(B105:D105)</f>
        <v/>
      </c>
      <c r="G105" s="45">
        <f>'U-Net'!AF105</f>
        <v/>
      </c>
      <c r="H105" s="45">
        <f>'DeepLabV3+'!AF105</f>
        <v/>
      </c>
      <c r="I105" s="45">
        <f>'YOLO11n-seg'!AF105</f>
        <v/>
      </c>
      <c r="J105" s="45">
        <f>'U-Net'!AG105</f>
        <v/>
      </c>
      <c r="K105" s="45">
        <f>'DeepLabV3+'!AG105</f>
        <v/>
      </c>
      <c r="L105" s="45">
        <f>'YOLO11n-seg'!AG105</f>
        <v/>
      </c>
      <c r="M105" s="45">
        <f>'U-Net'!AI105</f>
        <v/>
      </c>
      <c r="N105" s="45">
        <f>'DeepLabV3+'!AI105</f>
        <v/>
      </c>
      <c r="O105" s="45">
        <f>'YOLO11n-seg'!AI105</f>
        <v/>
      </c>
    </row>
    <row r="106" ht="15" customHeight="1" s="30">
      <c r="A106" s="73">
        <f>'U-Net'!A106</f>
        <v/>
      </c>
      <c r="B106" s="45">
        <f>'U-Net'!AH106</f>
        <v/>
      </c>
      <c r="C106" s="45">
        <f>'DeepLabV3+'!AH106</f>
        <v/>
      </c>
      <c r="D106" s="45">
        <f>'YOLO11n-seg'!AH106</f>
        <v/>
      </c>
      <c r="E106" s="46">
        <f>INDEX($B$4:$D$4,MATCH(MAX(B106:D106),B106:D106,0))</f>
        <v/>
      </c>
      <c r="F106" s="45">
        <f>MAX(B106:D106)-MIN(B106:D106)</f>
        <v/>
      </c>
      <c r="G106" s="45">
        <f>'U-Net'!AF106</f>
        <v/>
      </c>
      <c r="H106" s="45">
        <f>'DeepLabV3+'!AF106</f>
        <v/>
      </c>
      <c r="I106" s="45">
        <f>'YOLO11n-seg'!AF106</f>
        <v/>
      </c>
      <c r="J106" s="45">
        <f>'U-Net'!AG106</f>
        <v/>
      </c>
      <c r="K106" s="45">
        <f>'DeepLabV3+'!AG106</f>
        <v/>
      </c>
      <c r="L106" s="45">
        <f>'YOLO11n-seg'!AG106</f>
        <v/>
      </c>
      <c r="M106" s="45">
        <f>'U-Net'!AI106</f>
        <v/>
      </c>
      <c r="N106" s="45">
        <f>'DeepLabV3+'!AI106</f>
        <v/>
      </c>
      <c r="O106" s="45">
        <f>'YOLO11n-seg'!AI106</f>
        <v/>
      </c>
    </row>
    <row r="107" ht="15" customHeight="1" s="30">
      <c r="A107" s="73">
        <f>'U-Net'!A107</f>
        <v/>
      </c>
      <c r="B107" s="45">
        <f>'U-Net'!AH107</f>
        <v/>
      </c>
      <c r="C107" s="45">
        <f>'DeepLabV3+'!AH107</f>
        <v/>
      </c>
      <c r="D107" s="45">
        <f>'YOLO11n-seg'!AH107</f>
        <v/>
      </c>
      <c r="E107" s="46">
        <f>INDEX($B$4:$D$4,MATCH(MAX(B107:D107),B107:D107,0))</f>
        <v/>
      </c>
      <c r="F107" s="45">
        <f>MAX(B107:D107)-MIN(B107:D107)</f>
        <v/>
      </c>
      <c r="G107" s="45">
        <f>'U-Net'!AF107</f>
        <v/>
      </c>
      <c r="H107" s="45">
        <f>'DeepLabV3+'!AF107</f>
        <v/>
      </c>
      <c r="I107" s="45">
        <f>'YOLO11n-seg'!AF107</f>
        <v/>
      </c>
      <c r="J107" s="45">
        <f>'U-Net'!AG107</f>
        <v/>
      </c>
      <c r="K107" s="45">
        <f>'DeepLabV3+'!AG107</f>
        <v/>
      </c>
      <c r="L107" s="45">
        <f>'YOLO11n-seg'!AG107</f>
        <v/>
      </c>
      <c r="M107" s="45">
        <f>'U-Net'!AI107</f>
        <v/>
      </c>
      <c r="N107" s="45">
        <f>'DeepLabV3+'!AI107</f>
        <v/>
      </c>
      <c r="O107" s="45">
        <f>'YOLO11n-seg'!AI107</f>
        <v/>
      </c>
    </row>
    <row r="108" ht="15" customHeight="1" s="30">
      <c r="A108" s="73">
        <f>'U-Net'!A108</f>
        <v/>
      </c>
      <c r="B108" s="45">
        <f>'U-Net'!AH108</f>
        <v/>
      </c>
      <c r="C108" s="45">
        <f>'DeepLabV3+'!AH108</f>
        <v/>
      </c>
      <c r="D108" s="45">
        <f>'YOLO11n-seg'!AH108</f>
        <v/>
      </c>
      <c r="E108" s="46">
        <f>INDEX($B$4:$D$4,MATCH(MAX(B108:D108),B108:D108,0))</f>
        <v/>
      </c>
      <c r="F108" s="45">
        <f>MAX(B108:D108)-MIN(B108:D108)</f>
        <v/>
      </c>
      <c r="G108" s="45">
        <f>'U-Net'!AF108</f>
        <v/>
      </c>
      <c r="H108" s="45">
        <f>'DeepLabV3+'!AF108</f>
        <v/>
      </c>
      <c r="I108" s="45">
        <f>'YOLO11n-seg'!AF108</f>
        <v/>
      </c>
      <c r="J108" s="45">
        <f>'U-Net'!AG108</f>
        <v/>
      </c>
      <c r="K108" s="45">
        <f>'DeepLabV3+'!AG108</f>
        <v/>
      </c>
      <c r="L108" s="45">
        <f>'YOLO11n-seg'!AG108</f>
        <v/>
      </c>
      <c r="M108" s="45">
        <f>'U-Net'!AI108</f>
        <v/>
      </c>
      <c r="N108" s="45">
        <f>'DeepLabV3+'!AI108</f>
        <v/>
      </c>
      <c r="O108" s="45">
        <f>'YOLO11n-seg'!AI108</f>
        <v/>
      </c>
    </row>
    <row r="109" ht="15" customHeight="1" s="30">
      <c r="A109" s="73">
        <f>'U-Net'!A109</f>
        <v/>
      </c>
      <c r="B109" s="45">
        <f>'U-Net'!AH109</f>
        <v/>
      </c>
      <c r="C109" s="45">
        <f>'DeepLabV3+'!AH109</f>
        <v/>
      </c>
      <c r="D109" s="45">
        <f>'YOLO11n-seg'!AH109</f>
        <v/>
      </c>
      <c r="E109" s="46">
        <f>INDEX($B$4:$D$4,MATCH(MAX(B109:D109),B109:D109,0))</f>
        <v/>
      </c>
      <c r="F109" s="45">
        <f>MAX(B109:D109)-MIN(B109:D109)</f>
        <v/>
      </c>
      <c r="G109" s="45">
        <f>'U-Net'!AF109</f>
        <v/>
      </c>
      <c r="H109" s="45">
        <f>'DeepLabV3+'!AF109</f>
        <v/>
      </c>
      <c r="I109" s="45">
        <f>'YOLO11n-seg'!AF109</f>
        <v/>
      </c>
      <c r="J109" s="45">
        <f>'U-Net'!AG109</f>
        <v/>
      </c>
      <c r="K109" s="45">
        <f>'DeepLabV3+'!AG109</f>
        <v/>
      </c>
      <c r="L109" s="45">
        <f>'YOLO11n-seg'!AG109</f>
        <v/>
      </c>
      <c r="M109" s="45">
        <f>'U-Net'!AI109</f>
        <v/>
      </c>
      <c r="N109" s="45">
        <f>'DeepLabV3+'!AI109</f>
        <v/>
      </c>
      <c r="O109" s="45">
        <f>'YOLO11n-seg'!AI109</f>
        <v/>
      </c>
    </row>
    <row r="110" ht="15" customHeight="1" s="30">
      <c r="A110" s="73">
        <f>'U-Net'!A110</f>
        <v/>
      </c>
      <c r="B110" s="45">
        <f>'U-Net'!AH110</f>
        <v/>
      </c>
      <c r="C110" s="45">
        <f>'DeepLabV3+'!AH110</f>
        <v/>
      </c>
      <c r="D110" s="45">
        <f>'YOLO11n-seg'!AH110</f>
        <v/>
      </c>
      <c r="E110" s="46">
        <f>INDEX($B$4:$D$4,MATCH(MAX(B110:D110),B110:D110,0))</f>
        <v/>
      </c>
      <c r="F110" s="45">
        <f>MAX(B110:D110)-MIN(B110:D110)</f>
        <v/>
      </c>
      <c r="G110" s="45">
        <f>'U-Net'!AF110</f>
        <v/>
      </c>
      <c r="H110" s="45">
        <f>'DeepLabV3+'!AF110</f>
        <v/>
      </c>
      <c r="I110" s="45">
        <f>'YOLO11n-seg'!AF110</f>
        <v/>
      </c>
      <c r="J110" s="45">
        <f>'U-Net'!AG110</f>
        <v/>
      </c>
      <c r="K110" s="45">
        <f>'DeepLabV3+'!AG110</f>
        <v/>
      </c>
      <c r="L110" s="45">
        <f>'YOLO11n-seg'!AG110</f>
        <v/>
      </c>
      <c r="M110" s="45">
        <f>'U-Net'!AI110</f>
        <v/>
      </c>
      <c r="N110" s="45">
        <f>'DeepLabV3+'!AI110</f>
        <v/>
      </c>
      <c r="O110" s="45">
        <f>'YOLO11n-seg'!AI110</f>
        <v/>
      </c>
    </row>
    <row r="111" ht="15" customHeight="1" s="30">
      <c r="A111" s="73">
        <f>'U-Net'!A111</f>
        <v/>
      </c>
      <c r="B111" s="45">
        <f>'U-Net'!AH111</f>
        <v/>
      </c>
      <c r="C111" s="45">
        <f>'DeepLabV3+'!AH111</f>
        <v/>
      </c>
      <c r="D111" s="45">
        <f>'YOLO11n-seg'!AH111</f>
        <v/>
      </c>
      <c r="E111" s="46">
        <f>INDEX($B$4:$D$4,MATCH(MAX(B111:D111),B111:D111,0))</f>
        <v/>
      </c>
      <c r="F111" s="45">
        <f>MAX(B111:D111)-MIN(B111:D111)</f>
        <v/>
      </c>
      <c r="G111" s="45">
        <f>'U-Net'!AF111</f>
        <v/>
      </c>
      <c r="H111" s="45">
        <f>'DeepLabV3+'!AF111</f>
        <v/>
      </c>
      <c r="I111" s="45">
        <f>'YOLO11n-seg'!AF111</f>
        <v/>
      </c>
      <c r="J111" s="45">
        <f>'U-Net'!AG111</f>
        <v/>
      </c>
      <c r="K111" s="45">
        <f>'DeepLabV3+'!AG111</f>
        <v/>
      </c>
      <c r="L111" s="45">
        <f>'YOLO11n-seg'!AG111</f>
        <v/>
      </c>
      <c r="M111" s="45">
        <f>'U-Net'!AI111</f>
        <v/>
      </c>
      <c r="N111" s="45">
        <f>'DeepLabV3+'!AI111</f>
        <v/>
      </c>
      <c r="O111" s="45">
        <f>'YOLO11n-seg'!AI111</f>
        <v/>
      </c>
    </row>
    <row r="112" ht="15" customHeight="1" s="30">
      <c r="A112" s="73">
        <f>'U-Net'!A112</f>
        <v/>
      </c>
      <c r="B112" s="45">
        <f>'U-Net'!AH112</f>
        <v/>
      </c>
      <c r="C112" s="45">
        <f>'DeepLabV3+'!AH112</f>
        <v/>
      </c>
      <c r="D112" s="45">
        <f>'YOLO11n-seg'!AH112</f>
        <v/>
      </c>
      <c r="E112" s="46">
        <f>INDEX($B$4:$D$4,MATCH(MAX(B112:D112),B112:D112,0))</f>
        <v/>
      </c>
      <c r="F112" s="45">
        <f>MAX(B112:D112)-MIN(B112:D112)</f>
        <v/>
      </c>
      <c r="G112" s="45">
        <f>'U-Net'!AF112</f>
        <v/>
      </c>
      <c r="H112" s="45">
        <f>'DeepLabV3+'!AF112</f>
        <v/>
      </c>
      <c r="I112" s="45">
        <f>'YOLO11n-seg'!AF112</f>
        <v/>
      </c>
      <c r="J112" s="45">
        <f>'U-Net'!AG112</f>
        <v/>
      </c>
      <c r="K112" s="45">
        <f>'DeepLabV3+'!AG112</f>
        <v/>
      </c>
      <c r="L112" s="45">
        <f>'YOLO11n-seg'!AG112</f>
        <v/>
      </c>
      <c r="M112" s="45">
        <f>'U-Net'!AI112</f>
        <v/>
      </c>
      <c r="N112" s="45">
        <f>'DeepLabV3+'!AI112</f>
        <v/>
      </c>
      <c r="O112" s="45">
        <f>'YOLO11n-seg'!AI112</f>
        <v/>
      </c>
    </row>
    <row r="113" ht="15" customHeight="1" s="30">
      <c r="A113" s="73">
        <f>'U-Net'!A113</f>
        <v/>
      </c>
      <c r="B113" s="45">
        <f>'U-Net'!AH113</f>
        <v/>
      </c>
      <c r="C113" s="45">
        <f>'DeepLabV3+'!AH113</f>
        <v/>
      </c>
      <c r="D113" s="45">
        <f>'YOLO11n-seg'!AH113</f>
        <v/>
      </c>
      <c r="E113" s="46">
        <f>INDEX($B$4:$D$4,MATCH(MAX(B113:D113),B113:D113,0))</f>
        <v/>
      </c>
      <c r="F113" s="45">
        <f>MAX(B113:D113)-MIN(B113:D113)</f>
        <v/>
      </c>
      <c r="G113" s="45">
        <f>'U-Net'!AF113</f>
        <v/>
      </c>
      <c r="H113" s="45">
        <f>'DeepLabV3+'!AF113</f>
        <v/>
      </c>
      <c r="I113" s="45">
        <f>'YOLO11n-seg'!AF113</f>
        <v/>
      </c>
      <c r="J113" s="45">
        <f>'U-Net'!AG113</f>
        <v/>
      </c>
      <c r="K113" s="45">
        <f>'DeepLabV3+'!AG113</f>
        <v/>
      </c>
      <c r="L113" s="45">
        <f>'YOLO11n-seg'!AG113</f>
        <v/>
      </c>
      <c r="M113" s="45">
        <f>'U-Net'!AI113</f>
        <v/>
      </c>
      <c r="N113" s="45">
        <f>'DeepLabV3+'!AI113</f>
        <v/>
      </c>
      <c r="O113" s="45">
        <f>'YOLO11n-seg'!AI113</f>
        <v/>
      </c>
    </row>
    <row r="114" ht="15" customHeight="1" s="30">
      <c r="A114" s="73">
        <f>'U-Net'!A114</f>
        <v/>
      </c>
      <c r="B114" s="45">
        <f>'U-Net'!AH114</f>
        <v/>
      </c>
      <c r="C114" s="45">
        <f>'DeepLabV3+'!AH114</f>
        <v/>
      </c>
      <c r="D114" s="45">
        <f>'YOLO11n-seg'!AH114</f>
        <v/>
      </c>
      <c r="E114" s="46">
        <f>INDEX($B$4:$D$4,MATCH(MAX(B114:D114),B114:D114,0))</f>
        <v/>
      </c>
      <c r="F114" s="45">
        <f>MAX(B114:D114)-MIN(B114:D114)</f>
        <v/>
      </c>
      <c r="G114" s="45">
        <f>'U-Net'!AF114</f>
        <v/>
      </c>
      <c r="H114" s="45">
        <f>'DeepLabV3+'!AF114</f>
        <v/>
      </c>
      <c r="I114" s="45">
        <f>'YOLO11n-seg'!AF114</f>
        <v/>
      </c>
      <c r="J114" s="45">
        <f>'U-Net'!AG114</f>
        <v/>
      </c>
      <c r="K114" s="45">
        <f>'DeepLabV3+'!AG114</f>
        <v/>
      </c>
      <c r="L114" s="45">
        <f>'YOLO11n-seg'!AG114</f>
        <v/>
      </c>
      <c r="M114" s="45">
        <f>'U-Net'!AI114</f>
        <v/>
      </c>
      <c r="N114" s="45">
        <f>'DeepLabV3+'!AI114</f>
        <v/>
      </c>
      <c r="O114" s="45">
        <f>'YOLO11n-seg'!AI114</f>
        <v/>
      </c>
    </row>
    <row r="115" ht="15" customHeight="1" s="30">
      <c r="A115" s="73">
        <f>'U-Net'!A115</f>
        <v/>
      </c>
      <c r="B115" s="45">
        <f>'U-Net'!AH115</f>
        <v/>
      </c>
      <c r="C115" s="45">
        <f>'DeepLabV3+'!AH115</f>
        <v/>
      </c>
      <c r="D115" s="45">
        <f>'YOLO11n-seg'!AH115</f>
        <v/>
      </c>
      <c r="E115" s="46">
        <f>INDEX($B$4:$D$4,MATCH(MAX(B115:D115),B115:D115,0))</f>
        <v/>
      </c>
      <c r="F115" s="45">
        <f>MAX(B115:D115)-MIN(B115:D115)</f>
        <v/>
      </c>
      <c r="G115" s="45">
        <f>'U-Net'!AF115</f>
        <v/>
      </c>
      <c r="H115" s="45">
        <f>'DeepLabV3+'!AF115</f>
        <v/>
      </c>
      <c r="I115" s="45">
        <f>'YOLO11n-seg'!AF115</f>
        <v/>
      </c>
      <c r="J115" s="45">
        <f>'U-Net'!AG115</f>
        <v/>
      </c>
      <c r="K115" s="45">
        <f>'DeepLabV3+'!AG115</f>
        <v/>
      </c>
      <c r="L115" s="45">
        <f>'YOLO11n-seg'!AG115</f>
        <v/>
      </c>
      <c r="M115" s="45">
        <f>'U-Net'!AI115</f>
        <v/>
      </c>
      <c r="N115" s="45">
        <f>'DeepLabV3+'!AI115</f>
        <v/>
      </c>
      <c r="O115" s="45">
        <f>'YOLO11n-seg'!AI115</f>
        <v/>
      </c>
    </row>
    <row r="116" ht="15" customHeight="1" s="30">
      <c r="A116" s="73">
        <f>'U-Net'!A116</f>
        <v/>
      </c>
      <c r="B116" s="45">
        <f>'U-Net'!AH116</f>
        <v/>
      </c>
      <c r="C116" s="45">
        <f>'DeepLabV3+'!AH116</f>
        <v/>
      </c>
      <c r="D116" s="45">
        <f>'YOLO11n-seg'!AH116</f>
        <v/>
      </c>
      <c r="E116" s="46">
        <f>INDEX($B$4:$D$4,MATCH(MAX(B116:D116),B116:D116,0))</f>
        <v/>
      </c>
      <c r="F116" s="45">
        <f>MAX(B116:D116)-MIN(B116:D116)</f>
        <v/>
      </c>
      <c r="G116" s="45">
        <f>'U-Net'!AF116</f>
        <v/>
      </c>
      <c r="H116" s="45">
        <f>'DeepLabV3+'!AF116</f>
        <v/>
      </c>
      <c r="I116" s="45">
        <f>'YOLO11n-seg'!AF116</f>
        <v/>
      </c>
      <c r="J116" s="45">
        <f>'U-Net'!AG116</f>
        <v/>
      </c>
      <c r="K116" s="45">
        <f>'DeepLabV3+'!AG116</f>
        <v/>
      </c>
      <c r="L116" s="45">
        <f>'YOLO11n-seg'!AG116</f>
        <v/>
      </c>
      <c r="M116" s="45">
        <f>'U-Net'!AI116</f>
        <v/>
      </c>
      <c r="N116" s="45">
        <f>'DeepLabV3+'!AI116</f>
        <v/>
      </c>
      <c r="O116" s="45">
        <f>'YOLO11n-seg'!AI116</f>
        <v/>
      </c>
    </row>
    <row r="117" ht="15" customHeight="1" s="30">
      <c r="A117" s="73">
        <f>'U-Net'!A117</f>
        <v/>
      </c>
      <c r="B117" s="45">
        <f>'U-Net'!AH117</f>
        <v/>
      </c>
      <c r="C117" s="45">
        <f>'DeepLabV3+'!AH117</f>
        <v/>
      </c>
      <c r="D117" s="45">
        <f>'YOLO11n-seg'!AH117</f>
        <v/>
      </c>
      <c r="E117" s="46">
        <f>INDEX($B$4:$D$4,MATCH(MAX(B117:D117),B117:D117,0))</f>
        <v/>
      </c>
      <c r="F117" s="45">
        <f>MAX(B117:D117)-MIN(B117:D117)</f>
        <v/>
      </c>
      <c r="G117" s="45">
        <f>'U-Net'!AF117</f>
        <v/>
      </c>
      <c r="H117" s="45">
        <f>'DeepLabV3+'!AF117</f>
        <v/>
      </c>
      <c r="I117" s="45">
        <f>'YOLO11n-seg'!AF117</f>
        <v/>
      </c>
      <c r="J117" s="45">
        <f>'U-Net'!AG117</f>
        <v/>
      </c>
      <c r="K117" s="45">
        <f>'DeepLabV3+'!AG117</f>
        <v/>
      </c>
      <c r="L117" s="45">
        <f>'YOLO11n-seg'!AG117</f>
        <v/>
      </c>
      <c r="M117" s="45">
        <f>'U-Net'!AI117</f>
        <v/>
      </c>
      <c r="N117" s="45">
        <f>'DeepLabV3+'!AI117</f>
        <v/>
      </c>
      <c r="O117" s="45">
        <f>'YOLO11n-seg'!AI117</f>
        <v/>
      </c>
    </row>
    <row r="118" ht="15" customHeight="1" s="30">
      <c r="A118" s="73">
        <f>'U-Net'!A118</f>
        <v/>
      </c>
      <c r="B118" s="45">
        <f>'U-Net'!AH118</f>
        <v/>
      </c>
      <c r="C118" s="45">
        <f>'DeepLabV3+'!AH118</f>
        <v/>
      </c>
      <c r="D118" s="45">
        <f>'YOLO11n-seg'!AH118</f>
        <v/>
      </c>
      <c r="E118" s="46">
        <f>INDEX($B$4:$D$4,MATCH(MAX(B118:D118),B118:D118,0))</f>
        <v/>
      </c>
      <c r="F118" s="45">
        <f>MAX(B118:D118)-MIN(B118:D118)</f>
        <v/>
      </c>
      <c r="G118" s="45">
        <f>'U-Net'!AF118</f>
        <v/>
      </c>
      <c r="H118" s="45">
        <f>'DeepLabV3+'!AF118</f>
        <v/>
      </c>
      <c r="I118" s="45">
        <f>'YOLO11n-seg'!AF118</f>
        <v/>
      </c>
      <c r="J118" s="45">
        <f>'U-Net'!AG118</f>
        <v/>
      </c>
      <c r="K118" s="45">
        <f>'DeepLabV3+'!AG118</f>
        <v/>
      </c>
      <c r="L118" s="45">
        <f>'YOLO11n-seg'!AG118</f>
        <v/>
      </c>
      <c r="M118" s="45">
        <f>'U-Net'!AI118</f>
        <v/>
      </c>
      <c r="N118" s="45">
        <f>'DeepLabV3+'!AI118</f>
        <v/>
      </c>
      <c r="O118" s="45">
        <f>'YOLO11n-seg'!AI118</f>
        <v/>
      </c>
    </row>
    <row r="119" ht="15" customHeight="1" s="30">
      <c r="A119" s="73">
        <f>'U-Net'!A119</f>
        <v/>
      </c>
      <c r="B119" s="45">
        <f>'U-Net'!AH119</f>
        <v/>
      </c>
      <c r="C119" s="45">
        <f>'DeepLabV3+'!AH119</f>
        <v/>
      </c>
      <c r="D119" s="45">
        <f>'YOLO11n-seg'!AH119</f>
        <v/>
      </c>
      <c r="E119" s="46">
        <f>INDEX($B$4:$D$4,MATCH(MAX(B119:D119),B119:D119,0))</f>
        <v/>
      </c>
      <c r="F119" s="45">
        <f>MAX(B119:D119)-MIN(B119:D119)</f>
        <v/>
      </c>
      <c r="G119" s="45">
        <f>'U-Net'!AF119</f>
        <v/>
      </c>
      <c r="H119" s="45">
        <f>'DeepLabV3+'!AF119</f>
        <v/>
      </c>
      <c r="I119" s="45">
        <f>'YOLO11n-seg'!AF119</f>
        <v/>
      </c>
      <c r="J119" s="45">
        <f>'U-Net'!AG119</f>
        <v/>
      </c>
      <c r="K119" s="45">
        <f>'DeepLabV3+'!AG119</f>
        <v/>
      </c>
      <c r="L119" s="45">
        <f>'YOLO11n-seg'!AG119</f>
        <v/>
      </c>
      <c r="M119" s="45">
        <f>'U-Net'!AI119</f>
        <v/>
      </c>
      <c r="N119" s="45">
        <f>'DeepLabV3+'!AI119</f>
        <v/>
      </c>
      <c r="O119" s="45">
        <f>'YOLO11n-seg'!AI119</f>
        <v/>
      </c>
    </row>
    <row r="120" ht="15" customHeight="1" s="30">
      <c r="A120" s="73">
        <f>'U-Net'!A120</f>
        <v/>
      </c>
      <c r="B120" s="45">
        <f>'U-Net'!AH120</f>
        <v/>
      </c>
      <c r="C120" s="45">
        <f>'DeepLabV3+'!AH120</f>
        <v/>
      </c>
      <c r="D120" s="45">
        <f>'YOLO11n-seg'!AH120</f>
        <v/>
      </c>
      <c r="E120" s="46">
        <f>INDEX($B$4:$D$4,MATCH(MAX(B120:D120),B120:D120,0))</f>
        <v/>
      </c>
      <c r="F120" s="45">
        <f>MAX(B120:D120)-MIN(B120:D120)</f>
        <v/>
      </c>
      <c r="G120" s="45">
        <f>'U-Net'!AF120</f>
        <v/>
      </c>
      <c r="H120" s="45">
        <f>'DeepLabV3+'!AF120</f>
        <v/>
      </c>
      <c r="I120" s="45">
        <f>'YOLO11n-seg'!AF120</f>
        <v/>
      </c>
      <c r="J120" s="45">
        <f>'U-Net'!AG120</f>
        <v/>
      </c>
      <c r="K120" s="45">
        <f>'DeepLabV3+'!AG120</f>
        <v/>
      </c>
      <c r="L120" s="45">
        <f>'YOLO11n-seg'!AG120</f>
        <v/>
      </c>
      <c r="M120" s="45">
        <f>'U-Net'!AI120</f>
        <v/>
      </c>
      <c r="N120" s="45">
        <f>'DeepLabV3+'!AI120</f>
        <v/>
      </c>
      <c r="O120" s="45">
        <f>'YOLO11n-seg'!AI120</f>
        <v/>
      </c>
    </row>
    <row r="121" ht="15" customHeight="1" s="30">
      <c r="A121" s="73">
        <f>'U-Net'!A121</f>
        <v/>
      </c>
      <c r="B121" s="45">
        <f>'U-Net'!AH121</f>
        <v/>
      </c>
      <c r="C121" s="45">
        <f>'DeepLabV3+'!AH121</f>
        <v/>
      </c>
      <c r="D121" s="45">
        <f>'YOLO11n-seg'!AH121</f>
        <v/>
      </c>
      <c r="E121" s="46">
        <f>INDEX($B$4:$D$4,MATCH(MAX(B121:D121),B121:D121,0))</f>
        <v/>
      </c>
      <c r="F121" s="45">
        <f>MAX(B121:D121)-MIN(B121:D121)</f>
        <v/>
      </c>
      <c r="G121" s="45">
        <f>'U-Net'!AF121</f>
        <v/>
      </c>
      <c r="H121" s="45">
        <f>'DeepLabV3+'!AF121</f>
        <v/>
      </c>
      <c r="I121" s="45">
        <f>'YOLO11n-seg'!AF121</f>
        <v/>
      </c>
      <c r="J121" s="45">
        <f>'U-Net'!AG121</f>
        <v/>
      </c>
      <c r="K121" s="45">
        <f>'DeepLabV3+'!AG121</f>
        <v/>
      </c>
      <c r="L121" s="45">
        <f>'YOLO11n-seg'!AG121</f>
        <v/>
      </c>
      <c r="M121" s="45">
        <f>'U-Net'!AI121</f>
        <v/>
      </c>
      <c r="N121" s="45">
        <f>'DeepLabV3+'!AI121</f>
        <v/>
      </c>
      <c r="O121" s="45">
        <f>'YOLO11n-seg'!AI121</f>
        <v/>
      </c>
    </row>
    <row r="122" ht="15" customHeight="1" s="30">
      <c r="A122" s="73">
        <f>'U-Net'!A122</f>
        <v/>
      </c>
      <c r="B122" s="45">
        <f>'U-Net'!AH122</f>
        <v/>
      </c>
      <c r="C122" s="45">
        <f>'DeepLabV3+'!AH122</f>
        <v/>
      </c>
      <c r="D122" s="45">
        <f>'YOLO11n-seg'!AH122</f>
        <v/>
      </c>
      <c r="E122" s="46">
        <f>INDEX($B$4:$D$4,MATCH(MAX(B122:D122),B122:D122,0))</f>
        <v/>
      </c>
      <c r="F122" s="45">
        <f>MAX(B122:D122)-MIN(B122:D122)</f>
        <v/>
      </c>
      <c r="G122" s="45">
        <f>'U-Net'!AF122</f>
        <v/>
      </c>
      <c r="H122" s="45">
        <f>'DeepLabV3+'!AF122</f>
        <v/>
      </c>
      <c r="I122" s="45">
        <f>'YOLO11n-seg'!AF122</f>
        <v/>
      </c>
      <c r="J122" s="45">
        <f>'U-Net'!AG122</f>
        <v/>
      </c>
      <c r="K122" s="45">
        <f>'DeepLabV3+'!AG122</f>
        <v/>
      </c>
      <c r="L122" s="45">
        <f>'YOLO11n-seg'!AG122</f>
        <v/>
      </c>
      <c r="M122" s="45">
        <f>'U-Net'!AI122</f>
        <v/>
      </c>
      <c r="N122" s="45">
        <f>'DeepLabV3+'!AI122</f>
        <v/>
      </c>
      <c r="O122" s="45">
        <f>'YOLO11n-seg'!AI122</f>
        <v/>
      </c>
    </row>
    <row r="123" ht="15" customHeight="1" s="30">
      <c r="A123" s="73">
        <f>'U-Net'!A123</f>
        <v/>
      </c>
      <c r="B123" s="45">
        <f>'U-Net'!AH123</f>
        <v/>
      </c>
      <c r="C123" s="45">
        <f>'DeepLabV3+'!AH123</f>
        <v/>
      </c>
      <c r="D123" s="45">
        <f>'YOLO11n-seg'!AH123</f>
        <v/>
      </c>
      <c r="E123" s="46">
        <f>INDEX($B$4:$D$4,MATCH(MAX(B123:D123),B123:D123,0))</f>
        <v/>
      </c>
      <c r="F123" s="45">
        <f>MAX(B123:D123)-MIN(B123:D123)</f>
        <v/>
      </c>
      <c r="G123" s="45">
        <f>'U-Net'!AF123</f>
        <v/>
      </c>
      <c r="H123" s="45">
        <f>'DeepLabV3+'!AF123</f>
        <v/>
      </c>
      <c r="I123" s="45">
        <f>'YOLO11n-seg'!AF123</f>
        <v/>
      </c>
      <c r="J123" s="45">
        <f>'U-Net'!AG123</f>
        <v/>
      </c>
      <c r="K123" s="45">
        <f>'DeepLabV3+'!AG123</f>
        <v/>
      </c>
      <c r="L123" s="45">
        <f>'YOLO11n-seg'!AG123</f>
        <v/>
      </c>
      <c r="M123" s="45">
        <f>'U-Net'!AI123</f>
        <v/>
      </c>
      <c r="N123" s="45">
        <f>'DeepLabV3+'!AI123</f>
        <v/>
      </c>
      <c r="O123" s="45">
        <f>'YOLO11n-seg'!AI123</f>
        <v/>
      </c>
    </row>
    <row r="124" ht="15" customHeight="1" s="30">
      <c r="A124" s="73">
        <f>'U-Net'!A124</f>
        <v/>
      </c>
      <c r="B124" s="45">
        <f>'U-Net'!AH124</f>
        <v/>
      </c>
      <c r="C124" s="45">
        <f>'DeepLabV3+'!AH124</f>
        <v/>
      </c>
      <c r="D124" s="45">
        <f>'YOLO11n-seg'!AH124</f>
        <v/>
      </c>
      <c r="E124" s="46">
        <f>INDEX($B$4:$D$4,MATCH(MAX(B124:D124),B124:D124,0))</f>
        <v/>
      </c>
      <c r="F124" s="45">
        <f>MAX(B124:D124)-MIN(B124:D124)</f>
        <v/>
      </c>
      <c r="G124" s="45">
        <f>'U-Net'!AF124</f>
        <v/>
      </c>
      <c r="H124" s="45">
        <f>'DeepLabV3+'!AF124</f>
        <v/>
      </c>
      <c r="I124" s="45">
        <f>'YOLO11n-seg'!AF124</f>
        <v/>
      </c>
      <c r="J124" s="45">
        <f>'U-Net'!AG124</f>
        <v/>
      </c>
      <c r="K124" s="45">
        <f>'DeepLabV3+'!AG124</f>
        <v/>
      </c>
      <c r="L124" s="45">
        <f>'YOLO11n-seg'!AG124</f>
        <v/>
      </c>
      <c r="M124" s="45">
        <f>'U-Net'!AI124</f>
        <v/>
      </c>
      <c r="N124" s="45">
        <f>'DeepLabV3+'!AI124</f>
        <v/>
      </c>
      <c r="O124" s="45">
        <f>'YOLO11n-seg'!AI124</f>
        <v/>
      </c>
    </row>
    <row r="125" ht="15" customHeight="1" s="30">
      <c r="A125" s="73">
        <f>'U-Net'!A125</f>
        <v/>
      </c>
      <c r="B125" s="45">
        <f>'U-Net'!AH125</f>
        <v/>
      </c>
      <c r="C125" s="45">
        <f>'DeepLabV3+'!AH125</f>
        <v/>
      </c>
      <c r="D125" s="45">
        <f>'YOLO11n-seg'!AH125</f>
        <v/>
      </c>
      <c r="E125" s="46">
        <f>INDEX($B$4:$D$4,MATCH(MAX(B125:D125),B125:D125,0))</f>
        <v/>
      </c>
      <c r="F125" s="45">
        <f>MAX(B125:D125)-MIN(B125:D125)</f>
        <v/>
      </c>
      <c r="G125" s="45">
        <f>'U-Net'!AF125</f>
        <v/>
      </c>
      <c r="H125" s="45">
        <f>'DeepLabV3+'!AF125</f>
        <v/>
      </c>
      <c r="I125" s="45">
        <f>'YOLO11n-seg'!AF125</f>
        <v/>
      </c>
      <c r="J125" s="45">
        <f>'U-Net'!AG125</f>
        <v/>
      </c>
      <c r="K125" s="45">
        <f>'DeepLabV3+'!AG125</f>
        <v/>
      </c>
      <c r="L125" s="45">
        <f>'YOLO11n-seg'!AG125</f>
        <v/>
      </c>
      <c r="M125" s="45">
        <f>'U-Net'!AI125</f>
        <v/>
      </c>
      <c r="N125" s="45">
        <f>'DeepLabV3+'!AI125</f>
        <v/>
      </c>
      <c r="O125" s="45">
        <f>'YOLO11n-seg'!AI125</f>
        <v/>
      </c>
    </row>
    <row r="126" ht="15" customHeight="1" s="30">
      <c r="A126" s="73">
        <f>'U-Net'!A126</f>
        <v/>
      </c>
      <c r="B126" s="45">
        <f>'U-Net'!AH126</f>
        <v/>
      </c>
      <c r="C126" s="45">
        <f>'DeepLabV3+'!AH126</f>
        <v/>
      </c>
      <c r="D126" s="45">
        <f>'YOLO11n-seg'!AH126</f>
        <v/>
      </c>
      <c r="E126" s="46">
        <f>INDEX($B$4:$D$4,MATCH(MAX(B126:D126),B126:D126,0))</f>
        <v/>
      </c>
      <c r="F126" s="45">
        <f>MAX(B126:D126)-MIN(B126:D126)</f>
        <v/>
      </c>
      <c r="G126" s="45">
        <f>'U-Net'!AF126</f>
        <v/>
      </c>
      <c r="H126" s="45">
        <f>'DeepLabV3+'!AF126</f>
        <v/>
      </c>
      <c r="I126" s="45">
        <f>'YOLO11n-seg'!AF126</f>
        <v/>
      </c>
      <c r="J126" s="45">
        <f>'U-Net'!AG126</f>
        <v/>
      </c>
      <c r="K126" s="45">
        <f>'DeepLabV3+'!AG126</f>
        <v/>
      </c>
      <c r="L126" s="45">
        <f>'YOLO11n-seg'!AG126</f>
        <v/>
      </c>
      <c r="M126" s="45">
        <f>'U-Net'!AI126</f>
        <v/>
      </c>
      <c r="N126" s="45">
        <f>'DeepLabV3+'!AI126</f>
        <v/>
      </c>
      <c r="O126" s="45">
        <f>'YOLO11n-seg'!AI126</f>
        <v/>
      </c>
    </row>
    <row r="127" ht="15" customHeight="1" s="30">
      <c r="A127" s="73">
        <f>'U-Net'!A127</f>
        <v/>
      </c>
      <c r="B127" s="45">
        <f>'U-Net'!AH127</f>
        <v/>
      </c>
      <c r="C127" s="45">
        <f>'DeepLabV3+'!AH127</f>
        <v/>
      </c>
      <c r="D127" s="45">
        <f>'YOLO11n-seg'!AH127</f>
        <v/>
      </c>
      <c r="E127" s="46">
        <f>INDEX($B$4:$D$4,MATCH(MAX(B127:D127),B127:D127,0))</f>
        <v/>
      </c>
      <c r="F127" s="45">
        <f>MAX(B127:D127)-MIN(B127:D127)</f>
        <v/>
      </c>
      <c r="G127" s="45">
        <f>'U-Net'!AF127</f>
        <v/>
      </c>
      <c r="H127" s="45">
        <f>'DeepLabV3+'!AF127</f>
        <v/>
      </c>
      <c r="I127" s="45">
        <f>'YOLO11n-seg'!AF127</f>
        <v/>
      </c>
      <c r="J127" s="45">
        <f>'U-Net'!AG127</f>
        <v/>
      </c>
      <c r="K127" s="45">
        <f>'DeepLabV3+'!AG127</f>
        <v/>
      </c>
      <c r="L127" s="45">
        <f>'YOLO11n-seg'!AG127</f>
        <v/>
      </c>
      <c r="M127" s="45">
        <f>'U-Net'!AI127</f>
        <v/>
      </c>
      <c r="N127" s="45">
        <f>'DeepLabV3+'!AI127</f>
        <v/>
      </c>
      <c r="O127" s="45">
        <f>'YOLO11n-seg'!AI127</f>
        <v/>
      </c>
    </row>
    <row r="128" ht="15" customHeight="1" s="30">
      <c r="A128" s="73">
        <f>'U-Net'!A128</f>
        <v/>
      </c>
      <c r="B128" s="45">
        <f>'U-Net'!AH128</f>
        <v/>
      </c>
      <c r="C128" s="45">
        <f>'DeepLabV3+'!AH128</f>
        <v/>
      </c>
      <c r="D128" s="45">
        <f>'YOLO11n-seg'!AH128</f>
        <v/>
      </c>
      <c r="E128" s="46">
        <f>INDEX($B$4:$D$4,MATCH(MAX(B128:D128),B128:D128,0))</f>
        <v/>
      </c>
      <c r="F128" s="45">
        <f>MAX(B128:D128)-MIN(B128:D128)</f>
        <v/>
      </c>
      <c r="G128" s="45">
        <f>'U-Net'!AF128</f>
        <v/>
      </c>
      <c r="H128" s="45">
        <f>'DeepLabV3+'!AF128</f>
        <v/>
      </c>
      <c r="I128" s="45">
        <f>'YOLO11n-seg'!AF128</f>
        <v/>
      </c>
      <c r="J128" s="45">
        <f>'U-Net'!AG128</f>
        <v/>
      </c>
      <c r="K128" s="45">
        <f>'DeepLabV3+'!AG128</f>
        <v/>
      </c>
      <c r="L128" s="45">
        <f>'YOLO11n-seg'!AG128</f>
        <v/>
      </c>
      <c r="M128" s="45">
        <f>'U-Net'!AI128</f>
        <v/>
      </c>
      <c r="N128" s="45">
        <f>'DeepLabV3+'!AI128</f>
        <v/>
      </c>
      <c r="O128" s="45">
        <f>'YOLO11n-seg'!AI128</f>
        <v/>
      </c>
    </row>
    <row r="129" ht="15" customHeight="1" s="30">
      <c r="A129" s="73">
        <f>'U-Net'!A129</f>
        <v/>
      </c>
      <c r="B129" s="45">
        <f>'U-Net'!AH129</f>
        <v/>
      </c>
      <c r="C129" s="45">
        <f>'DeepLabV3+'!AH129</f>
        <v/>
      </c>
      <c r="D129" s="45">
        <f>'YOLO11n-seg'!AH129</f>
        <v/>
      </c>
      <c r="E129" s="46">
        <f>INDEX($B$4:$D$4,MATCH(MAX(B129:D129),B129:D129,0))</f>
        <v/>
      </c>
      <c r="F129" s="45">
        <f>MAX(B129:D129)-MIN(B129:D129)</f>
        <v/>
      </c>
      <c r="G129" s="45">
        <f>'U-Net'!AF129</f>
        <v/>
      </c>
      <c r="H129" s="45">
        <f>'DeepLabV3+'!AF129</f>
        <v/>
      </c>
      <c r="I129" s="45">
        <f>'YOLO11n-seg'!AF129</f>
        <v/>
      </c>
      <c r="J129" s="45">
        <f>'U-Net'!AG129</f>
        <v/>
      </c>
      <c r="K129" s="45">
        <f>'DeepLabV3+'!AG129</f>
        <v/>
      </c>
      <c r="L129" s="45">
        <f>'YOLO11n-seg'!AG129</f>
        <v/>
      </c>
      <c r="M129" s="45">
        <f>'U-Net'!AI129</f>
        <v/>
      </c>
      <c r="N129" s="45">
        <f>'DeepLabV3+'!AI129</f>
        <v/>
      </c>
      <c r="O129" s="45">
        <f>'YOLO11n-seg'!AI129</f>
        <v/>
      </c>
    </row>
    <row r="130" ht="15" customHeight="1" s="30">
      <c r="A130" s="73">
        <f>'U-Net'!A130</f>
        <v/>
      </c>
      <c r="B130" s="45">
        <f>'U-Net'!AH130</f>
        <v/>
      </c>
      <c r="C130" s="45">
        <f>'DeepLabV3+'!AH130</f>
        <v/>
      </c>
      <c r="D130" s="45">
        <f>'YOLO11n-seg'!AH130</f>
        <v/>
      </c>
      <c r="E130" s="46">
        <f>INDEX($B$4:$D$4,MATCH(MAX(B130:D130),B130:D130,0))</f>
        <v/>
      </c>
      <c r="F130" s="45">
        <f>MAX(B130:D130)-MIN(B130:D130)</f>
        <v/>
      </c>
      <c r="G130" s="45">
        <f>'U-Net'!AF130</f>
        <v/>
      </c>
      <c r="H130" s="45">
        <f>'DeepLabV3+'!AF130</f>
        <v/>
      </c>
      <c r="I130" s="45">
        <f>'YOLO11n-seg'!AF130</f>
        <v/>
      </c>
      <c r="J130" s="45">
        <f>'U-Net'!AG130</f>
        <v/>
      </c>
      <c r="K130" s="45">
        <f>'DeepLabV3+'!AG130</f>
        <v/>
      </c>
      <c r="L130" s="45">
        <f>'YOLO11n-seg'!AG130</f>
        <v/>
      </c>
      <c r="M130" s="45">
        <f>'U-Net'!AI130</f>
        <v/>
      </c>
      <c r="N130" s="45">
        <f>'DeepLabV3+'!AI130</f>
        <v/>
      </c>
      <c r="O130" s="45">
        <f>'YOLO11n-seg'!AI130</f>
        <v/>
      </c>
    </row>
    <row r="131" ht="15" customHeight="1" s="30">
      <c r="A131" s="73">
        <f>'U-Net'!A131</f>
        <v/>
      </c>
      <c r="B131" s="45">
        <f>'U-Net'!AH131</f>
        <v/>
      </c>
      <c r="C131" s="45">
        <f>'DeepLabV3+'!AH131</f>
        <v/>
      </c>
      <c r="D131" s="45">
        <f>'YOLO11n-seg'!AH131</f>
        <v/>
      </c>
      <c r="E131" s="46">
        <f>INDEX($B$4:$D$4,MATCH(MAX(B131:D131),B131:D131,0))</f>
        <v/>
      </c>
      <c r="F131" s="45">
        <f>MAX(B131:D131)-MIN(B131:D131)</f>
        <v/>
      </c>
      <c r="G131" s="45">
        <f>'U-Net'!AF131</f>
        <v/>
      </c>
      <c r="H131" s="45">
        <f>'DeepLabV3+'!AF131</f>
        <v/>
      </c>
      <c r="I131" s="45">
        <f>'YOLO11n-seg'!AF131</f>
        <v/>
      </c>
      <c r="J131" s="45">
        <f>'U-Net'!AG131</f>
        <v/>
      </c>
      <c r="K131" s="45">
        <f>'DeepLabV3+'!AG131</f>
        <v/>
      </c>
      <c r="L131" s="45">
        <f>'YOLO11n-seg'!AG131</f>
        <v/>
      </c>
      <c r="M131" s="45">
        <f>'U-Net'!AI131</f>
        <v/>
      </c>
      <c r="N131" s="45">
        <f>'DeepLabV3+'!AI131</f>
        <v/>
      </c>
      <c r="O131" s="45">
        <f>'YOLO11n-seg'!AI131</f>
        <v/>
      </c>
    </row>
    <row r="132" ht="15" customHeight="1" s="30">
      <c r="A132" s="73">
        <f>'U-Net'!A132</f>
        <v/>
      </c>
      <c r="B132" s="45">
        <f>'U-Net'!AH132</f>
        <v/>
      </c>
      <c r="C132" s="45">
        <f>'DeepLabV3+'!AH132</f>
        <v/>
      </c>
      <c r="D132" s="45">
        <f>'YOLO11n-seg'!AH132</f>
        <v/>
      </c>
      <c r="E132" s="46">
        <f>INDEX($B$4:$D$4,MATCH(MAX(B132:D132),B132:D132,0))</f>
        <v/>
      </c>
      <c r="F132" s="45">
        <f>MAX(B132:D132)-MIN(B132:D132)</f>
        <v/>
      </c>
      <c r="G132" s="45">
        <f>'U-Net'!AF132</f>
        <v/>
      </c>
      <c r="H132" s="45">
        <f>'DeepLabV3+'!AF132</f>
        <v/>
      </c>
      <c r="I132" s="45">
        <f>'YOLO11n-seg'!AF132</f>
        <v/>
      </c>
      <c r="J132" s="45">
        <f>'U-Net'!AG132</f>
        <v/>
      </c>
      <c r="K132" s="45">
        <f>'DeepLabV3+'!AG132</f>
        <v/>
      </c>
      <c r="L132" s="45">
        <f>'YOLO11n-seg'!AG132</f>
        <v/>
      </c>
      <c r="M132" s="45">
        <f>'U-Net'!AI132</f>
        <v/>
      </c>
      <c r="N132" s="45">
        <f>'DeepLabV3+'!AI132</f>
        <v/>
      </c>
      <c r="O132" s="45">
        <f>'YOLO11n-seg'!AI132</f>
        <v/>
      </c>
    </row>
    <row r="133" ht="15" customHeight="1" s="30">
      <c r="A133" s="73">
        <f>'U-Net'!A133</f>
        <v/>
      </c>
      <c r="B133" s="45">
        <f>'U-Net'!AH133</f>
        <v/>
      </c>
      <c r="C133" s="45">
        <f>'DeepLabV3+'!AH133</f>
        <v/>
      </c>
      <c r="D133" s="45">
        <f>'YOLO11n-seg'!AH133</f>
        <v/>
      </c>
      <c r="E133" s="46">
        <f>INDEX($B$4:$D$4,MATCH(MAX(B133:D133),B133:D133,0))</f>
        <v/>
      </c>
      <c r="F133" s="45">
        <f>MAX(B133:D133)-MIN(B133:D133)</f>
        <v/>
      </c>
      <c r="G133" s="45">
        <f>'U-Net'!AF133</f>
        <v/>
      </c>
      <c r="H133" s="45">
        <f>'DeepLabV3+'!AF133</f>
        <v/>
      </c>
      <c r="I133" s="45">
        <f>'YOLO11n-seg'!AF133</f>
        <v/>
      </c>
      <c r="J133" s="45">
        <f>'U-Net'!AG133</f>
        <v/>
      </c>
      <c r="K133" s="45">
        <f>'DeepLabV3+'!AG133</f>
        <v/>
      </c>
      <c r="L133" s="45">
        <f>'YOLO11n-seg'!AG133</f>
        <v/>
      </c>
      <c r="M133" s="45">
        <f>'U-Net'!AI133</f>
        <v/>
      </c>
      <c r="N133" s="45">
        <f>'DeepLabV3+'!AI133</f>
        <v/>
      </c>
      <c r="O133" s="45">
        <f>'YOLO11n-seg'!AI133</f>
        <v/>
      </c>
    </row>
    <row r="134" ht="15" customHeight="1" s="30">
      <c r="A134" s="73">
        <f>'U-Net'!A134</f>
        <v/>
      </c>
      <c r="B134" s="45">
        <f>'U-Net'!AH134</f>
        <v/>
      </c>
      <c r="C134" s="45">
        <f>'DeepLabV3+'!AH134</f>
        <v/>
      </c>
      <c r="D134" s="45">
        <f>'YOLO11n-seg'!AH134</f>
        <v/>
      </c>
      <c r="E134" s="46">
        <f>INDEX($B$4:$D$4,MATCH(MAX(B134:D134),B134:D134,0))</f>
        <v/>
      </c>
      <c r="F134" s="45">
        <f>MAX(B134:D134)-MIN(B134:D134)</f>
        <v/>
      </c>
      <c r="G134" s="45">
        <f>'U-Net'!AF134</f>
        <v/>
      </c>
      <c r="H134" s="45">
        <f>'DeepLabV3+'!AF134</f>
        <v/>
      </c>
      <c r="I134" s="45">
        <f>'YOLO11n-seg'!AF134</f>
        <v/>
      </c>
      <c r="J134" s="45">
        <f>'U-Net'!AG134</f>
        <v/>
      </c>
      <c r="K134" s="45">
        <f>'DeepLabV3+'!AG134</f>
        <v/>
      </c>
      <c r="L134" s="45">
        <f>'YOLO11n-seg'!AG134</f>
        <v/>
      </c>
      <c r="M134" s="45">
        <f>'U-Net'!AI134</f>
        <v/>
      </c>
      <c r="N134" s="45">
        <f>'DeepLabV3+'!AI134</f>
        <v/>
      </c>
      <c r="O134" s="45">
        <f>'YOLO11n-seg'!AI134</f>
        <v/>
      </c>
    </row>
    <row r="135" ht="15" customHeight="1" s="30">
      <c r="A135" s="73">
        <f>'U-Net'!A135</f>
        <v/>
      </c>
      <c r="B135" s="45">
        <f>'U-Net'!AH135</f>
        <v/>
      </c>
      <c r="C135" s="45">
        <f>'DeepLabV3+'!AH135</f>
        <v/>
      </c>
      <c r="D135" s="45">
        <f>'YOLO11n-seg'!AH135</f>
        <v/>
      </c>
      <c r="E135" s="46">
        <f>INDEX($B$4:$D$4,MATCH(MAX(B135:D135),B135:D135,0))</f>
        <v/>
      </c>
      <c r="F135" s="45">
        <f>MAX(B135:D135)-MIN(B135:D135)</f>
        <v/>
      </c>
      <c r="G135" s="45">
        <f>'U-Net'!AF135</f>
        <v/>
      </c>
      <c r="H135" s="45">
        <f>'DeepLabV3+'!AF135</f>
        <v/>
      </c>
      <c r="I135" s="45">
        <f>'YOLO11n-seg'!AF135</f>
        <v/>
      </c>
      <c r="J135" s="45">
        <f>'U-Net'!AG135</f>
        <v/>
      </c>
      <c r="K135" s="45">
        <f>'DeepLabV3+'!AG135</f>
        <v/>
      </c>
      <c r="L135" s="45">
        <f>'YOLO11n-seg'!AG135</f>
        <v/>
      </c>
      <c r="M135" s="45">
        <f>'U-Net'!AI135</f>
        <v/>
      </c>
      <c r="N135" s="45">
        <f>'DeepLabV3+'!AI135</f>
        <v/>
      </c>
      <c r="O135" s="45">
        <f>'YOLO11n-seg'!AI135</f>
        <v/>
      </c>
    </row>
    <row r="136" ht="15" customHeight="1" s="30">
      <c r="A136" s="73">
        <f>'U-Net'!A136</f>
        <v/>
      </c>
      <c r="B136" s="45">
        <f>'U-Net'!AH136</f>
        <v/>
      </c>
      <c r="C136" s="45">
        <f>'DeepLabV3+'!AH136</f>
        <v/>
      </c>
      <c r="D136" s="45">
        <f>'YOLO11n-seg'!AH136</f>
        <v/>
      </c>
      <c r="E136" s="46">
        <f>INDEX($B$4:$D$4,MATCH(MAX(B136:D136),B136:D136,0))</f>
        <v/>
      </c>
      <c r="F136" s="45">
        <f>MAX(B136:D136)-MIN(B136:D136)</f>
        <v/>
      </c>
      <c r="G136" s="45">
        <f>'U-Net'!AF136</f>
        <v/>
      </c>
      <c r="H136" s="45">
        <f>'DeepLabV3+'!AF136</f>
        <v/>
      </c>
      <c r="I136" s="45">
        <f>'YOLO11n-seg'!AF136</f>
        <v/>
      </c>
      <c r="J136" s="45">
        <f>'U-Net'!AG136</f>
        <v/>
      </c>
      <c r="K136" s="45">
        <f>'DeepLabV3+'!AG136</f>
        <v/>
      </c>
      <c r="L136" s="45">
        <f>'YOLO11n-seg'!AG136</f>
        <v/>
      </c>
      <c r="M136" s="45">
        <f>'U-Net'!AI136</f>
        <v/>
      </c>
      <c r="N136" s="45">
        <f>'DeepLabV3+'!AI136</f>
        <v/>
      </c>
      <c r="O136" s="45">
        <f>'YOLO11n-seg'!AI136</f>
        <v/>
      </c>
    </row>
    <row r="137" ht="15" customHeight="1" s="30">
      <c r="A137" s="73">
        <f>'U-Net'!A137</f>
        <v/>
      </c>
      <c r="B137" s="45">
        <f>'U-Net'!AH137</f>
        <v/>
      </c>
      <c r="C137" s="45">
        <f>'DeepLabV3+'!AH137</f>
        <v/>
      </c>
      <c r="D137" s="45">
        <f>'YOLO11n-seg'!AH137</f>
        <v/>
      </c>
      <c r="E137" s="46">
        <f>INDEX($B$4:$D$4,MATCH(MAX(B137:D137),B137:D137,0))</f>
        <v/>
      </c>
      <c r="F137" s="45">
        <f>MAX(B137:D137)-MIN(B137:D137)</f>
        <v/>
      </c>
      <c r="G137" s="45">
        <f>'U-Net'!AF137</f>
        <v/>
      </c>
      <c r="H137" s="45">
        <f>'DeepLabV3+'!AF137</f>
        <v/>
      </c>
      <c r="I137" s="45">
        <f>'YOLO11n-seg'!AF137</f>
        <v/>
      </c>
      <c r="J137" s="45">
        <f>'U-Net'!AG137</f>
        <v/>
      </c>
      <c r="K137" s="45">
        <f>'DeepLabV3+'!AG137</f>
        <v/>
      </c>
      <c r="L137" s="45">
        <f>'YOLO11n-seg'!AG137</f>
        <v/>
      </c>
      <c r="M137" s="45">
        <f>'U-Net'!AI137</f>
        <v/>
      </c>
      <c r="N137" s="45">
        <f>'DeepLabV3+'!AI137</f>
        <v/>
      </c>
      <c r="O137" s="45">
        <f>'YOLO11n-seg'!AI137</f>
        <v/>
      </c>
    </row>
    <row r="138" ht="15" customHeight="1" s="30">
      <c r="A138" s="73">
        <f>'U-Net'!A138</f>
        <v/>
      </c>
      <c r="B138" s="45">
        <f>'U-Net'!AH138</f>
        <v/>
      </c>
      <c r="C138" s="45">
        <f>'DeepLabV3+'!AH138</f>
        <v/>
      </c>
      <c r="D138" s="45">
        <f>'YOLO11n-seg'!AH138</f>
        <v/>
      </c>
      <c r="E138" s="46">
        <f>INDEX($B$4:$D$4,MATCH(MAX(B138:D138),B138:D138,0))</f>
        <v/>
      </c>
      <c r="F138" s="45">
        <f>MAX(B138:D138)-MIN(B138:D138)</f>
        <v/>
      </c>
      <c r="G138" s="45">
        <f>'U-Net'!AF138</f>
        <v/>
      </c>
      <c r="H138" s="45">
        <f>'DeepLabV3+'!AF138</f>
        <v/>
      </c>
      <c r="I138" s="45">
        <f>'YOLO11n-seg'!AF138</f>
        <v/>
      </c>
      <c r="J138" s="45">
        <f>'U-Net'!AG138</f>
        <v/>
      </c>
      <c r="K138" s="45">
        <f>'DeepLabV3+'!AG138</f>
        <v/>
      </c>
      <c r="L138" s="45">
        <f>'YOLO11n-seg'!AG138</f>
        <v/>
      </c>
      <c r="M138" s="45">
        <f>'U-Net'!AI138</f>
        <v/>
      </c>
      <c r="N138" s="45">
        <f>'DeepLabV3+'!AI138</f>
        <v/>
      </c>
      <c r="O138" s="45">
        <f>'YOLO11n-seg'!AI138</f>
        <v/>
      </c>
    </row>
    <row r="139" ht="15" customHeight="1" s="30">
      <c r="A139" s="73">
        <f>'U-Net'!A139</f>
        <v/>
      </c>
      <c r="B139" s="45">
        <f>'U-Net'!AH139</f>
        <v/>
      </c>
      <c r="C139" s="45">
        <f>'DeepLabV3+'!AH139</f>
        <v/>
      </c>
      <c r="D139" s="45">
        <f>'YOLO11n-seg'!AH139</f>
        <v/>
      </c>
      <c r="E139" s="46">
        <f>INDEX($B$4:$D$4,MATCH(MAX(B139:D139),B139:D139,0))</f>
        <v/>
      </c>
      <c r="F139" s="45">
        <f>MAX(B139:D139)-MIN(B139:D139)</f>
        <v/>
      </c>
      <c r="G139" s="45">
        <f>'U-Net'!AF139</f>
        <v/>
      </c>
      <c r="H139" s="45">
        <f>'DeepLabV3+'!AF139</f>
        <v/>
      </c>
      <c r="I139" s="45">
        <f>'YOLO11n-seg'!AF139</f>
        <v/>
      </c>
      <c r="J139" s="45">
        <f>'U-Net'!AG139</f>
        <v/>
      </c>
      <c r="K139" s="45">
        <f>'DeepLabV3+'!AG139</f>
        <v/>
      </c>
      <c r="L139" s="45">
        <f>'YOLO11n-seg'!AG139</f>
        <v/>
      </c>
      <c r="M139" s="45">
        <f>'U-Net'!AI139</f>
        <v/>
      </c>
      <c r="N139" s="45">
        <f>'DeepLabV3+'!AI139</f>
        <v/>
      </c>
      <c r="O139" s="45">
        <f>'YOLO11n-seg'!AI139</f>
        <v/>
      </c>
    </row>
    <row r="140" ht="15" customHeight="1" s="30">
      <c r="A140" s="73">
        <f>'U-Net'!A140</f>
        <v/>
      </c>
      <c r="B140" s="45">
        <f>'U-Net'!AH140</f>
        <v/>
      </c>
      <c r="C140" s="45">
        <f>'DeepLabV3+'!AH140</f>
        <v/>
      </c>
      <c r="D140" s="45">
        <f>'YOLO11n-seg'!AH140</f>
        <v/>
      </c>
      <c r="E140" s="46">
        <f>INDEX($B$4:$D$4,MATCH(MAX(B140:D140),B140:D140,0))</f>
        <v/>
      </c>
      <c r="F140" s="45">
        <f>MAX(B140:D140)-MIN(B140:D140)</f>
        <v/>
      </c>
      <c r="G140" s="45">
        <f>'U-Net'!AF140</f>
        <v/>
      </c>
      <c r="H140" s="45">
        <f>'DeepLabV3+'!AF140</f>
        <v/>
      </c>
      <c r="I140" s="45">
        <f>'YOLO11n-seg'!AF140</f>
        <v/>
      </c>
      <c r="J140" s="45">
        <f>'U-Net'!AG140</f>
        <v/>
      </c>
      <c r="K140" s="45">
        <f>'DeepLabV3+'!AG140</f>
        <v/>
      </c>
      <c r="L140" s="45">
        <f>'YOLO11n-seg'!AG140</f>
        <v/>
      </c>
      <c r="M140" s="45">
        <f>'U-Net'!AI140</f>
        <v/>
      </c>
      <c r="N140" s="45">
        <f>'DeepLabV3+'!AI140</f>
        <v/>
      </c>
      <c r="O140" s="45">
        <f>'YOLO11n-seg'!AI140</f>
        <v/>
      </c>
    </row>
    <row r="141" ht="15" customHeight="1" s="30">
      <c r="A141" s="73">
        <f>'U-Net'!A141</f>
        <v/>
      </c>
      <c r="B141" s="45">
        <f>'U-Net'!AH141</f>
        <v/>
      </c>
      <c r="C141" s="45">
        <f>'DeepLabV3+'!AH141</f>
        <v/>
      </c>
      <c r="D141" s="45">
        <f>'YOLO11n-seg'!AH141</f>
        <v/>
      </c>
      <c r="E141" s="46">
        <f>INDEX($B$4:$D$4,MATCH(MAX(B141:D141),B141:D141,0))</f>
        <v/>
      </c>
      <c r="F141" s="45">
        <f>MAX(B141:D141)-MIN(B141:D141)</f>
        <v/>
      </c>
      <c r="G141" s="45">
        <f>'U-Net'!AF141</f>
        <v/>
      </c>
      <c r="H141" s="45">
        <f>'DeepLabV3+'!AF141</f>
        <v/>
      </c>
      <c r="I141" s="45">
        <f>'YOLO11n-seg'!AF141</f>
        <v/>
      </c>
      <c r="J141" s="45">
        <f>'U-Net'!AG141</f>
        <v/>
      </c>
      <c r="K141" s="45">
        <f>'DeepLabV3+'!AG141</f>
        <v/>
      </c>
      <c r="L141" s="45">
        <f>'YOLO11n-seg'!AG141</f>
        <v/>
      </c>
      <c r="M141" s="45">
        <f>'U-Net'!AI141</f>
        <v/>
      </c>
      <c r="N141" s="45">
        <f>'DeepLabV3+'!AI141</f>
        <v/>
      </c>
      <c r="O141" s="45">
        <f>'YOLO11n-seg'!AI141</f>
        <v/>
      </c>
    </row>
    <row r="142" ht="15" customHeight="1" s="30">
      <c r="A142" s="73">
        <f>'U-Net'!A142</f>
        <v/>
      </c>
      <c r="B142" s="45">
        <f>'U-Net'!AH142</f>
        <v/>
      </c>
      <c r="C142" s="45">
        <f>'DeepLabV3+'!AH142</f>
        <v/>
      </c>
      <c r="D142" s="45">
        <f>'YOLO11n-seg'!AH142</f>
        <v/>
      </c>
      <c r="E142" s="46">
        <f>INDEX($B$4:$D$4,MATCH(MAX(B142:D142),B142:D142,0))</f>
        <v/>
      </c>
      <c r="F142" s="45">
        <f>MAX(B142:D142)-MIN(B142:D142)</f>
        <v/>
      </c>
      <c r="G142" s="45">
        <f>'U-Net'!AF142</f>
        <v/>
      </c>
      <c r="H142" s="45">
        <f>'DeepLabV3+'!AF142</f>
        <v/>
      </c>
      <c r="I142" s="45">
        <f>'YOLO11n-seg'!AF142</f>
        <v/>
      </c>
      <c r="J142" s="45">
        <f>'U-Net'!AG142</f>
        <v/>
      </c>
      <c r="K142" s="45">
        <f>'DeepLabV3+'!AG142</f>
        <v/>
      </c>
      <c r="L142" s="45">
        <f>'YOLO11n-seg'!AG142</f>
        <v/>
      </c>
      <c r="M142" s="45">
        <f>'U-Net'!AI142</f>
        <v/>
      </c>
      <c r="N142" s="45">
        <f>'DeepLabV3+'!AI142</f>
        <v/>
      </c>
      <c r="O142" s="45">
        <f>'YOLO11n-seg'!AI142</f>
        <v/>
      </c>
    </row>
    <row r="143" ht="15" customHeight="1" s="30">
      <c r="A143" s="73">
        <f>'U-Net'!A143</f>
        <v/>
      </c>
      <c r="B143" s="45">
        <f>'U-Net'!AH143</f>
        <v/>
      </c>
      <c r="C143" s="45">
        <f>'DeepLabV3+'!AH143</f>
        <v/>
      </c>
      <c r="D143" s="45">
        <f>'YOLO11n-seg'!AH143</f>
        <v/>
      </c>
      <c r="E143" s="46">
        <f>INDEX($B$4:$D$4,MATCH(MAX(B143:D143),B143:D143,0))</f>
        <v/>
      </c>
      <c r="F143" s="45">
        <f>MAX(B143:D143)-MIN(B143:D143)</f>
        <v/>
      </c>
      <c r="G143" s="45">
        <f>'U-Net'!AF143</f>
        <v/>
      </c>
      <c r="H143" s="45">
        <f>'DeepLabV3+'!AF143</f>
        <v/>
      </c>
      <c r="I143" s="45">
        <f>'YOLO11n-seg'!AF143</f>
        <v/>
      </c>
      <c r="J143" s="45">
        <f>'U-Net'!AG143</f>
        <v/>
      </c>
      <c r="K143" s="45">
        <f>'DeepLabV3+'!AG143</f>
        <v/>
      </c>
      <c r="L143" s="45">
        <f>'YOLO11n-seg'!AG143</f>
        <v/>
      </c>
      <c r="M143" s="45">
        <f>'U-Net'!AI143</f>
        <v/>
      </c>
      <c r="N143" s="45">
        <f>'DeepLabV3+'!AI143</f>
        <v/>
      </c>
      <c r="O143" s="45">
        <f>'YOLO11n-seg'!AI143</f>
        <v/>
      </c>
    </row>
    <row r="144" ht="15" customHeight="1" s="30">
      <c r="A144" s="73">
        <f>'U-Net'!A144</f>
        <v/>
      </c>
      <c r="B144" s="45">
        <f>'U-Net'!AH144</f>
        <v/>
      </c>
      <c r="C144" s="45">
        <f>'DeepLabV3+'!AH144</f>
        <v/>
      </c>
      <c r="D144" s="45">
        <f>'YOLO11n-seg'!AH144</f>
        <v/>
      </c>
      <c r="E144" s="46">
        <f>INDEX($B$4:$D$4,MATCH(MAX(B144:D144),B144:D144,0))</f>
        <v/>
      </c>
      <c r="F144" s="45">
        <f>MAX(B144:D144)-MIN(B144:D144)</f>
        <v/>
      </c>
      <c r="G144" s="45">
        <f>'U-Net'!AF144</f>
        <v/>
      </c>
      <c r="H144" s="45">
        <f>'DeepLabV3+'!AF144</f>
        <v/>
      </c>
      <c r="I144" s="45">
        <f>'YOLO11n-seg'!AF144</f>
        <v/>
      </c>
      <c r="J144" s="45">
        <f>'U-Net'!AG144</f>
        <v/>
      </c>
      <c r="K144" s="45">
        <f>'DeepLabV3+'!AG144</f>
        <v/>
      </c>
      <c r="L144" s="45">
        <f>'YOLO11n-seg'!AG144</f>
        <v/>
      </c>
      <c r="M144" s="45">
        <f>'U-Net'!AI144</f>
        <v/>
      </c>
      <c r="N144" s="45">
        <f>'DeepLabV3+'!AI144</f>
        <v/>
      </c>
      <c r="O144" s="45">
        <f>'YOLO11n-seg'!AI144</f>
        <v/>
      </c>
    </row>
    <row r="145" ht="15" customHeight="1" s="30">
      <c r="A145" s="73">
        <f>'U-Net'!A145</f>
        <v/>
      </c>
      <c r="B145" s="45">
        <f>'U-Net'!AH145</f>
        <v/>
      </c>
      <c r="C145" s="45">
        <f>'DeepLabV3+'!AH145</f>
        <v/>
      </c>
      <c r="D145" s="45">
        <f>'YOLO11n-seg'!AH145</f>
        <v/>
      </c>
      <c r="E145" s="46">
        <f>INDEX($B$4:$D$4,MATCH(MAX(B145:D145),B145:D145,0))</f>
        <v/>
      </c>
      <c r="F145" s="45">
        <f>MAX(B145:D145)-MIN(B145:D145)</f>
        <v/>
      </c>
      <c r="G145" s="45">
        <f>'U-Net'!AF145</f>
        <v/>
      </c>
      <c r="H145" s="45">
        <f>'DeepLabV3+'!AF145</f>
        <v/>
      </c>
      <c r="I145" s="45">
        <f>'YOLO11n-seg'!AF145</f>
        <v/>
      </c>
      <c r="J145" s="45">
        <f>'U-Net'!AG145</f>
        <v/>
      </c>
      <c r="K145" s="45">
        <f>'DeepLabV3+'!AG145</f>
        <v/>
      </c>
      <c r="L145" s="45">
        <f>'YOLO11n-seg'!AG145</f>
        <v/>
      </c>
      <c r="M145" s="45">
        <f>'U-Net'!AI145</f>
        <v/>
      </c>
      <c r="N145" s="45">
        <f>'DeepLabV3+'!AI145</f>
        <v/>
      </c>
      <c r="O145" s="45">
        <f>'YOLO11n-seg'!AI145</f>
        <v/>
      </c>
    </row>
    <row r="146" ht="15" customHeight="1" s="30">
      <c r="A146" s="73">
        <f>'U-Net'!A146</f>
        <v/>
      </c>
      <c r="B146" s="45">
        <f>'U-Net'!AH146</f>
        <v/>
      </c>
      <c r="C146" s="45">
        <f>'DeepLabV3+'!AH146</f>
        <v/>
      </c>
      <c r="D146" s="45">
        <f>'YOLO11n-seg'!AH146</f>
        <v/>
      </c>
      <c r="E146" s="46">
        <f>INDEX($B$4:$D$4,MATCH(MAX(B146:D146),B146:D146,0))</f>
        <v/>
      </c>
      <c r="F146" s="45">
        <f>MAX(B146:D146)-MIN(B146:D146)</f>
        <v/>
      </c>
      <c r="G146" s="45">
        <f>'U-Net'!AF146</f>
        <v/>
      </c>
      <c r="H146" s="45">
        <f>'DeepLabV3+'!AF146</f>
        <v/>
      </c>
      <c r="I146" s="45">
        <f>'YOLO11n-seg'!AF146</f>
        <v/>
      </c>
      <c r="J146" s="45">
        <f>'U-Net'!AG146</f>
        <v/>
      </c>
      <c r="K146" s="45">
        <f>'DeepLabV3+'!AG146</f>
        <v/>
      </c>
      <c r="L146" s="45">
        <f>'YOLO11n-seg'!AG146</f>
        <v/>
      </c>
      <c r="M146" s="45">
        <f>'U-Net'!AI146</f>
        <v/>
      </c>
      <c r="N146" s="45">
        <f>'DeepLabV3+'!AI146</f>
        <v/>
      </c>
      <c r="O146" s="45">
        <f>'YOLO11n-seg'!AI146</f>
        <v/>
      </c>
    </row>
    <row r="147" ht="15" customHeight="1" s="30">
      <c r="A147" s="73">
        <f>'U-Net'!A147</f>
        <v/>
      </c>
      <c r="B147" s="45">
        <f>'U-Net'!AH147</f>
        <v/>
      </c>
      <c r="C147" s="45">
        <f>'DeepLabV3+'!AH147</f>
        <v/>
      </c>
      <c r="D147" s="45">
        <f>'YOLO11n-seg'!AH147</f>
        <v/>
      </c>
      <c r="E147" s="46">
        <f>INDEX($B$4:$D$4,MATCH(MAX(B147:D147),B147:D147,0))</f>
        <v/>
      </c>
      <c r="F147" s="45">
        <f>MAX(B147:D147)-MIN(B147:D147)</f>
        <v/>
      </c>
      <c r="G147" s="45">
        <f>'U-Net'!AF147</f>
        <v/>
      </c>
      <c r="H147" s="45">
        <f>'DeepLabV3+'!AF147</f>
        <v/>
      </c>
      <c r="I147" s="45">
        <f>'YOLO11n-seg'!AF147</f>
        <v/>
      </c>
      <c r="J147" s="45">
        <f>'U-Net'!AG147</f>
        <v/>
      </c>
      <c r="K147" s="45">
        <f>'DeepLabV3+'!AG147</f>
        <v/>
      </c>
      <c r="L147" s="45">
        <f>'YOLO11n-seg'!AG147</f>
        <v/>
      </c>
      <c r="M147" s="45">
        <f>'U-Net'!AI147</f>
        <v/>
      </c>
      <c r="N147" s="45">
        <f>'DeepLabV3+'!AI147</f>
        <v/>
      </c>
      <c r="O147" s="45">
        <f>'YOLO11n-seg'!AI147</f>
        <v/>
      </c>
    </row>
    <row r="148" ht="15" customHeight="1" s="30">
      <c r="A148" s="73">
        <f>'U-Net'!A148</f>
        <v/>
      </c>
      <c r="B148" s="45">
        <f>'U-Net'!AH148</f>
        <v/>
      </c>
      <c r="C148" s="45">
        <f>'DeepLabV3+'!AH148</f>
        <v/>
      </c>
      <c r="D148" s="45">
        <f>'YOLO11n-seg'!AH148</f>
        <v/>
      </c>
      <c r="E148" s="46">
        <f>INDEX($B$4:$D$4,MATCH(MAX(B148:D148),B148:D148,0))</f>
        <v/>
      </c>
      <c r="F148" s="45">
        <f>MAX(B148:D148)-MIN(B148:D148)</f>
        <v/>
      </c>
      <c r="G148" s="45">
        <f>'U-Net'!AF148</f>
        <v/>
      </c>
      <c r="H148" s="45">
        <f>'DeepLabV3+'!AF148</f>
        <v/>
      </c>
      <c r="I148" s="45">
        <f>'YOLO11n-seg'!AF148</f>
        <v/>
      </c>
      <c r="J148" s="45">
        <f>'U-Net'!AG148</f>
        <v/>
      </c>
      <c r="K148" s="45">
        <f>'DeepLabV3+'!AG148</f>
        <v/>
      </c>
      <c r="L148" s="45">
        <f>'YOLO11n-seg'!AG148</f>
        <v/>
      </c>
      <c r="M148" s="45">
        <f>'U-Net'!AI148</f>
        <v/>
      </c>
      <c r="N148" s="45">
        <f>'DeepLabV3+'!AI148</f>
        <v/>
      </c>
      <c r="O148" s="45">
        <f>'YOLO11n-seg'!AI148</f>
        <v/>
      </c>
    </row>
    <row r="149" ht="15" customHeight="1" s="30">
      <c r="A149" s="73">
        <f>'U-Net'!A149</f>
        <v/>
      </c>
      <c r="B149" s="45">
        <f>'U-Net'!AH149</f>
        <v/>
      </c>
      <c r="C149" s="45">
        <f>'DeepLabV3+'!AH149</f>
        <v/>
      </c>
      <c r="D149" s="45">
        <f>'YOLO11n-seg'!AH149</f>
        <v/>
      </c>
      <c r="E149" s="46">
        <f>INDEX($B$4:$D$4,MATCH(MAX(B149:D149),B149:D149,0))</f>
        <v/>
      </c>
      <c r="F149" s="45">
        <f>MAX(B149:D149)-MIN(B149:D149)</f>
        <v/>
      </c>
      <c r="G149" s="45">
        <f>'U-Net'!AF149</f>
        <v/>
      </c>
      <c r="H149" s="45">
        <f>'DeepLabV3+'!AF149</f>
        <v/>
      </c>
      <c r="I149" s="45">
        <f>'YOLO11n-seg'!AF149</f>
        <v/>
      </c>
      <c r="J149" s="45">
        <f>'U-Net'!AG149</f>
        <v/>
      </c>
      <c r="K149" s="45">
        <f>'DeepLabV3+'!AG149</f>
        <v/>
      </c>
      <c r="L149" s="45">
        <f>'YOLO11n-seg'!AG149</f>
        <v/>
      </c>
      <c r="M149" s="45">
        <f>'U-Net'!AI149</f>
        <v/>
      </c>
      <c r="N149" s="45">
        <f>'DeepLabV3+'!AI149</f>
        <v/>
      </c>
      <c r="O149" s="45">
        <f>'YOLO11n-seg'!AI149</f>
        <v/>
      </c>
    </row>
    <row r="150" ht="15" customHeight="1" s="30">
      <c r="A150" s="73">
        <f>'U-Net'!A150</f>
        <v/>
      </c>
      <c r="B150" s="45">
        <f>'U-Net'!AH150</f>
        <v/>
      </c>
      <c r="C150" s="45">
        <f>'DeepLabV3+'!AH150</f>
        <v/>
      </c>
      <c r="D150" s="45">
        <f>'YOLO11n-seg'!AH150</f>
        <v/>
      </c>
      <c r="E150" s="46">
        <f>INDEX($B$4:$D$4,MATCH(MAX(B150:D150),B150:D150,0))</f>
        <v/>
      </c>
      <c r="F150" s="45">
        <f>MAX(B150:D150)-MIN(B150:D150)</f>
        <v/>
      </c>
      <c r="G150" s="45">
        <f>'U-Net'!AF150</f>
        <v/>
      </c>
      <c r="H150" s="45">
        <f>'DeepLabV3+'!AF150</f>
        <v/>
      </c>
      <c r="I150" s="45">
        <f>'YOLO11n-seg'!AF150</f>
        <v/>
      </c>
      <c r="J150" s="45">
        <f>'U-Net'!AG150</f>
        <v/>
      </c>
      <c r="K150" s="45">
        <f>'DeepLabV3+'!AG150</f>
        <v/>
      </c>
      <c r="L150" s="45">
        <f>'YOLO11n-seg'!AG150</f>
        <v/>
      </c>
      <c r="M150" s="45">
        <f>'U-Net'!AI150</f>
        <v/>
      </c>
      <c r="N150" s="45">
        <f>'DeepLabV3+'!AI150</f>
        <v/>
      </c>
      <c r="O150" s="45">
        <f>'YOLO11n-seg'!AI150</f>
        <v/>
      </c>
    </row>
    <row r="151" ht="15" customHeight="1" s="30">
      <c r="A151" s="73">
        <f>'U-Net'!A151</f>
        <v/>
      </c>
      <c r="B151" s="45">
        <f>'U-Net'!AH151</f>
        <v/>
      </c>
      <c r="C151" s="45">
        <f>'DeepLabV3+'!AH151</f>
        <v/>
      </c>
      <c r="D151" s="45">
        <f>'YOLO11n-seg'!AH151</f>
        <v/>
      </c>
      <c r="E151" s="46">
        <f>INDEX($B$4:$D$4,MATCH(MAX(B151:D151),B151:D151,0))</f>
        <v/>
      </c>
      <c r="F151" s="45">
        <f>MAX(B151:D151)-MIN(B151:D151)</f>
        <v/>
      </c>
      <c r="G151" s="45">
        <f>'U-Net'!AF151</f>
        <v/>
      </c>
      <c r="H151" s="45">
        <f>'DeepLabV3+'!AF151</f>
        <v/>
      </c>
      <c r="I151" s="45">
        <f>'YOLO11n-seg'!AF151</f>
        <v/>
      </c>
      <c r="J151" s="45">
        <f>'U-Net'!AG151</f>
        <v/>
      </c>
      <c r="K151" s="45">
        <f>'DeepLabV3+'!AG151</f>
        <v/>
      </c>
      <c r="L151" s="45">
        <f>'YOLO11n-seg'!AG151</f>
        <v/>
      </c>
      <c r="M151" s="45">
        <f>'U-Net'!AI151</f>
        <v/>
      </c>
      <c r="N151" s="45">
        <f>'DeepLabV3+'!AI151</f>
        <v/>
      </c>
      <c r="O151" s="45">
        <f>'YOLO11n-seg'!AI151</f>
        <v/>
      </c>
    </row>
    <row r="152" ht="15" customHeight="1" s="30">
      <c r="A152" s="73">
        <f>'U-Net'!A152</f>
        <v/>
      </c>
      <c r="B152" s="45">
        <f>'U-Net'!AH152</f>
        <v/>
      </c>
      <c r="C152" s="45">
        <f>'DeepLabV3+'!AH152</f>
        <v/>
      </c>
      <c r="D152" s="45">
        <f>'YOLO11n-seg'!AH152</f>
        <v/>
      </c>
      <c r="E152" s="46">
        <f>INDEX($B$4:$D$4,MATCH(MAX(B152:D152),B152:D152,0))</f>
        <v/>
      </c>
      <c r="F152" s="45">
        <f>MAX(B152:D152)-MIN(B152:D152)</f>
        <v/>
      </c>
      <c r="G152" s="45">
        <f>'U-Net'!AF152</f>
        <v/>
      </c>
      <c r="H152" s="45">
        <f>'DeepLabV3+'!AF152</f>
        <v/>
      </c>
      <c r="I152" s="45">
        <f>'YOLO11n-seg'!AF152</f>
        <v/>
      </c>
      <c r="J152" s="45">
        <f>'U-Net'!AG152</f>
        <v/>
      </c>
      <c r="K152" s="45">
        <f>'DeepLabV3+'!AG152</f>
        <v/>
      </c>
      <c r="L152" s="45">
        <f>'YOLO11n-seg'!AG152</f>
        <v/>
      </c>
      <c r="M152" s="45">
        <f>'U-Net'!AI152</f>
        <v/>
      </c>
      <c r="N152" s="45">
        <f>'DeepLabV3+'!AI152</f>
        <v/>
      </c>
      <c r="O152" s="45">
        <f>'YOLO11n-seg'!AI152</f>
        <v/>
      </c>
    </row>
    <row r="153" ht="15" customHeight="1" s="30">
      <c r="A153" s="73">
        <f>'U-Net'!A153</f>
        <v/>
      </c>
      <c r="B153" s="45">
        <f>'U-Net'!AH153</f>
        <v/>
      </c>
      <c r="C153" s="45">
        <f>'DeepLabV3+'!AH153</f>
        <v/>
      </c>
      <c r="D153" s="45">
        <f>'YOLO11n-seg'!AH153</f>
        <v/>
      </c>
      <c r="E153" s="46">
        <f>INDEX($B$4:$D$4,MATCH(MAX(B153:D153),B153:D153,0))</f>
        <v/>
      </c>
      <c r="F153" s="45">
        <f>MAX(B153:D153)-MIN(B153:D153)</f>
        <v/>
      </c>
      <c r="G153" s="45">
        <f>'U-Net'!AF153</f>
        <v/>
      </c>
      <c r="H153" s="45">
        <f>'DeepLabV3+'!AF153</f>
        <v/>
      </c>
      <c r="I153" s="45">
        <f>'YOLO11n-seg'!AF153</f>
        <v/>
      </c>
      <c r="J153" s="45">
        <f>'U-Net'!AG153</f>
        <v/>
      </c>
      <c r="K153" s="45">
        <f>'DeepLabV3+'!AG153</f>
        <v/>
      </c>
      <c r="L153" s="45">
        <f>'YOLO11n-seg'!AG153</f>
        <v/>
      </c>
      <c r="M153" s="45">
        <f>'U-Net'!AI153</f>
        <v/>
      </c>
      <c r="N153" s="45">
        <f>'DeepLabV3+'!AI153</f>
        <v/>
      </c>
      <c r="O153" s="45">
        <f>'YOLO11n-seg'!AI153</f>
        <v/>
      </c>
    </row>
    <row r="154" ht="15" customHeight="1" s="30">
      <c r="A154" s="73">
        <f>'U-Net'!A154</f>
        <v/>
      </c>
      <c r="B154" s="45">
        <f>'U-Net'!AH154</f>
        <v/>
      </c>
      <c r="C154" s="45">
        <f>'DeepLabV3+'!AH154</f>
        <v/>
      </c>
      <c r="D154" s="45">
        <f>'YOLO11n-seg'!AH154</f>
        <v/>
      </c>
      <c r="E154" s="46">
        <f>INDEX($B$4:$D$4,MATCH(MAX(B154:D154),B154:D154,0))</f>
        <v/>
      </c>
      <c r="F154" s="45">
        <f>MAX(B154:D154)-MIN(B154:D154)</f>
        <v/>
      </c>
      <c r="G154" s="45">
        <f>'U-Net'!AF154</f>
        <v/>
      </c>
      <c r="H154" s="45">
        <f>'DeepLabV3+'!AF154</f>
        <v/>
      </c>
      <c r="I154" s="45">
        <f>'YOLO11n-seg'!AF154</f>
        <v/>
      </c>
      <c r="J154" s="45">
        <f>'U-Net'!AG154</f>
        <v/>
      </c>
      <c r="K154" s="45">
        <f>'DeepLabV3+'!AG154</f>
        <v/>
      </c>
      <c r="L154" s="45">
        <f>'YOLO11n-seg'!AG154</f>
        <v/>
      </c>
      <c r="M154" s="45">
        <f>'U-Net'!AI154</f>
        <v/>
      </c>
      <c r="N154" s="45">
        <f>'DeepLabV3+'!AI154</f>
        <v/>
      </c>
      <c r="O154" s="45">
        <f>'YOLO11n-seg'!AI154</f>
        <v/>
      </c>
    </row>
    <row r="155" ht="15" customHeight="1" s="30">
      <c r="A155" s="73">
        <f>'U-Net'!A155</f>
        <v/>
      </c>
      <c r="B155" s="45">
        <f>'U-Net'!AH155</f>
        <v/>
      </c>
      <c r="C155" s="45">
        <f>'DeepLabV3+'!AH155</f>
        <v/>
      </c>
      <c r="D155" s="45">
        <f>'YOLO11n-seg'!AH155</f>
        <v/>
      </c>
      <c r="E155" s="46">
        <f>INDEX($B$4:$D$4,MATCH(MAX(B155:D155),B155:D155,0))</f>
        <v/>
      </c>
      <c r="F155" s="45">
        <f>MAX(B155:D155)-MIN(B155:D155)</f>
        <v/>
      </c>
      <c r="G155" s="45">
        <f>'U-Net'!AF155</f>
        <v/>
      </c>
      <c r="H155" s="45">
        <f>'DeepLabV3+'!AF155</f>
        <v/>
      </c>
      <c r="I155" s="45">
        <f>'YOLO11n-seg'!AF155</f>
        <v/>
      </c>
      <c r="J155" s="45">
        <f>'U-Net'!AG155</f>
        <v/>
      </c>
      <c r="K155" s="45">
        <f>'DeepLabV3+'!AG155</f>
        <v/>
      </c>
      <c r="L155" s="45">
        <f>'YOLO11n-seg'!AG155</f>
        <v/>
      </c>
      <c r="M155" s="45">
        <f>'U-Net'!AI155</f>
        <v/>
      </c>
      <c r="N155" s="45">
        <f>'DeepLabV3+'!AI155</f>
        <v/>
      </c>
      <c r="O155" s="45">
        <f>'YOLO11n-seg'!AI155</f>
        <v/>
      </c>
    </row>
    <row r="156" ht="15" customHeight="1" s="30">
      <c r="A156" s="73">
        <f>'U-Net'!A156</f>
        <v/>
      </c>
      <c r="B156" s="45">
        <f>'U-Net'!AH156</f>
        <v/>
      </c>
      <c r="C156" s="45">
        <f>'DeepLabV3+'!AH156</f>
        <v/>
      </c>
      <c r="D156" s="45">
        <f>'YOLO11n-seg'!AH156</f>
        <v/>
      </c>
      <c r="E156" s="46">
        <f>INDEX($B$4:$D$4,MATCH(MAX(B156:D156),B156:D156,0))</f>
        <v/>
      </c>
      <c r="F156" s="45">
        <f>MAX(B156:D156)-MIN(B156:D156)</f>
        <v/>
      </c>
      <c r="G156" s="45">
        <f>'U-Net'!AF156</f>
        <v/>
      </c>
      <c r="H156" s="45">
        <f>'DeepLabV3+'!AF156</f>
        <v/>
      </c>
      <c r="I156" s="45">
        <f>'YOLO11n-seg'!AF156</f>
        <v/>
      </c>
      <c r="J156" s="45">
        <f>'U-Net'!AG156</f>
        <v/>
      </c>
      <c r="K156" s="45">
        <f>'DeepLabV3+'!AG156</f>
        <v/>
      </c>
      <c r="L156" s="45">
        <f>'YOLO11n-seg'!AG156</f>
        <v/>
      </c>
      <c r="M156" s="45">
        <f>'U-Net'!AI156</f>
        <v/>
      </c>
      <c r="N156" s="45">
        <f>'DeepLabV3+'!AI156</f>
        <v/>
      </c>
      <c r="O156" s="45">
        <f>'YOLO11n-seg'!AI156</f>
        <v/>
      </c>
    </row>
    <row r="157" ht="15" customHeight="1" s="30">
      <c r="A157" s="73">
        <f>'U-Net'!A157</f>
        <v/>
      </c>
      <c r="B157" s="45">
        <f>'U-Net'!AH157</f>
        <v/>
      </c>
      <c r="C157" s="45">
        <f>'DeepLabV3+'!AH157</f>
        <v/>
      </c>
      <c r="D157" s="45">
        <f>'YOLO11n-seg'!AH157</f>
        <v/>
      </c>
      <c r="E157" s="46">
        <f>INDEX($B$4:$D$4,MATCH(MAX(B157:D157),B157:D157,0))</f>
        <v/>
      </c>
      <c r="F157" s="45">
        <f>MAX(B157:D157)-MIN(B157:D157)</f>
        <v/>
      </c>
      <c r="G157" s="45">
        <f>'U-Net'!AF157</f>
        <v/>
      </c>
      <c r="H157" s="45">
        <f>'DeepLabV3+'!AF157</f>
        <v/>
      </c>
      <c r="I157" s="45">
        <f>'YOLO11n-seg'!AF157</f>
        <v/>
      </c>
      <c r="J157" s="45">
        <f>'U-Net'!AG157</f>
        <v/>
      </c>
      <c r="K157" s="45">
        <f>'DeepLabV3+'!AG157</f>
        <v/>
      </c>
      <c r="L157" s="45">
        <f>'YOLO11n-seg'!AG157</f>
        <v/>
      </c>
      <c r="M157" s="45">
        <f>'U-Net'!AI157</f>
        <v/>
      </c>
      <c r="N157" s="45">
        <f>'DeepLabV3+'!AI157</f>
        <v/>
      </c>
      <c r="O157" s="45">
        <f>'YOLO11n-seg'!AI157</f>
        <v/>
      </c>
    </row>
    <row r="158" ht="15" customHeight="1" s="30">
      <c r="A158" s="73">
        <f>'U-Net'!A158</f>
        <v/>
      </c>
      <c r="B158" s="45">
        <f>'U-Net'!AH158</f>
        <v/>
      </c>
      <c r="C158" s="45">
        <f>'DeepLabV3+'!AH158</f>
        <v/>
      </c>
      <c r="D158" s="45">
        <f>'YOLO11n-seg'!AH158</f>
        <v/>
      </c>
      <c r="E158" s="46">
        <f>INDEX($B$4:$D$4,MATCH(MAX(B158:D158),B158:D158,0))</f>
        <v/>
      </c>
      <c r="F158" s="45">
        <f>MAX(B158:D158)-MIN(B158:D158)</f>
        <v/>
      </c>
      <c r="G158" s="45">
        <f>'U-Net'!AF158</f>
        <v/>
      </c>
      <c r="H158" s="45">
        <f>'DeepLabV3+'!AF158</f>
        <v/>
      </c>
      <c r="I158" s="45">
        <f>'YOLO11n-seg'!AF158</f>
        <v/>
      </c>
      <c r="J158" s="45">
        <f>'U-Net'!AG158</f>
        <v/>
      </c>
      <c r="K158" s="45">
        <f>'DeepLabV3+'!AG158</f>
        <v/>
      </c>
      <c r="L158" s="45">
        <f>'YOLO11n-seg'!AG158</f>
        <v/>
      </c>
      <c r="M158" s="45">
        <f>'U-Net'!AI158</f>
        <v/>
      </c>
      <c r="N158" s="45">
        <f>'DeepLabV3+'!AI158</f>
        <v/>
      </c>
      <c r="O158" s="45">
        <f>'YOLO11n-seg'!AI158</f>
        <v/>
      </c>
    </row>
    <row r="159" ht="15" customHeight="1" s="30">
      <c r="A159" s="73">
        <f>'U-Net'!A159</f>
        <v/>
      </c>
      <c r="B159" s="45">
        <f>'U-Net'!AH159</f>
        <v/>
      </c>
      <c r="C159" s="45">
        <f>'DeepLabV3+'!AH159</f>
        <v/>
      </c>
      <c r="D159" s="45">
        <f>'YOLO11n-seg'!AH159</f>
        <v/>
      </c>
      <c r="E159" s="46">
        <f>INDEX($B$4:$D$4,MATCH(MAX(B159:D159),B159:D159,0))</f>
        <v/>
      </c>
      <c r="F159" s="45">
        <f>MAX(B159:D159)-MIN(B159:D159)</f>
        <v/>
      </c>
      <c r="G159" s="45">
        <f>'U-Net'!AF159</f>
        <v/>
      </c>
      <c r="H159" s="45">
        <f>'DeepLabV3+'!AF159</f>
        <v/>
      </c>
      <c r="I159" s="45">
        <f>'YOLO11n-seg'!AF159</f>
        <v/>
      </c>
      <c r="J159" s="45">
        <f>'U-Net'!AG159</f>
        <v/>
      </c>
      <c r="K159" s="45">
        <f>'DeepLabV3+'!AG159</f>
        <v/>
      </c>
      <c r="L159" s="45">
        <f>'YOLO11n-seg'!AG159</f>
        <v/>
      </c>
      <c r="M159" s="45">
        <f>'U-Net'!AI159</f>
        <v/>
      </c>
      <c r="N159" s="45">
        <f>'DeepLabV3+'!AI159</f>
        <v/>
      </c>
      <c r="O159" s="45">
        <f>'YOLO11n-seg'!AI159</f>
        <v/>
      </c>
    </row>
    <row r="160" ht="15" customHeight="1" s="30">
      <c r="A160" s="73">
        <f>'U-Net'!A160</f>
        <v/>
      </c>
      <c r="B160" s="45">
        <f>'U-Net'!AH160</f>
        <v/>
      </c>
      <c r="C160" s="45">
        <f>'DeepLabV3+'!AH160</f>
        <v/>
      </c>
      <c r="D160" s="45">
        <f>'YOLO11n-seg'!AH160</f>
        <v/>
      </c>
      <c r="E160" s="46">
        <f>INDEX($B$4:$D$4,MATCH(MAX(B160:D160),B160:D160,0))</f>
        <v/>
      </c>
      <c r="F160" s="45">
        <f>MAX(B160:D160)-MIN(B160:D160)</f>
        <v/>
      </c>
      <c r="G160" s="45">
        <f>'U-Net'!AF160</f>
        <v/>
      </c>
      <c r="H160" s="45">
        <f>'DeepLabV3+'!AF160</f>
        <v/>
      </c>
      <c r="I160" s="45">
        <f>'YOLO11n-seg'!AF160</f>
        <v/>
      </c>
      <c r="J160" s="45">
        <f>'U-Net'!AG160</f>
        <v/>
      </c>
      <c r="K160" s="45">
        <f>'DeepLabV3+'!AG160</f>
        <v/>
      </c>
      <c r="L160" s="45">
        <f>'YOLO11n-seg'!AG160</f>
        <v/>
      </c>
      <c r="M160" s="45">
        <f>'U-Net'!AI160</f>
        <v/>
      </c>
      <c r="N160" s="45">
        <f>'DeepLabV3+'!AI160</f>
        <v/>
      </c>
      <c r="O160" s="45">
        <f>'YOLO11n-seg'!AI160</f>
        <v/>
      </c>
    </row>
    <row r="161" ht="15" customHeight="1" s="30">
      <c r="A161" s="73">
        <f>'U-Net'!A161</f>
        <v/>
      </c>
      <c r="B161" s="45">
        <f>'U-Net'!AH161</f>
        <v/>
      </c>
      <c r="C161" s="45">
        <f>'DeepLabV3+'!AH161</f>
        <v/>
      </c>
      <c r="D161" s="45">
        <f>'YOLO11n-seg'!AH161</f>
        <v/>
      </c>
      <c r="E161" s="46">
        <f>INDEX($B$4:$D$4,MATCH(MAX(B161:D161),B161:D161,0))</f>
        <v/>
      </c>
      <c r="F161" s="45">
        <f>MAX(B161:D161)-MIN(B161:D161)</f>
        <v/>
      </c>
      <c r="G161" s="45">
        <f>'U-Net'!AF161</f>
        <v/>
      </c>
      <c r="H161" s="45">
        <f>'DeepLabV3+'!AF161</f>
        <v/>
      </c>
      <c r="I161" s="45">
        <f>'YOLO11n-seg'!AF161</f>
        <v/>
      </c>
      <c r="J161" s="45">
        <f>'U-Net'!AG161</f>
        <v/>
      </c>
      <c r="K161" s="45">
        <f>'DeepLabV3+'!AG161</f>
        <v/>
      </c>
      <c r="L161" s="45">
        <f>'YOLO11n-seg'!AG161</f>
        <v/>
      </c>
      <c r="M161" s="45">
        <f>'U-Net'!AI161</f>
        <v/>
      </c>
      <c r="N161" s="45">
        <f>'DeepLabV3+'!AI161</f>
        <v/>
      </c>
      <c r="O161" s="45">
        <f>'YOLO11n-seg'!AI161</f>
        <v/>
      </c>
    </row>
    <row r="162" ht="15" customHeight="1" s="30">
      <c r="A162" s="73">
        <f>'U-Net'!A162</f>
        <v/>
      </c>
      <c r="B162" s="45">
        <f>'U-Net'!AH162</f>
        <v/>
      </c>
      <c r="C162" s="45">
        <f>'DeepLabV3+'!AH162</f>
        <v/>
      </c>
      <c r="D162" s="45">
        <f>'YOLO11n-seg'!AH162</f>
        <v/>
      </c>
      <c r="E162" s="46">
        <f>INDEX($B$4:$D$4,MATCH(MAX(B162:D162),B162:D162,0))</f>
        <v/>
      </c>
      <c r="F162" s="45">
        <f>MAX(B162:D162)-MIN(B162:D162)</f>
        <v/>
      </c>
      <c r="G162" s="45">
        <f>'U-Net'!AF162</f>
        <v/>
      </c>
      <c r="H162" s="45">
        <f>'DeepLabV3+'!AF162</f>
        <v/>
      </c>
      <c r="I162" s="45">
        <f>'YOLO11n-seg'!AF162</f>
        <v/>
      </c>
      <c r="J162" s="45">
        <f>'U-Net'!AG162</f>
        <v/>
      </c>
      <c r="K162" s="45">
        <f>'DeepLabV3+'!AG162</f>
        <v/>
      </c>
      <c r="L162" s="45">
        <f>'YOLO11n-seg'!AG162</f>
        <v/>
      </c>
      <c r="M162" s="45">
        <f>'U-Net'!AI162</f>
        <v/>
      </c>
      <c r="N162" s="45">
        <f>'DeepLabV3+'!AI162</f>
        <v/>
      </c>
      <c r="O162" s="45">
        <f>'YOLO11n-seg'!AI162</f>
        <v/>
      </c>
    </row>
    <row r="163" ht="15" customHeight="1" s="30">
      <c r="A163" s="73">
        <f>'U-Net'!A163</f>
        <v/>
      </c>
      <c r="B163" s="45">
        <f>'U-Net'!AH163</f>
        <v/>
      </c>
      <c r="C163" s="45">
        <f>'DeepLabV3+'!AH163</f>
        <v/>
      </c>
      <c r="D163" s="45">
        <f>'YOLO11n-seg'!AH163</f>
        <v/>
      </c>
      <c r="E163" s="46">
        <f>INDEX($B$4:$D$4,MATCH(MAX(B163:D163),B163:D163,0))</f>
        <v/>
      </c>
      <c r="F163" s="45">
        <f>MAX(B163:D163)-MIN(B163:D163)</f>
        <v/>
      </c>
      <c r="G163" s="45">
        <f>'U-Net'!AF163</f>
        <v/>
      </c>
      <c r="H163" s="45">
        <f>'DeepLabV3+'!AF163</f>
        <v/>
      </c>
      <c r="I163" s="45">
        <f>'YOLO11n-seg'!AF163</f>
        <v/>
      </c>
      <c r="J163" s="45">
        <f>'U-Net'!AG163</f>
        <v/>
      </c>
      <c r="K163" s="45">
        <f>'DeepLabV3+'!AG163</f>
        <v/>
      </c>
      <c r="L163" s="45">
        <f>'YOLO11n-seg'!AG163</f>
        <v/>
      </c>
      <c r="M163" s="45">
        <f>'U-Net'!AI163</f>
        <v/>
      </c>
      <c r="N163" s="45">
        <f>'DeepLabV3+'!AI163</f>
        <v/>
      </c>
      <c r="O163" s="45">
        <f>'YOLO11n-seg'!AI163</f>
        <v/>
      </c>
    </row>
    <row r="164" ht="15" customHeight="1" s="30">
      <c r="A164" s="73">
        <f>'U-Net'!A164</f>
        <v/>
      </c>
      <c r="B164" s="45">
        <f>'U-Net'!AH164</f>
        <v/>
      </c>
      <c r="C164" s="45">
        <f>'DeepLabV3+'!AH164</f>
        <v/>
      </c>
      <c r="D164" s="45">
        <f>'YOLO11n-seg'!AH164</f>
        <v/>
      </c>
      <c r="E164" s="46">
        <f>INDEX($B$4:$D$4,MATCH(MAX(B164:D164),B164:D164,0))</f>
        <v/>
      </c>
      <c r="F164" s="45">
        <f>MAX(B164:D164)-MIN(B164:D164)</f>
        <v/>
      </c>
      <c r="G164" s="45">
        <f>'U-Net'!AF164</f>
        <v/>
      </c>
      <c r="H164" s="45">
        <f>'DeepLabV3+'!AF164</f>
        <v/>
      </c>
      <c r="I164" s="45">
        <f>'YOLO11n-seg'!AF164</f>
        <v/>
      </c>
      <c r="J164" s="45">
        <f>'U-Net'!AG164</f>
        <v/>
      </c>
      <c r="K164" s="45">
        <f>'DeepLabV3+'!AG164</f>
        <v/>
      </c>
      <c r="L164" s="45">
        <f>'YOLO11n-seg'!AG164</f>
        <v/>
      </c>
      <c r="M164" s="45">
        <f>'U-Net'!AI164</f>
        <v/>
      </c>
      <c r="N164" s="45">
        <f>'DeepLabV3+'!AI164</f>
        <v/>
      </c>
      <c r="O164" s="45">
        <f>'YOLO11n-seg'!AI164</f>
        <v/>
      </c>
    </row>
    <row r="165" ht="15" customHeight="1" s="30">
      <c r="A165" s="73">
        <f>'U-Net'!A165</f>
        <v/>
      </c>
      <c r="B165" s="45">
        <f>'U-Net'!AH165</f>
        <v/>
      </c>
      <c r="C165" s="45">
        <f>'DeepLabV3+'!AH165</f>
        <v/>
      </c>
      <c r="D165" s="45">
        <f>'YOLO11n-seg'!AH165</f>
        <v/>
      </c>
      <c r="E165" s="46">
        <f>INDEX($B$4:$D$4,MATCH(MAX(B165:D165),B165:D165,0))</f>
        <v/>
      </c>
      <c r="F165" s="45">
        <f>MAX(B165:D165)-MIN(B165:D165)</f>
        <v/>
      </c>
      <c r="G165" s="45">
        <f>'U-Net'!AF165</f>
        <v/>
      </c>
      <c r="H165" s="45">
        <f>'DeepLabV3+'!AF165</f>
        <v/>
      </c>
      <c r="I165" s="45">
        <f>'YOLO11n-seg'!AF165</f>
        <v/>
      </c>
      <c r="J165" s="45">
        <f>'U-Net'!AG165</f>
        <v/>
      </c>
      <c r="K165" s="45">
        <f>'DeepLabV3+'!AG165</f>
        <v/>
      </c>
      <c r="L165" s="45">
        <f>'YOLO11n-seg'!AG165</f>
        <v/>
      </c>
      <c r="M165" s="45">
        <f>'U-Net'!AI165</f>
        <v/>
      </c>
      <c r="N165" s="45">
        <f>'DeepLabV3+'!AI165</f>
        <v/>
      </c>
      <c r="O165" s="45">
        <f>'YOLO11n-seg'!AI165</f>
        <v/>
      </c>
    </row>
    <row r="166" ht="15" customHeight="1" s="30">
      <c r="A166" s="73">
        <f>'U-Net'!A166</f>
        <v/>
      </c>
      <c r="B166" s="45">
        <f>'U-Net'!AH166</f>
        <v/>
      </c>
      <c r="C166" s="45">
        <f>'DeepLabV3+'!AH166</f>
        <v/>
      </c>
      <c r="D166" s="45">
        <f>'YOLO11n-seg'!AH166</f>
        <v/>
      </c>
      <c r="E166" s="46">
        <f>INDEX($B$4:$D$4,MATCH(MAX(B166:D166),B166:D166,0))</f>
        <v/>
      </c>
      <c r="F166" s="45">
        <f>MAX(B166:D166)-MIN(B166:D166)</f>
        <v/>
      </c>
      <c r="G166" s="45">
        <f>'U-Net'!AF166</f>
        <v/>
      </c>
      <c r="H166" s="45">
        <f>'DeepLabV3+'!AF166</f>
        <v/>
      </c>
      <c r="I166" s="45">
        <f>'YOLO11n-seg'!AF166</f>
        <v/>
      </c>
      <c r="J166" s="45">
        <f>'U-Net'!AG166</f>
        <v/>
      </c>
      <c r="K166" s="45">
        <f>'DeepLabV3+'!AG166</f>
        <v/>
      </c>
      <c r="L166" s="45">
        <f>'YOLO11n-seg'!AG166</f>
        <v/>
      </c>
      <c r="M166" s="45">
        <f>'U-Net'!AI166</f>
        <v/>
      </c>
      <c r="N166" s="45">
        <f>'DeepLabV3+'!AI166</f>
        <v/>
      </c>
      <c r="O166" s="45">
        <f>'YOLO11n-seg'!AI166</f>
        <v/>
      </c>
    </row>
    <row r="167" ht="15" customHeight="1" s="30">
      <c r="A167" s="73">
        <f>'U-Net'!A167</f>
        <v/>
      </c>
      <c r="B167" s="45">
        <f>'U-Net'!AH167</f>
        <v/>
      </c>
      <c r="C167" s="45">
        <f>'DeepLabV3+'!AH167</f>
        <v/>
      </c>
      <c r="D167" s="45">
        <f>'YOLO11n-seg'!AH167</f>
        <v/>
      </c>
      <c r="E167" s="46">
        <f>INDEX($B$4:$D$4,MATCH(MAX(B167:D167),B167:D167,0))</f>
        <v/>
      </c>
      <c r="F167" s="45">
        <f>MAX(B167:D167)-MIN(B167:D167)</f>
        <v/>
      </c>
      <c r="G167" s="45">
        <f>'U-Net'!AF167</f>
        <v/>
      </c>
      <c r="H167" s="45">
        <f>'DeepLabV3+'!AF167</f>
        <v/>
      </c>
      <c r="I167" s="45">
        <f>'YOLO11n-seg'!AF167</f>
        <v/>
      </c>
      <c r="J167" s="45">
        <f>'U-Net'!AG167</f>
        <v/>
      </c>
      <c r="K167" s="45">
        <f>'DeepLabV3+'!AG167</f>
        <v/>
      </c>
      <c r="L167" s="45">
        <f>'YOLO11n-seg'!AG167</f>
        <v/>
      </c>
      <c r="M167" s="45">
        <f>'U-Net'!AI167</f>
        <v/>
      </c>
      <c r="N167" s="45">
        <f>'DeepLabV3+'!AI167</f>
        <v/>
      </c>
      <c r="O167" s="45">
        <f>'YOLO11n-seg'!AI167</f>
        <v/>
      </c>
    </row>
    <row r="168" ht="15" customHeight="1" s="30">
      <c r="A168" s="73">
        <f>'U-Net'!A168</f>
        <v/>
      </c>
      <c r="B168" s="45">
        <f>'U-Net'!AH168</f>
        <v/>
      </c>
      <c r="C168" s="45">
        <f>'DeepLabV3+'!AH168</f>
        <v/>
      </c>
      <c r="D168" s="45">
        <f>'YOLO11n-seg'!AH168</f>
        <v/>
      </c>
      <c r="E168" s="46">
        <f>INDEX($B$4:$D$4,MATCH(MAX(B168:D168),B168:D168,0))</f>
        <v/>
      </c>
      <c r="F168" s="45">
        <f>MAX(B168:D168)-MIN(B168:D168)</f>
        <v/>
      </c>
      <c r="G168" s="45">
        <f>'U-Net'!AF168</f>
        <v/>
      </c>
      <c r="H168" s="45">
        <f>'DeepLabV3+'!AF168</f>
        <v/>
      </c>
      <c r="I168" s="45">
        <f>'YOLO11n-seg'!AF168</f>
        <v/>
      </c>
      <c r="J168" s="45">
        <f>'U-Net'!AG168</f>
        <v/>
      </c>
      <c r="K168" s="45">
        <f>'DeepLabV3+'!AG168</f>
        <v/>
      </c>
      <c r="L168" s="45">
        <f>'YOLO11n-seg'!AG168</f>
        <v/>
      </c>
      <c r="M168" s="45">
        <f>'U-Net'!AI168</f>
        <v/>
      </c>
      <c r="N168" s="45">
        <f>'DeepLabV3+'!AI168</f>
        <v/>
      </c>
      <c r="O168" s="45">
        <f>'YOLO11n-seg'!AI168</f>
        <v/>
      </c>
    </row>
    <row r="169" ht="15" customHeight="1" s="30">
      <c r="A169" s="73">
        <f>'U-Net'!A169</f>
        <v/>
      </c>
      <c r="B169" s="45">
        <f>'U-Net'!AH169</f>
        <v/>
      </c>
      <c r="C169" s="45">
        <f>'DeepLabV3+'!AH169</f>
        <v/>
      </c>
      <c r="D169" s="45">
        <f>'YOLO11n-seg'!AH169</f>
        <v/>
      </c>
      <c r="E169" s="46">
        <f>INDEX($B$4:$D$4,MATCH(MAX(B169:D169),B169:D169,0))</f>
        <v/>
      </c>
      <c r="F169" s="45">
        <f>MAX(B169:D169)-MIN(B169:D169)</f>
        <v/>
      </c>
      <c r="G169" s="45">
        <f>'U-Net'!AF169</f>
        <v/>
      </c>
      <c r="H169" s="45">
        <f>'DeepLabV3+'!AF169</f>
        <v/>
      </c>
      <c r="I169" s="45">
        <f>'YOLO11n-seg'!AF169</f>
        <v/>
      </c>
      <c r="J169" s="45">
        <f>'U-Net'!AG169</f>
        <v/>
      </c>
      <c r="K169" s="45">
        <f>'DeepLabV3+'!AG169</f>
        <v/>
      </c>
      <c r="L169" s="45">
        <f>'YOLO11n-seg'!AG169</f>
        <v/>
      </c>
      <c r="M169" s="45">
        <f>'U-Net'!AI169</f>
        <v/>
      </c>
      <c r="N169" s="45">
        <f>'DeepLabV3+'!AI169</f>
        <v/>
      </c>
      <c r="O169" s="45">
        <f>'YOLO11n-seg'!AI169</f>
        <v/>
      </c>
    </row>
    <row r="170" ht="15" customHeight="1" s="30">
      <c r="A170" s="73">
        <f>'U-Net'!A170</f>
        <v/>
      </c>
      <c r="B170" s="45">
        <f>'U-Net'!AH170</f>
        <v/>
      </c>
      <c r="C170" s="45">
        <f>'DeepLabV3+'!AH170</f>
        <v/>
      </c>
      <c r="D170" s="45">
        <f>'YOLO11n-seg'!AH170</f>
        <v/>
      </c>
      <c r="E170" s="46">
        <f>INDEX($B$4:$D$4,MATCH(MAX(B170:D170),B170:D170,0))</f>
        <v/>
      </c>
      <c r="F170" s="45">
        <f>MAX(B170:D170)-MIN(B170:D170)</f>
        <v/>
      </c>
      <c r="G170" s="45">
        <f>'U-Net'!AF170</f>
        <v/>
      </c>
      <c r="H170" s="45">
        <f>'DeepLabV3+'!AF170</f>
        <v/>
      </c>
      <c r="I170" s="45">
        <f>'YOLO11n-seg'!AF170</f>
        <v/>
      </c>
      <c r="J170" s="45">
        <f>'U-Net'!AG170</f>
        <v/>
      </c>
      <c r="K170" s="45">
        <f>'DeepLabV3+'!AG170</f>
        <v/>
      </c>
      <c r="L170" s="45">
        <f>'YOLO11n-seg'!AG170</f>
        <v/>
      </c>
      <c r="M170" s="45">
        <f>'U-Net'!AI170</f>
        <v/>
      </c>
      <c r="N170" s="45">
        <f>'DeepLabV3+'!AI170</f>
        <v/>
      </c>
      <c r="O170" s="45">
        <f>'YOLO11n-seg'!AI170</f>
        <v/>
      </c>
    </row>
    <row r="171" ht="15" customHeight="1" s="30">
      <c r="A171" s="73">
        <f>'U-Net'!A171</f>
        <v/>
      </c>
      <c r="B171" s="45">
        <f>'U-Net'!AH171</f>
        <v/>
      </c>
      <c r="C171" s="45">
        <f>'DeepLabV3+'!AH171</f>
        <v/>
      </c>
      <c r="D171" s="45">
        <f>'YOLO11n-seg'!AH171</f>
        <v/>
      </c>
      <c r="E171" s="46">
        <f>INDEX($B$4:$D$4,MATCH(MAX(B171:D171),B171:D171,0))</f>
        <v/>
      </c>
      <c r="F171" s="45">
        <f>MAX(B171:D171)-MIN(B171:D171)</f>
        <v/>
      </c>
      <c r="G171" s="45">
        <f>'U-Net'!AF171</f>
        <v/>
      </c>
      <c r="H171" s="45">
        <f>'DeepLabV3+'!AF171</f>
        <v/>
      </c>
      <c r="I171" s="45">
        <f>'YOLO11n-seg'!AF171</f>
        <v/>
      </c>
      <c r="J171" s="45">
        <f>'U-Net'!AG171</f>
        <v/>
      </c>
      <c r="K171" s="45">
        <f>'DeepLabV3+'!AG171</f>
        <v/>
      </c>
      <c r="L171" s="45">
        <f>'YOLO11n-seg'!AG171</f>
        <v/>
      </c>
      <c r="M171" s="45">
        <f>'U-Net'!AI171</f>
        <v/>
      </c>
      <c r="N171" s="45">
        <f>'DeepLabV3+'!AI171</f>
        <v/>
      </c>
      <c r="O171" s="45">
        <f>'YOLO11n-seg'!AI171</f>
        <v/>
      </c>
    </row>
    <row r="172" ht="15" customHeight="1" s="30">
      <c r="A172" s="73">
        <f>'U-Net'!A172</f>
        <v/>
      </c>
      <c r="B172" s="45">
        <f>'U-Net'!AH172</f>
        <v/>
      </c>
      <c r="C172" s="45">
        <f>'DeepLabV3+'!AH172</f>
        <v/>
      </c>
      <c r="D172" s="45">
        <f>'YOLO11n-seg'!AH172</f>
        <v/>
      </c>
      <c r="E172" s="46">
        <f>INDEX($B$4:$D$4,MATCH(MAX(B172:D172),B172:D172,0))</f>
        <v/>
      </c>
      <c r="F172" s="45">
        <f>MAX(B172:D172)-MIN(B172:D172)</f>
        <v/>
      </c>
      <c r="G172" s="45">
        <f>'U-Net'!AF172</f>
        <v/>
      </c>
      <c r="H172" s="45">
        <f>'DeepLabV3+'!AF172</f>
        <v/>
      </c>
      <c r="I172" s="45">
        <f>'YOLO11n-seg'!AF172</f>
        <v/>
      </c>
      <c r="J172" s="45">
        <f>'U-Net'!AG172</f>
        <v/>
      </c>
      <c r="K172" s="45">
        <f>'DeepLabV3+'!AG172</f>
        <v/>
      </c>
      <c r="L172" s="45">
        <f>'YOLO11n-seg'!AG172</f>
        <v/>
      </c>
      <c r="M172" s="45">
        <f>'U-Net'!AI172</f>
        <v/>
      </c>
      <c r="N172" s="45">
        <f>'DeepLabV3+'!AI172</f>
        <v/>
      </c>
      <c r="O172" s="45">
        <f>'YOLO11n-seg'!AI172</f>
        <v/>
      </c>
    </row>
    <row r="173" ht="15" customHeight="1" s="30">
      <c r="A173" s="73">
        <f>'U-Net'!A173</f>
        <v/>
      </c>
      <c r="B173" s="45">
        <f>'U-Net'!AH173</f>
        <v/>
      </c>
      <c r="C173" s="45">
        <f>'DeepLabV3+'!AH173</f>
        <v/>
      </c>
      <c r="D173" s="45">
        <f>'YOLO11n-seg'!AH173</f>
        <v/>
      </c>
      <c r="E173" s="46">
        <f>INDEX($B$4:$D$4,MATCH(MAX(B173:D173),B173:D173,0))</f>
        <v/>
      </c>
      <c r="F173" s="45">
        <f>MAX(B173:D173)-MIN(B173:D173)</f>
        <v/>
      </c>
      <c r="G173" s="45">
        <f>'U-Net'!AF173</f>
        <v/>
      </c>
      <c r="H173" s="45">
        <f>'DeepLabV3+'!AF173</f>
        <v/>
      </c>
      <c r="I173" s="45">
        <f>'YOLO11n-seg'!AF173</f>
        <v/>
      </c>
      <c r="J173" s="45">
        <f>'U-Net'!AG173</f>
        <v/>
      </c>
      <c r="K173" s="45">
        <f>'DeepLabV3+'!AG173</f>
        <v/>
      </c>
      <c r="L173" s="45">
        <f>'YOLO11n-seg'!AG173</f>
        <v/>
      </c>
      <c r="M173" s="45">
        <f>'U-Net'!AI173</f>
        <v/>
      </c>
      <c r="N173" s="45">
        <f>'DeepLabV3+'!AI173</f>
        <v/>
      </c>
      <c r="O173" s="45">
        <f>'YOLO11n-seg'!AI173</f>
        <v/>
      </c>
    </row>
    <row r="174" ht="15" customHeight="1" s="30">
      <c r="A174" s="73">
        <f>'U-Net'!A174</f>
        <v/>
      </c>
      <c r="B174" s="45">
        <f>'U-Net'!AH174</f>
        <v/>
      </c>
      <c r="C174" s="45">
        <f>'DeepLabV3+'!AH174</f>
        <v/>
      </c>
      <c r="D174" s="45">
        <f>'YOLO11n-seg'!AH174</f>
        <v/>
      </c>
      <c r="E174" s="46">
        <f>INDEX($B$4:$D$4,MATCH(MAX(B174:D174),B174:D174,0))</f>
        <v/>
      </c>
      <c r="F174" s="45">
        <f>MAX(B174:D174)-MIN(B174:D174)</f>
        <v/>
      </c>
      <c r="G174" s="45">
        <f>'U-Net'!AF174</f>
        <v/>
      </c>
      <c r="H174" s="45">
        <f>'DeepLabV3+'!AF174</f>
        <v/>
      </c>
      <c r="I174" s="45">
        <f>'YOLO11n-seg'!AF174</f>
        <v/>
      </c>
      <c r="J174" s="45">
        <f>'U-Net'!AG174</f>
        <v/>
      </c>
      <c r="K174" s="45">
        <f>'DeepLabV3+'!AG174</f>
        <v/>
      </c>
      <c r="L174" s="45">
        <f>'YOLO11n-seg'!AG174</f>
        <v/>
      </c>
      <c r="M174" s="45">
        <f>'U-Net'!AI174</f>
        <v/>
      </c>
      <c r="N174" s="45">
        <f>'DeepLabV3+'!AI174</f>
        <v/>
      </c>
      <c r="O174" s="45">
        <f>'YOLO11n-seg'!AI174</f>
        <v/>
      </c>
    </row>
    <row r="175" ht="15" customHeight="1" s="30">
      <c r="A175" s="73">
        <f>'U-Net'!A175</f>
        <v/>
      </c>
      <c r="B175" s="45">
        <f>'U-Net'!AH175</f>
        <v/>
      </c>
      <c r="C175" s="45">
        <f>'DeepLabV3+'!AH175</f>
        <v/>
      </c>
      <c r="D175" s="45">
        <f>'YOLO11n-seg'!AH175</f>
        <v/>
      </c>
      <c r="E175" s="46">
        <f>INDEX($B$4:$D$4,MATCH(MAX(B175:D175),B175:D175,0))</f>
        <v/>
      </c>
      <c r="F175" s="45">
        <f>MAX(B175:D175)-MIN(B175:D175)</f>
        <v/>
      </c>
      <c r="G175" s="45">
        <f>'U-Net'!AF175</f>
        <v/>
      </c>
      <c r="H175" s="45">
        <f>'DeepLabV3+'!AF175</f>
        <v/>
      </c>
      <c r="I175" s="45">
        <f>'YOLO11n-seg'!AF175</f>
        <v/>
      </c>
      <c r="J175" s="45">
        <f>'U-Net'!AG175</f>
        <v/>
      </c>
      <c r="K175" s="45">
        <f>'DeepLabV3+'!AG175</f>
        <v/>
      </c>
      <c r="L175" s="45">
        <f>'YOLO11n-seg'!AG175</f>
        <v/>
      </c>
      <c r="M175" s="45">
        <f>'U-Net'!AI175</f>
        <v/>
      </c>
      <c r="N175" s="45">
        <f>'DeepLabV3+'!AI175</f>
        <v/>
      </c>
      <c r="O175" s="45">
        <f>'YOLO11n-seg'!AI175</f>
        <v/>
      </c>
    </row>
    <row r="176" ht="15" customHeight="1" s="30">
      <c r="A176" s="73">
        <f>'U-Net'!A176</f>
        <v/>
      </c>
      <c r="B176" s="45">
        <f>'U-Net'!AH176</f>
        <v/>
      </c>
      <c r="C176" s="45">
        <f>'DeepLabV3+'!AH176</f>
        <v/>
      </c>
      <c r="D176" s="45">
        <f>'YOLO11n-seg'!AH176</f>
        <v/>
      </c>
      <c r="E176" s="46">
        <f>INDEX($B$4:$D$4,MATCH(MAX(B176:D176),B176:D176,0))</f>
        <v/>
      </c>
      <c r="F176" s="45">
        <f>MAX(B176:D176)-MIN(B176:D176)</f>
        <v/>
      </c>
      <c r="G176" s="45">
        <f>'U-Net'!AF176</f>
        <v/>
      </c>
      <c r="H176" s="45">
        <f>'DeepLabV3+'!AF176</f>
        <v/>
      </c>
      <c r="I176" s="45">
        <f>'YOLO11n-seg'!AF176</f>
        <v/>
      </c>
      <c r="J176" s="45">
        <f>'U-Net'!AG176</f>
        <v/>
      </c>
      <c r="K176" s="45">
        <f>'DeepLabV3+'!AG176</f>
        <v/>
      </c>
      <c r="L176" s="45">
        <f>'YOLO11n-seg'!AG176</f>
        <v/>
      </c>
      <c r="M176" s="45">
        <f>'U-Net'!AI176</f>
        <v/>
      </c>
      <c r="N176" s="45">
        <f>'DeepLabV3+'!AI176</f>
        <v/>
      </c>
      <c r="O176" s="45">
        <f>'YOLO11n-seg'!AI176</f>
        <v/>
      </c>
    </row>
    <row r="177" ht="15" customHeight="1" s="30">
      <c r="A177" s="73">
        <f>'U-Net'!A177</f>
        <v/>
      </c>
      <c r="B177" s="45">
        <f>'U-Net'!AH177</f>
        <v/>
      </c>
      <c r="C177" s="45">
        <f>'DeepLabV3+'!AH177</f>
        <v/>
      </c>
      <c r="D177" s="45">
        <f>'YOLO11n-seg'!AH177</f>
        <v/>
      </c>
      <c r="E177" s="46">
        <f>INDEX($B$4:$D$4,MATCH(MAX(B177:D177),B177:D177,0))</f>
        <v/>
      </c>
      <c r="F177" s="45">
        <f>MAX(B177:D177)-MIN(B177:D177)</f>
        <v/>
      </c>
      <c r="G177" s="45">
        <f>'U-Net'!AF177</f>
        <v/>
      </c>
      <c r="H177" s="45">
        <f>'DeepLabV3+'!AF177</f>
        <v/>
      </c>
      <c r="I177" s="45">
        <f>'YOLO11n-seg'!AF177</f>
        <v/>
      </c>
      <c r="J177" s="45">
        <f>'U-Net'!AG177</f>
        <v/>
      </c>
      <c r="K177" s="45">
        <f>'DeepLabV3+'!AG177</f>
        <v/>
      </c>
      <c r="L177" s="45">
        <f>'YOLO11n-seg'!AG177</f>
        <v/>
      </c>
      <c r="M177" s="45">
        <f>'U-Net'!AI177</f>
        <v/>
      </c>
      <c r="N177" s="45">
        <f>'DeepLabV3+'!AI177</f>
        <v/>
      </c>
      <c r="O177" s="45">
        <f>'YOLO11n-seg'!AI177</f>
        <v/>
      </c>
    </row>
    <row r="178" ht="15" customHeight="1" s="30">
      <c r="A178" s="73">
        <f>'U-Net'!A178</f>
        <v/>
      </c>
      <c r="B178" s="45">
        <f>'U-Net'!AH178</f>
        <v/>
      </c>
      <c r="C178" s="45">
        <f>'DeepLabV3+'!AH178</f>
        <v/>
      </c>
      <c r="D178" s="45">
        <f>'YOLO11n-seg'!AH178</f>
        <v/>
      </c>
      <c r="E178" s="46">
        <f>INDEX($B$4:$D$4,MATCH(MAX(B178:D178),B178:D178,0))</f>
        <v/>
      </c>
      <c r="F178" s="45">
        <f>MAX(B178:D178)-MIN(B178:D178)</f>
        <v/>
      </c>
      <c r="G178" s="45">
        <f>'U-Net'!AF178</f>
        <v/>
      </c>
      <c r="H178" s="45">
        <f>'DeepLabV3+'!AF178</f>
        <v/>
      </c>
      <c r="I178" s="45">
        <f>'YOLO11n-seg'!AF178</f>
        <v/>
      </c>
      <c r="J178" s="45">
        <f>'U-Net'!AG178</f>
        <v/>
      </c>
      <c r="K178" s="45">
        <f>'DeepLabV3+'!AG178</f>
        <v/>
      </c>
      <c r="L178" s="45">
        <f>'YOLO11n-seg'!AG178</f>
        <v/>
      </c>
      <c r="M178" s="45">
        <f>'U-Net'!AI178</f>
        <v/>
      </c>
      <c r="N178" s="45">
        <f>'DeepLabV3+'!AI178</f>
        <v/>
      </c>
      <c r="O178" s="45">
        <f>'YOLO11n-seg'!AI178</f>
        <v/>
      </c>
    </row>
    <row r="179" ht="15" customHeight="1" s="30">
      <c r="A179" s="73">
        <f>'U-Net'!A179</f>
        <v/>
      </c>
      <c r="B179" s="45">
        <f>'U-Net'!AH179</f>
        <v/>
      </c>
      <c r="C179" s="45">
        <f>'DeepLabV3+'!AH179</f>
        <v/>
      </c>
      <c r="D179" s="45">
        <f>'YOLO11n-seg'!AH179</f>
        <v/>
      </c>
      <c r="E179" s="46">
        <f>INDEX($B$4:$D$4,MATCH(MAX(B179:D179),B179:D179,0))</f>
        <v/>
      </c>
      <c r="F179" s="45">
        <f>MAX(B179:D179)-MIN(B179:D179)</f>
        <v/>
      </c>
      <c r="G179" s="45">
        <f>'U-Net'!AF179</f>
        <v/>
      </c>
      <c r="H179" s="45">
        <f>'DeepLabV3+'!AF179</f>
        <v/>
      </c>
      <c r="I179" s="45">
        <f>'YOLO11n-seg'!AF179</f>
        <v/>
      </c>
      <c r="J179" s="45">
        <f>'U-Net'!AG179</f>
        <v/>
      </c>
      <c r="K179" s="45">
        <f>'DeepLabV3+'!AG179</f>
        <v/>
      </c>
      <c r="L179" s="45">
        <f>'YOLO11n-seg'!AG179</f>
        <v/>
      </c>
      <c r="M179" s="45">
        <f>'U-Net'!AI179</f>
        <v/>
      </c>
      <c r="N179" s="45">
        <f>'DeepLabV3+'!AI179</f>
        <v/>
      </c>
      <c r="O179" s="45">
        <f>'YOLO11n-seg'!AI179</f>
        <v/>
      </c>
    </row>
    <row r="180" ht="15" customHeight="1" s="30">
      <c r="A180" s="73">
        <f>'U-Net'!A180</f>
        <v/>
      </c>
      <c r="B180" s="45">
        <f>'U-Net'!AH180</f>
        <v/>
      </c>
      <c r="C180" s="45">
        <f>'DeepLabV3+'!AH180</f>
        <v/>
      </c>
      <c r="D180" s="45">
        <f>'YOLO11n-seg'!AH180</f>
        <v/>
      </c>
      <c r="E180" s="46">
        <f>INDEX($B$4:$D$4,MATCH(MAX(B180:D180),B180:D180,0))</f>
        <v/>
      </c>
      <c r="F180" s="45">
        <f>MAX(B180:D180)-MIN(B180:D180)</f>
        <v/>
      </c>
      <c r="G180" s="45">
        <f>'U-Net'!AF180</f>
        <v/>
      </c>
      <c r="H180" s="45">
        <f>'DeepLabV3+'!AF180</f>
        <v/>
      </c>
      <c r="I180" s="45">
        <f>'YOLO11n-seg'!AF180</f>
        <v/>
      </c>
      <c r="J180" s="45">
        <f>'U-Net'!AG180</f>
        <v/>
      </c>
      <c r="K180" s="45">
        <f>'DeepLabV3+'!AG180</f>
        <v/>
      </c>
      <c r="L180" s="45">
        <f>'YOLO11n-seg'!AG180</f>
        <v/>
      </c>
      <c r="M180" s="45">
        <f>'U-Net'!AI180</f>
        <v/>
      </c>
      <c r="N180" s="45">
        <f>'DeepLabV3+'!AI180</f>
        <v/>
      </c>
      <c r="O180" s="45">
        <f>'YOLO11n-seg'!AI180</f>
        <v/>
      </c>
    </row>
    <row r="181" ht="15" customHeight="1" s="30">
      <c r="A181" s="73">
        <f>'U-Net'!A181</f>
        <v/>
      </c>
      <c r="B181" s="45">
        <f>'U-Net'!AH181</f>
        <v/>
      </c>
      <c r="C181" s="45">
        <f>'DeepLabV3+'!AH181</f>
        <v/>
      </c>
      <c r="D181" s="45">
        <f>'YOLO11n-seg'!AH181</f>
        <v/>
      </c>
      <c r="E181" s="46">
        <f>INDEX($B$4:$D$4,MATCH(MAX(B181:D181),B181:D181,0))</f>
        <v/>
      </c>
      <c r="F181" s="45">
        <f>MAX(B181:D181)-MIN(B181:D181)</f>
        <v/>
      </c>
      <c r="G181" s="45">
        <f>'U-Net'!AF181</f>
        <v/>
      </c>
      <c r="H181" s="45">
        <f>'DeepLabV3+'!AF181</f>
        <v/>
      </c>
      <c r="I181" s="45">
        <f>'YOLO11n-seg'!AF181</f>
        <v/>
      </c>
      <c r="J181" s="45">
        <f>'U-Net'!AG181</f>
        <v/>
      </c>
      <c r="K181" s="45">
        <f>'DeepLabV3+'!AG181</f>
        <v/>
      </c>
      <c r="L181" s="45">
        <f>'YOLO11n-seg'!AG181</f>
        <v/>
      </c>
      <c r="M181" s="45">
        <f>'U-Net'!AI181</f>
        <v/>
      </c>
      <c r="N181" s="45">
        <f>'DeepLabV3+'!AI181</f>
        <v/>
      </c>
      <c r="O181" s="45">
        <f>'YOLO11n-seg'!AI181</f>
        <v/>
      </c>
    </row>
    <row r="182" ht="15" customHeight="1" s="30">
      <c r="A182" s="73">
        <f>'U-Net'!A182</f>
        <v/>
      </c>
      <c r="B182" s="45">
        <f>'U-Net'!AH182</f>
        <v/>
      </c>
      <c r="C182" s="45">
        <f>'DeepLabV3+'!AH182</f>
        <v/>
      </c>
      <c r="D182" s="45">
        <f>'YOLO11n-seg'!AH182</f>
        <v/>
      </c>
      <c r="E182" s="46">
        <f>INDEX($B$4:$D$4,MATCH(MAX(B182:D182),B182:D182,0))</f>
        <v/>
      </c>
      <c r="F182" s="45">
        <f>MAX(B182:D182)-MIN(B182:D182)</f>
        <v/>
      </c>
      <c r="G182" s="45">
        <f>'U-Net'!AF182</f>
        <v/>
      </c>
      <c r="H182" s="45">
        <f>'DeepLabV3+'!AF182</f>
        <v/>
      </c>
      <c r="I182" s="45">
        <f>'YOLO11n-seg'!AF182</f>
        <v/>
      </c>
      <c r="J182" s="45">
        <f>'U-Net'!AG182</f>
        <v/>
      </c>
      <c r="K182" s="45">
        <f>'DeepLabV3+'!AG182</f>
        <v/>
      </c>
      <c r="L182" s="45">
        <f>'YOLO11n-seg'!AG182</f>
        <v/>
      </c>
      <c r="M182" s="45">
        <f>'U-Net'!AI182</f>
        <v/>
      </c>
      <c r="N182" s="45">
        <f>'DeepLabV3+'!AI182</f>
        <v/>
      </c>
      <c r="O182" s="45">
        <f>'YOLO11n-seg'!AI182</f>
        <v/>
      </c>
    </row>
    <row r="183" ht="15" customHeight="1" s="30">
      <c r="A183" s="73">
        <f>'U-Net'!A183</f>
        <v/>
      </c>
      <c r="B183" s="45">
        <f>'U-Net'!AH183</f>
        <v/>
      </c>
      <c r="C183" s="45">
        <f>'DeepLabV3+'!AH183</f>
        <v/>
      </c>
      <c r="D183" s="45">
        <f>'YOLO11n-seg'!AH183</f>
        <v/>
      </c>
      <c r="E183" s="46">
        <f>INDEX($B$4:$D$4,MATCH(MAX(B183:D183),B183:D183,0))</f>
        <v/>
      </c>
      <c r="F183" s="45">
        <f>MAX(B183:D183)-MIN(B183:D183)</f>
        <v/>
      </c>
      <c r="G183" s="45">
        <f>'U-Net'!AF183</f>
        <v/>
      </c>
      <c r="H183" s="45">
        <f>'DeepLabV3+'!AF183</f>
        <v/>
      </c>
      <c r="I183" s="45">
        <f>'YOLO11n-seg'!AF183</f>
        <v/>
      </c>
      <c r="J183" s="45">
        <f>'U-Net'!AG183</f>
        <v/>
      </c>
      <c r="K183" s="45">
        <f>'DeepLabV3+'!AG183</f>
        <v/>
      </c>
      <c r="L183" s="45">
        <f>'YOLO11n-seg'!AG183</f>
        <v/>
      </c>
      <c r="M183" s="45">
        <f>'U-Net'!AI183</f>
        <v/>
      </c>
      <c r="N183" s="45">
        <f>'DeepLabV3+'!AI183</f>
        <v/>
      </c>
      <c r="O183" s="45">
        <f>'YOLO11n-seg'!AI183</f>
        <v/>
      </c>
    </row>
    <row r="184" ht="15" customHeight="1" s="30">
      <c r="A184" s="73">
        <f>'U-Net'!A184</f>
        <v/>
      </c>
      <c r="B184" s="45">
        <f>'U-Net'!AH184</f>
        <v/>
      </c>
      <c r="C184" s="45">
        <f>'DeepLabV3+'!AH184</f>
        <v/>
      </c>
      <c r="D184" s="45">
        <f>'YOLO11n-seg'!AH184</f>
        <v/>
      </c>
      <c r="E184" s="46">
        <f>INDEX($B$4:$D$4,MATCH(MAX(B184:D184),B184:D184,0))</f>
        <v/>
      </c>
      <c r="F184" s="45">
        <f>MAX(B184:D184)-MIN(B184:D184)</f>
        <v/>
      </c>
      <c r="G184" s="45">
        <f>'U-Net'!AF184</f>
        <v/>
      </c>
      <c r="H184" s="45">
        <f>'DeepLabV3+'!AF184</f>
        <v/>
      </c>
      <c r="I184" s="45">
        <f>'YOLO11n-seg'!AF184</f>
        <v/>
      </c>
      <c r="J184" s="45">
        <f>'U-Net'!AG184</f>
        <v/>
      </c>
      <c r="K184" s="45">
        <f>'DeepLabV3+'!AG184</f>
        <v/>
      </c>
      <c r="L184" s="45">
        <f>'YOLO11n-seg'!AG184</f>
        <v/>
      </c>
      <c r="M184" s="45">
        <f>'U-Net'!AI184</f>
        <v/>
      </c>
      <c r="N184" s="45">
        <f>'DeepLabV3+'!AI184</f>
        <v/>
      </c>
      <c r="O184" s="45">
        <f>'YOLO11n-seg'!AI184</f>
        <v/>
      </c>
    </row>
    <row r="185" ht="15" customHeight="1" s="30">
      <c r="A185" s="73">
        <f>'U-Net'!A185</f>
        <v/>
      </c>
      <c r="B185" s="45">
        <f>'U-Net'!AH185</f>
        <v/>
      </c>
      <c r="C185" s="45">
        <f>'DeepLabV3+'!AH185</f>
        <v/>
      </c>
      <c r="D185" s="45">
        <f>'YOLO11n-seg'!AH185</f>
        <v/>
      </c>
      <c r="E185" s="46">
        <f>INDEX($B$4:$D$4,MATCH(MAX(B185:D185),B185:D185,0))</f>
        <v/>
      </c>
      <c r="F185" s="45">
        <f>MAX(B185:D185)-MIN(B185:D185)</f>
        <v/>
      </c>
      <c r="G185" s="45">
        <f>'U-Net'!AF185</f>
        <v/>
      </c>
      <c r="H185" s="45">
        <f>'DeepLabV3+'!AF185</f>
        <v/>
      </c>
      <c r="I185" s="45">
        <f>'YOLO11n-seg'!AF185</f>
        <v/>
      </c>
      <c r="J185" s="45">
        <f>'U-Net'!AG185</f>
        <v/>
      </c>
      <c r="K185" s="45">
        <f>'DeepLabV3+'!AG185</f>
        <v/>
      </c>
      <c r="L185" s="45">
        <f>'YOLO11n-seg'!AG185</f>
        <v/>
      </c>
      <c r="M185" s="45">
        <f>'U-Net'!AI185</f>
        <v/>
      </c>
      <c r="N185" s="45">
        <f>'DeepLabV3+'!AI185</f>
        <v/>
      </c>
      <c r="O185" s="45">
        <f>'YOLO11n-seg'!AI185</f>
        <v/>
      </c>
    </row>
    <row r="186" ht="15" customHeight="1" s="30">
      <c r="A186" s="73">
        <f>'U-Net'!A186</f>
        <v/>
      </c>
      <c r="B186" s="45">
        <f>'U-Net'!AH186</f>
        <v/>
      </c>
      <c r="C186" s="45">
        <f>'DeepLabV3+'!AH186</f>
        <v/>
      </c>
      <c r="D186" s="45">
        <f>'YOLO11n-seg'!AH186</f>
        <v/>
      </c>
      <c r="E186" s="46">
        <f>INDEX($B$4:$D$4,MATCH(MAX(B186:D186),B186:D186,0))</f>
        <v/>
      </c>
      <c r="F186" s="45">
        <f>MAX(B186:D186)-MIN(B186:D186)</f>
        <v/>
      </c>
      <c r="G186" s="45">
        <f>'U-Net'!AF186</f>
        <v/>
      </c>
      <c r="H186" s="45">
        <f>'DeepLabV3+'!AF186</f>
        <v/>
      </c>
      <c r="I186" s="45">
        <f>'YOLO11n-seg'!AF186</f>
        <v/>
      </c>
      <c r="J186" s="45">
        <f>'U-Net'!AG186</f>
        <v/>
      </c>
      <c r="K186" s="45">
        <f>'DeepLabV3+'!AG186</f>
        <v/>
      </c>
      <c r="L186" s="45">
        <f>'YOLO11n-seg'!AG186</f>
        <v/>
      </c>
      <c r="M186" s="45">
        <f>'U-Net'!AI186</f>
        <v/>
      </c>
      <c r="N186" s="45">
        <f>'DeepLabV3+'!AI186</f>
        <v/>
      </c>
      <c r="O186" s="45">
        <f>'YOLO11n-seg'!AI186</f>
        <v/>
      </c>
    </row>
    <row r="187" ht="15" customHeight="1" s="30">
      <c r="A187" s="73">
        <f>'U-Net'!A187</f>
        <v/>
      </c>
      <c r="B187" s="45">
        <f>'U-Net'!AH187</f>
        <v/>
      </c>
      <c r="C187" s="45">
        <f>'DeepLabV3+'!AH187</f>
        <v/>
      </c>
      <c r="D187" s="45">
        <f>'YOLO11n-seg'!AH187</f>
        <v/>
      </c>
      <c r="E187" s="46">
        <f>INDEX($B$4:$D$4,MATCH(MAX(B187:D187),B187:D187,0))</f>
        <v/>
      </c>
      <c r="F187" s="45">
        <f>MAX(B187:D187)-MIN(B187:D187)</f>
        <v/>
      </c>
      <c r="G187" s="45">
        <f>'U-Net'!AF187</f>
        <v/>
      </c>
      <c r="H187" s="45">
        <f>'DeepLabV3+'!AF187</f>
        <v/>
      </c>
      <c r="I187" s="45">
        <f>'YOLO11n-seg'!AF187</f>
        <v/>
      </c>
      <c r="J187" s="45">
        <f>'U-Net'!AG187</f>
        <v/>
      </c>
      <c r="K187" s="45">
        <f>'DeepLabV3+'!AG187</f>
        <v/>
      </c>
      <c r="L187" s="45">
        <f>'YOLO11n-seg'!AG187</f>
        <v/>
      </c>
      <c r="M187" s="45">
        <f>'U-Net'!AI187</f>
        <v/>
      </c>
      <c r="N187" s="45">
        <f>'DeepLabV3+'!AI187</f>
        <v/>
      </c>
      <c r="O187" s="45">
        <f>'YOLO11n-seg'!AI187</f>
        <v/>
      </c>
    </row>
    <row r="188" ht="15" customHeight="1" s="30">
      <c r="A188" s="73">
        <f>'U-Net'!A188</f>
        <v/>
      </c>
      <c r="B188" s="45">
        <f>'U-Net'!AH188</f>
        <v/>
      </c>
      <c r="C188" s="45">
        <f>'DeepLabV3+'!AH188</f>
        <v/>
      </c>
      <c r="D188" s="45">
        <f>'YOLO11n-seg'!AH188</f>
        <v/>
      </c>
      <c r="E188" s="46">
        <f>INDEX($B$4:$D$4,MATCH(MAX(B188:D188),B188:D188,0))</f>
        <v/>
      </c>
      <c r="F188" s="45">
        <f>MAX(B188:D188)-MIN(B188:D188)</f>
        <v/>
      </c>
      <c r="G188" s="45">
        <f>'U-Net'!AF188</f>
        <v/>
      </c>
      <c r="H188" s="45">
        <f>'DeepLabV3+'!AF188</f>
        <v/>
      </c>
      <c r="I188" s="45">
        <f>'YOLO11n-seg'!AF188</f>
        <v/>
      </c>
      <c r="J188" s="45">
        <f>'U-Net'!AG188</f>
        <v/>
      </c>
      <c r="K188" s="45">
        <f>'DeepLabV3+'!AG188</f>
        <v/>
      </c>
      <c r="L188" s="45">
        <f>'YOLO11n-seg'!AG188</f>
        <v/>
      </c>
      <c r="M188" s="45">
        <f>'U-Net'!AI188</f>
        <v/>
      </c>
      <c r="N188" s="45">
        <f>'DeepLabV3+'!AI188</f>
        <v/>
      </c>
      <c r="O188" s="45">
        <f>'YOLO11n-seg'!AI188</f>
        <v/>
      </c>
    </row>
    <row r="189" ht="15" customHeight="1" s="30">
      <c r="A189" s="73">
        <f>'U-Net'!A189</f>
        <v/>
      </c>
      <c r="B189" s="45">
        <f>'U-Net'!AH189</f>
        <v/>
      </c>
      <c r="C189" s="45">
        <f>'DeepLabV3+'!AH189</f>
        <v/>
      </c>
      <c r="D189" s="45">
        <f>'YOLO11n-seg'!AH189</f>
        <v/>
      </c>
      <c r="E189" s="46">
        <f>INDEX($B$4:$D$4,MATCH(MAX(B189:D189),B189:D189,0))</f>
        <v/>
      </c>
      <c r="F189" s="45">
        <f>MAX(B189:D189)-MIN(B189:D189)</f>
        <v/>
      </c>
      <c r="G189" s="45">
        <f>'U-Net'!AF189</f>
        <v/>
      </c>
      <c r="H189" s="45">
        <f>'DeepLabV3+'!AF189</f>
        <v/>
      </c>
      <c r="I189" s="45">
        <f>'YOLO11n-seg'!AF189</f>
        <v/>
      </c>
      <c r="J189" s="45">
        <f>'U-Net'!AG189</f>
        <v/>
      </c>
      <c r="K189" s="45">
        <f>'DeepLabV3+'!AG189</f>
        <v/>
      </c>
      <c r="L189" s="45">
        <f>'YOLO11n-seg'!AG189</f>
        <v/>
      </c>
      <c r="M189" s="45">
        <f>'U-Net'!AI189</f>
        <v/>
      </c>
      <c r="N189" s="45">
        <f>'DeepLabV3+'!AI189</f>
        <v/>
      </c>
      <c r="O189" s="45">
        <f>'YOLO11n-seg'!AI189</f>
        <v/>
      </c>
    </row>
    <row r="190" ht="15" customHeight="1" s="30">
      <c r="A190" s="73">
        <f>'U-Net'!A190</f>
        <v/>
      </c>
      <c r="B190" s="45">
        <f>'U-Net'!AH190</f>
        <v/>
      </c>
      <c r="C190" s="45">
        <f>'DeepLabV3+'!AH190</f>
        <v/>
      </c>
      <c r="D190" s="45">
        <f>'YOLO11n-seg'!AH190</f>
        <v/>
      </c>
      <c r="E190" s="46">
        <f>INDEX($B$4:$D$4,MATCH(MAX(B190:D190),B190:D190,0))</f>
        <v/>
      </c>
      <c r="F190" s="45">
        <f>MAX(B190:D190)-MIN(B190:D190)</f>
        <v/>
      </c>
      <c r="G190" s="45">
        <f>'U-Net'!AF190</f>
        <v/>
      </c>
      <c r="H190" s="45">
        <f>'DeepLabV3+'!AF190</f>
        <v/>
      </c>
      <c r="I190" s="45">
        <f>'YOLO11n-seg'!AF190</f>
        <v/>
      </c>
      <c r="J190" s="45">
        <f>'U-Net'!AG190</f>
        <v/>
      </c>
      <c r="K190" s="45">
        <f>'DeepLabV3+'!AG190</f>
        <v/>
      </c>
      <c r="L190" s="45">
        <f>'YOLO11n-seg'!AG190</f>
        <v/>
      </c>
      <c r="M190" s="45">
        <f>'U-Net'!AI190</f>
        <v/>
      </c>
      <c r="N190" s="45">
        <f>'DeepLabV3+'!AI190</f>
        <v/>
      </c>
      <c r="O190" s="45">
        <f>'YOLO11n-seg'!AI190</f>
        <v/>
      </c>
    </row>
    <row r="191" ht="15" customHeight="1" s="30">
      <c r="A191" s="73">
        <f>'U-Net'!A191</f>
        <v/>
      </c>
      <c r="B191" s="45">
        <f>'U-Net'!AH191</f>
        <v/>
      </c>
      <c r="C191" s="45">
        <f>'DeepLabV3+'!AH191</f>
        <v/>
      </c>
      <c r="D191" s="45">
        <f>'YOLO11n-seg'!AH191</f>
        <v/>
      </c>
      <c r="E191" s="46">
        <f>INDEX($B$4:$D$4,MATCH(MAX(B191:D191),B191:D191,0))</f>
        <v/>
      </c>
      <c r="F191" s="45">
        <f>MAX(B191:D191)-MIN(B191:D191)</f>
        <v/>
      </c>
      <c r="G191" s="45">
        <f>'U-Net'!AF191</f>
        <v/>
      </c>
      <c r="H191" s="45">
        <f>'DeepLabV3+'!AF191</f>
        <v/>
      </c>
      <c r="I191" s="45">
        <f>'YOLO11n-seg'!AF191</f>
        <v/>
      </c>
      <c r="J191" s="45">
        <f>'U-Net'!AG191</f>
        <v/>
      </c>
      <c r="K191" s="45">
        <f>'DeepLabV3+'!AG191</f>
        <v/>
      </c>
      <c r="L191" s="45">
        <f>'YOLO11n-seg'!AG191</f>
        <v/>
      </c>
      <c r="M191" s="45">
        <f>'U-Net'!AI191</f>
        <v/>
      </c>
      <c r="N191" s="45">
        <f>'DeepLabV3+'!AI191</f>
        <v/>
      </c>
      <c r="O191" s="45">
        <f>'YOLO11n-seg'!AI191</f>
        <v/>
      </c>
    </row>
    <row r="192" ht="15" customHeight="1" s="30">
      <c r="A192" s="73">
        <f>'U-Net'!A192</f>
        <v/>
      </c>
      <c r="B192" s="45">
        <f>'U-Net'!AH192</f>
        <v/>
      </c>
      <c r="C192" s="45">
        <f>'DeepLabV3+'!AH192</f>
        <v/>
      </c>
      <c r="D192" s="45">
        <f>'YOLO11n-seg'!AH192</f>
        <v/>
      </c>
      <c r="E192" s="46">
        <f>INDEX($B$4:$D$4,MATCH(MAX(B192:D192),B192:D192,0))</f>
        <v/>
      </c>
      <c r="F192" s="45">
        <f>MAX(B192:D192)-MIN(B192:D192)</f>
        <v/>
      </c>
      <c r="G192" s="45">
        <f>'U-Net'!AF192</f>
        <v/>
      </c>
      <c r="H192" s="45">
        <f>'DeepLabV3+'!AF192</f>
        <v/>
      </c>
      <c r="I192" s="45">
        <f>'YOLO11n-seg'!AF192</f>
        <v/>
      </c>
      <c r="J192" s="45">
        <f>'U-Net'!AG192</f>
        <v/>
      </c>
      <c r="K192" s="45">
        <f>'DeepLabV3+'!AG192</f>
        <v/>
      </c>
      <c r="L192" s="45">
        <f>'YOLO11n-seg'!AG192</f>
        <v/>
      </c>
      <c r="M192" s="45">
        <f>'U-Net'!AI192</f>
        <v/>
      </c>
      <c r="N192" s="45">
        <f>'DeepLabV3+'!AI192</f>
        <v/>
      </c>
      <c r="O192" s="45">
        <f>'YOLO11n-seg'!AI192</f>
        <v/>
      </c>
    </row>
    <row r="193" ht="15" customHeight="1" s="30">
      <c r="A193" s="73">
        <f>'U-Net'!A193</f>
        <v/>
      </c>
      <c r="B193" s="45">
        <f>'U-Net'!AH193</f>
        <v/>
      </c>
      <c r="C193" s="45">
        <f>'DeepLabV3+'!AH193</f>
        <v/>
      </c>
      <c r="D193" s="45">
        <f>'YOLO11n-seg'!AH193</f>
        <v/>
      </c>
      <c r="E193" s="46">
        <f>INDEX($B$4:$D$4,MATCH(MAX(B193:D193),B193:D193,0))</f>
        <v/>
      </c>
      <c r="F193" s="45">
        <f>MAX(B193:D193)-MIN(B193:D193)</f>
        <v/>
      </c>
      <c r="G193" s="45">
        <f>'U-Net'!AF193</f>
        <v/>
      </c>
      <c r="H193" s="45">
        <f>'DeepLabV3+'!AF193</f>
        <v/>
      </c>
      <c r="I193" s="45">
        <f>'YOLO11n-seg'!AF193</f>
        <v/>
      </c>
      <c r="J193" s="45">
        <f>'U-Net'!AG193</f>
        <v/>
      </c>
      <c r="K193" s="45">
        <f>'DeepLabV3+'!AG193</f>
        <v/>
      </c>
      <c r="L193" s="45">
        <f>'YOLO11n-seg'!AG193</f>
        <v/>
      </c>
      <c r="M193" s="45">
        <f>'U-Net'!AI193</f>
        <v/>
      </c>
      <c r="N193" s="45">
        <f>'DeepLabV3+'!AI193</f>
        <v/>
      </c>
      <c r="O193" s="45">
        <f>'YOLO11n-seg'!AI193</f>
        <v/>
      </c>
    </row>
    <row r="194" ht="15" customHeight="1" s="30">
      <c r="A194" s="73">
        <f>'U-Net'!A194</f>
        <v/>
      </c>
      <c r="B194" s="45">
        <f>'U-Net'!AH194</f>
        <v/>
      </c>
      <c r="C194" s="45">
        <f>'DeepLabV3+'!AH194</f>
        <v/>
      </c>
      <c r="D194" s="45">
        <f>'YOLO11n-seg'!AH194</f>
        <v/>
      </c>
      <c r="E194" s="46">
        <f>INDEX($B$4:$D$4,MATCH(MAX(B194:D194),B194:D194,0))</f>
        <v/>
      </c>
      <c r="F194" s="45">
        <f>MAX(B194:D194)-MIN(B194:D194)</f>
        <v/>
      </c>
      <c r="G194" s="45">
        <f>'U-Net'!AF194</f>
        <v/>
      </c>
      <c r="H194" s="45">
        <f>'DeepLabV3+'!AF194</f>
        <v/>
      </c>
      <c r="I194" s="45">
        <f>'YOLO11n-seg'!AF194</f>
        <v/>
      </c>
      <c r="J194" s="45">
        <f>'U-Net'!AG194</f>
        <v/>
      </c>
      <c r="K194" s="45">
        <f>'DeepLabV3+'!AG194</f>
        <v/>
      </c>
      <c r="L194" s="45">
        <f>'YOLO11n-seg'!AG194</f>
        <v/>
      </c>
      <c r="M194" s="45">
        <f>'U-Net'!AI194</f>
        <v/>
      </c>
      <c r="N194" s="45">
        <f>'DeepLabV3+'!AI194</f>
        <v/>
      </c>
      <c r="O194" s="45">
        <f>'YOLO11n-seg'!AI194</f>
        <v/>
      </c>
    </row>
    <row r="195" ht="15" customHeight="1" s="30">
      <c r="A195" s="73">
        <f>'U-Net'!A195</f>
        <v/>
      </c>
      <c r="B195" s="45">
        <f>'U-Net'!AH195</f>
        <v/>
      </c>
      <c r="C195" s="45">
        <f>'DeepLabV3+'!AH195</f>
        <v/>
      </c>
      <c r="D195" s="45">
        <f>'YOLO11n-seg'!AH195</f>
        <v/>
      </c>
      <c r="E195" s="46">
        <f>INDEX($B$4:$D$4,MATCH(MAX(B195:D195),B195:D195,0))</f>
        <v/>
      </c>
      <c r="F195" s="45">
        <f>MAX(B195:D195)-MIN(B195:D195)</f>
        <v/>
      </c>
      <c r="G195" s="45">
        <f>'U-Net'!AF195</f>
        <v/>
      </c>
      <c r="H195" s="45">
        <f>'DeepLabV3+'!AF195</f>
        <v/>
      </c>
      <c r="I195" s="45">
        <f>'YOLO11n-seg'!AF195</f>
        <v/>
      </c>
      <c r="J195" s="45">
        <f>'U-Net'!AG195</f>
        <v/>
      </c>
      <c r="K195" s="45">
        <f>'DeepLabV3+'!AG195</f>
        <v/>
      </c>
      <c r="L195" s="45">
        <f>'YOLO11n-seg'!AG195</f>
        <v/>
      </c>
      <c r="M195" s="45">
        <f>'U-Net'!AI195</f>
        <v/>
      </c>
      <c r="N195" s="45">
        <f>'DeepLabV3+'!AI195</f>
        <v/>
      </c>
      <c r="O195" s="45">
        <f>'YOLO11n-seg'!AI195</f>
        <v/>
      </c>
    </row>
    <row r="196" ht="15" customHeight="1" s="30">
      <c r="A196" s="73">
        <f>'U-Net'!A196</f>
        <v/>
      </c>
      <c r="B196" s="45">
        <f>'U-Net'!AH196</f>
        <v/>
      </c>
      <c r="C196" s="45">
        <f>'DeepLabV3+'!AH196</f>
        <v/>
      </c>
      <c r="D196" s="45">
        <f>'YOLO11n-seg'!AH196</f>
        <v/>
      </c>
      <c r="E196" s="46">
        <f>INDEX($B$4:$D$4,MATCH(MAX(B196:D196),B196:D196,0))</f>
        <v/>
      </c>
      <c r="F196" s="45">
        <f>MAX(B196:D196)-MIN(B196:D196)</f>
        <v/>
      </c>
      <c r="G196" s="45">
        <f>'U-Net'!AF196</f>
        <v/>
      </c>
      <c r="H196" s="45">
        <f>'DeepLabV3+'!AF196</f>
        <v/>
      </c>
      <c r="I196" s="45">
        <f>'YOLO11n-seg'!AF196</f>
        <v/>
      </c>
      <c r="J196" s="45">
        <f>'U-Net'!AG196</f>
        <v/>
      </c>
      <c r="K196" s="45">
        <f>'DeepLabV3+'!AG196</f>
        <v/>
      </c>
      <c r="L196" s="45">
        <f>'YOLO11n-seg'!AG196</f>
        <v/>
      </c>
      <c r="M196" s="45">
        <f>'U-Net'!AI196</f>
        <v/>
      </c>
      <c r="N196" s="45">
        <f>'DeepLabV3+'!AI196</f>
        <v/>
      </c>
      <c r="O196" s="45">
        <f>'YOLO11n-seg'!AI196</f>
        <v/>
      </c>
    </row>
    <row r="197" ht="15" customHeight="1" s="30">
      <c r="A197" s="73">
        <f>'U-Net'!A197</f>
        <v/>
      </c>
      <c r="B197" s="45">
        <f>'U-Net'!AH197</f>
        <v/>
      </c>
      <c r="C197" s="45">
        <f>'DeepLabV3+'!AH197</f>
        <v/>
      </c>
      <c r="D197" s="45">
        <f>'YOLO11n-seg'!AH197</f>
        <v/>
      </c>
      <c r="E197" s="46">
        <f>INDEX($B$4:$D$4,MATCH(MAX(B197:D197),B197:D197,0))</f>
        <v/>
      </c>
      <c r="F197" s="45">
        <f>MAX(B197:D197)-MIN(B197:D197)</f>
        <v/>
      </c>
      <c r="G197" s="45">
        <f>'U-Net'!AF197</f>
        <v/>
      </c>
      <c r="H197" s="45">
        <f>'DeepLabV3+'!AF197</f>
        <v/>
      </c>
      <c r="I197" s="45">
        <f>'YOLO11n-seg'!AF197</f>
        <v/>
      </c>
      <c r="J197" s="45">
        <f>'U-Net'!AG197</f>
        <v/>
      </c>
      <c r="K197" s="45">
        <f>'DeepLabV3+'!AG197</f>
        <v/>
      </c>
      <c r="L197" s="45">
        <f>'YOLO11n-seg'!AG197</f>
        <v/>
      </c>
      <c r="M197" s="45">
        <f>'U-Net'!AI197</f>
        <v/>
      </c>
      <c r="N197" s="45">
        <f>'DeepLabV3+'!AI197</f>
        <v/>
      </c>
      <c r="O197" s="45">
        <f>'YOLO11n-seg'!AI197</f>
        <v/>
      </c>
    </row>
    <row r="198" ht="15" customHeight="1" s="30">
      <c r="A198" s="73">
        <f>'U-Net'!A198</f>
        <v/>
      </c>
      <c r="B198" s="45">
        <f>'U-Net'!AH198</f>
        <v/>
      </c>
      <c r="C198" s="45">
        <f>'DeepLabV3+'!AH198</f>
        <v/>
      </c>
      <c r="D198" s="45">
        <f>'YOLO11n-seg'!AH198</f>
        <v/>
      </c>
      <c r="E198" s="46">
        <f>INDEX($B$4:$D$4,MATCH(MAX(B198:D198),B198:D198,0))</f>
        <v/>
      </c>
      <c r="F198" s="45">
        <f>MAX(B198:D198)-MIN(B198:D198)</f>
        <v/>
      </c>
      <c r="G198" s="45">
        <f>'U-Net'!AF198</f>
        <v/>
      </c>
      <c r="H198" s="45">
        <f>'DeepLabV3+'!AF198</f>
        <v/>
      </c>
      <c r="I198" s="45">
        <f>'YOLO11n-seg'!AF198</f>
        <v/>
      </c>
      <c r="J198" s="45">
        <f>'U-Net'!AG198</f>
        <v/>
      </c>
      <c r="K198" s="45">
        <f>'DeepLabV3+'!AG198</f>
        <v/>
      </c>
      <c r="L198" s="45">
        <f>'YOLO11n-seg'!AG198</f>
        <v/>
      </c>
      <c r="M198" s="45">
        <f>'U-Net'!AI198</f>
        <v/>
      </c>
      <c r="N198" s="45">
        <f>'DeepLabV3+'!AI198</f>
        <v/>
      </c>
      <c r="O198" s="45">
        <f>'YOLO11n-seg'!AI198</f>
        <v/>
      </c>
    </row>
    <row r="199" ht="15" customHeight="1" s="30">
      <c r="A199" s="73">
        <f>'U-Net'!A199</f>
        <v/>
      </c>
      <c r="B199" s="45">
        <f>'U-Net'!AH199</f>
        <v/>
      </c>
      <c r="C199" s="45">
        <f>'DeepLabV3+'!AH199</f>
        <v/>
      </c>
      <c r="D199" s="45">
        <f>'YOLO11n-seg'!AH199</f>
        <v/>
      </c>
      <c r="E199" s="46">
        <f>INDEX($B$4:$D$4,MATCH(MAX(B199:D199),B199:D199,0))</f>
        <v/>
      </c>
      <c r="F199" s="45">
        <f>MAX(B199:D199)-MIN(B199:D199)</f>
        <v/>
      </c>
      <c r="G199" s="45">
        <f>'U-Net'!AF199</f>
        <v/>
      </c>
      <c r="H199" s="45">
        <f>'DeepLabV3+'!AF199</f>
        <v/>
      </c>
      <c r="I199" s="45">
        <f>'YOLO11n-seg'!AF199</f>
        <v/>
      </c>
      <c r="J199" s="45">
        <f>'U-Net'!AG199</f>
        <v/>
      </c>
      <c r="K199" s="45">
        <f>'DeepLabV3+'!AG199</f>
        <v/>
      </c>
      <c r="L199" s="45">
        <f>'YOLO11n-seg'!AG199</f>
        <v/>
      </c>
      <c r="M199" s="45">
        <f>'U-Net'!AI199</f>
        <v/>
      </c>
      <c r="N199" s="45">
        <f>'DeepLabV3+'!AI199</f>
        <v/>
      </c>
      <c r="O199" s="45">
        <f>'YOLO11n-seg'!AI199</f>
        <v/>
      </c>
    </row>
    <row r="200" ht="15" customHeight="1" s="30">
      <c r="A200" s="73">
        <f>'U-Net'!A200</f>
        <v/>
      </c>
      <c r="B200" s="45">
        <f>'U-Net'!AH200</f>
        <v/>
      </c>
      <c r="C200" s="45">
        <f>'DeepLabV3+'!AH200</f>
        <v/>
      </c>
      <c r="D200" s="45">
        <f>'YOLO11n-seg'!AH200</f>
        <v/>
      </c>
      <c r="E200" s="46">
        <f>INDEX($B$4:$D$4,MATCH(MAX(B200:D200),B200:D200,0))</f>
        <v/>
      </c>
      <c r="F200" s="45">
        <f>MAX(B200:D200)-MIN(B200:D200)</f>
        <v/>
      </c>
      <c r="G200" s="45">
        <f>'U-Net'!AF200</f>
        <v/>
      </c>
      <c r="H200" s="45">
        <f>'DeepLabV3+'!AF200</f>
        <v/>
      </c>
      <c r="I200" s="45">
        <f>'YOLO11n-seg'!AF200</f>
        <v/>
      </c>
      <c r="J200" s="45">
        <f>'U-Net'!AG200</f>
        <v/>
      </c>
      <c r="K200" s="45">
        <f>'DeepLabV3+'!AG200</f>
        <v/>
      </c>
      <c r="L200" s="45">
        <f>'YOLO11n-seg'!AG200</f>
        <v/>
      </c>
      <c r="M200" s="45">
        <f>'U-Net'!AI200</f>
        <v/>
      </c>
      <c r="N200" s="45">
        <f>'DeepLabV3+'!AI200</f>
        <v/>
      </c>
      <c r="O200" s="45">
        <f>'YOLO11n-seg'!AI200</f>
        <v/>
      </c>
    </row>
    <row r="201" ht="15" customHeight="1" s="30">
      <c r="A201" s="73">
        <f>'U-Net'!A201</f>
        <v/>
      </c>
      <c r="B201" s="45">
        <f>'U-Net'!AH201</f>
        <v/>
      </c>
      <c r="C201" s="45">
        <f>'DeepLabV3+'!AH201</f>
        <v/>
      </c>
      <c r="D201" s="45">
        <f>'YOLO11n-seg'!AH201</f>
        <v/>
      </c>
      <c r="E201" s="46">
        <f>INDEX($B$4:$D$4,MATCH(MAX(B201:D201),B201:D201,0))</f>
        <v/>
      </c>
      <c r="F201" s="45">
        <f>MAX(B201:D201)-MIN(B201:D201)</f>
        <v/>
      </c>
      <c r="G201" s="45">
        <f>'U-Net'!AF201</f>
        <v/>
      </c>
      <c r="H201" s="45">
        <f>'DeepLabV3+'!AF201</f>
        <v/>
      </c>
      <c r="I201" s="45">
        <f>'YOLO11n-seg'!AF201</f>
        <v/>
      </c>
      <c r="J201" s="45">
        <f>'U-Net'!AG201</f>
        <v/>
      </c>
      <c r="K201" s="45">
        <f>'DeepLabV3+'!AG201</f>
        <v/>
      </c>
      <c r="L201" s="45">
        <f>'YOLO11n-seg'!AG201</f>
        <v/>
      </c>
      <c r="M201" s="45">
        <f>'U-Net'!AI201</f>
        <v/>
      </c>
      <c r="N201" s="45">
        <f>'DeepLabV3+'!AI201</f>
        <v/>
      </c>
      <c r="O201" s="45">
        <f>'YOLO11n-seg'!AI201</f>
        <v/>
      </c>
    </row>
    <row r="202" ht="15" customHeight="1" s="30">
      <c r="A202" s="73">
        <f>'U-Net'!A202</f>
        <v/>
      </c>
      <c r="B202" s="45">
        <f>'U-Net'!AH202</f>
        <v/>
      </c>
      <c r="C202" s="45">
        <f>'DeepLabV3+'!AH202</f>
        <v/>
      </c>
      <c r="D202" s="45">
        <f>'YOLO11n-seg'!AH202</f>
        <v/>
      </c>
      <c r="E202" s="46">
        <f>INDEX($B$4:$D$4,MATCH(MAX(B202:D202),B202:D202,0))</f>
        <v/>
      </c>
      <c r="F202" s="45">
        <f>MAX(B202:D202)-MIN(B202:D202)</f>
        <v/>
      </c>
      <c r="G202" s="45">
        <f>'U-Net'!AF202</f>
        <v/>
      </c>
      <c r="H202" s="45">
        <f>'DeepLabV3+'!AF202</f>
        <v/>
      </c>
      <c r="I202" s="45">
        <f>'YOLO11n-seg'!AF202</f>
        <v/>
      </c>
      <c r="J202" s="45">
        <f>'U-Net'!AG202</f>
        <v/>
      </c>
      <c r="K202" s="45">
        <f>'DeepLabV3+'!AG202</f>
        <v/>
      </c>
      <c r="L202" s="45">
        <f>'YOLO11n-seg'!AG202</f>
        <v/>
      </c>
      <c r="M202" s="45">
        <f>'U-Net'!AI202</f>
        <v/>
      </c>
      <c r="N202" s="45">
        <f>'DeepLabV3+'!AI202</f>
        <v/>
      </c>
      <c r="O202" s="45">
        <f>'YOLO11n-seg'!AI202</f>
        <v/>
      </c>
    </row>
    <row r="203" ht="15" customHeight="1" s="30">
      <c r="A203" s="73">
        <f>'U-Net'!A203</f>
        <v/>
      </c>
      <c r="B203" s="45">
        <f>'U-Net'!AH203</f>
        <v/>
      </c>
      <c r="C203" s="45">
        <f>'DeepLabV3+'!AH203</f>
        <v/>
      </c>
      <c r="D203" s="45">
        <f>'YOLO11n-seg'!AH203</f>
        <v/>
      </c>
      <c r="E203" s="46">
        <f>INDEX($B$4:$D$4,MATCH(MAX(B203:D203),B203:D203,0))</f>
        <v/>
      </c>
      <c r="F203" s="45">
        <f>MAX(B203:D203)-MIN(B203:D203)</f>
        <v/>
      </c>
      <c r="G203" s="45">
        <f>'U-Net'!AF203</f>
        <v/>
      </c>
      <c r="H203" s="45">
        <f>'DeepLabV3+'!AF203</f>
        <v/>
      </c>
      <c r="I203" s="45">
        <f>'YOLO11n-seg'!AF203</f>
        <v/>
      </c>
      <c r="J203" s="45">
        <f>'U-Net'!AG203</f>
        <v/>
      </c>
      <c r="K203" s="45">
        <f>'DeepLabV3+'!AG203</f>
        <v/>
      </c>
      <c r="L203" s="45">
        <f>'YOLO11n-seg'!AG203</f>
        <v/>
      </c>
      <c r="M203" s="45">
        <f>'U-Net'!AI203</f>
        <v/>
      </c>
      <c r="N203" s="45">
        <f>'DeepLabV3+'!AI203</f>
        <v/>
      </c>
      <c r="O203" s="45">
        <f>'YOLO11n-seg'!AI203</f>
        <v/>
      </c>
    </row>
    <row r="204" ht="15" customHeight="1" s="30">
      <c r="A204" s="73">
        <f>'U-Net'!A204</f>
        <v/>
      </c>
      <c r="B204" s="45">
        <f>'U-Net'!AH204</f>
        <v/>
      </c>
      <c r="C204" s="45">
        <f>'DeepLabV3+'!AH204</f>
        <v/>
      </c>
      <c r="D204" s="45">
        <f>'YOLO11n-seg'!AH204</f>
        <v/>
      </c>
      <c r="E204" s="46">
        <f>INDEX($B$4:$D$4,MATCH(MAX(B204:D204),B204:D204,0))</f>
        <v/>
      </c>
      <c r="F204" s="45">
        <f>MAX(B204:D204)-MIN(B204:D204)</f>
        <v/>
      </c>
      <c r="G204" s="45">
        <f>'U-Net'!AF204</f>
        <v/>
      </c>
      <c r="H204" s="45">
        <f>'DeepLabV3+'!AF204</f>
        <v/>
      </c>
      <c r="I204" s="45">
        <f>'YOLO11n-seg'!AF204</f>
        <v/>
      </c>
      <c r="J204" s="45">
        <f>'U-Net'!AG204</f>
        <v/>
      </c>
      <c r="K204" s="45">
        <f>'DeepLabV3+'!AG204</f>
        <v/>
      </c>
      <c r="L204" s="45">
        <f>'YOLO11n-seg'!AG204</f>
        <v/>
      </c>
      <c r="M204" s="45">
        <f>'U-Net'!AI204</f>
        <v/>
      </c>
      <c r="N204" s="45">
        <f>'DeepLabV3+'!AI204</f>
        <v/>
      </c>
      <c r="O204" s="45">
        <f>'YOLO11n-seg'!AI204</f>
        <v/>
      </c>
    </row>
    <row r="205" ht="15" customHeight="1" s="30">
      <c r="A205" s="73">
        <f>'U-Net'!A205</f>
        <v/>
      </c>
      <c r="B205" s="45">
        <f>'U-Net'!AH205</f>
        <v/>
      </c>
      <c r="C205" s="45">
        <f>'DeepLabV3+'!AH205</f>
        <v/>
      </c>
      <c r="D205" s="45">
        <f>'YOLO11n-seg'!AH205</f>
        <v/>
      </c>
      <c r="E205" s="46">
        <f>INDEX($B$4:$D$4,MATCH(MAX(B205:D205),B205:D205,0))</f>
        <v/>
      </c>
      <c r="F205" s="45">
        <f>MAX(B205:D205)-MIN(B205:D205)</f>
        <v/>
      </c>
      <c r="G205" s="45">
        <f>'U-Net'!AF205</f>
        <v/>
      </c>
      <c r="H205" s="45">
        <f>'DeepLabV3+'!AF205</f>
        <v/>
      </c>
      <c r="I205" s="45">
        <f>'YOLO11n-seg'!AF205</f>
        <v/>
      </c>
      <c r="J205" s="45">
        <f>'U-Net'!AG205</f>
        <v/>
      </c>
      <c r="K205" s="45">
        <f>'DeepLabV3+'!AG205</f>
        <v/>
      </c>
      <c r="L205" s="45">
        <f>'YOLO11n-seg'!AG205</f>
        <v/>
      </c>
      <c r="M205" s="45">
        <f>'U-Net'!AI205</f>
        <v/>
      </c>
      <c r="N205" s="45">
        <f>'DeepLabV3+'!AI205</f>
        <v/>
      </c>
      <c r="O205" s="45">
        <f>'YOLO11n-seg'!AI205</f>
        <v/>
      </c>
    </row>
    <row r="206" ht="15" customHeight="1" s="30">
      <c r="A206" s="73">
        <f>'U-Net'!A206</f>
        <v/>
      </c>
      <c r="B206" s="45">
        <f>'U-Net'!AH206</f>
        <v/>
      </c>
      <c r="C206" s="45">
        <f>'DeepLabV3+'!AH206</f>
        <v/>
      </c>
      <c r="D206" s="45">
        <f>'YOLO11n-seg'!AH206</f>
        <v/>
      </c>
      <c r="E206" s="46">
        <f>INDEX($B$4:$D$4,MATCH(MAX(B206:D206),B206:D206,0))</f>
        <v/>
      </c>
      <c r="F206" s="45">
        <f>MAX(B206:D206)-MIN(B206:D206)</f>
        <v/>
      </c>
      <c r="G206" s="45">
        <f>'U-Net'!AF206</f>
        <v/>
      </c>
      <c r="H206" s="45">
        <f>'DeepLabV3+'!AF206</f>
        <v/>
      </c>
      <c r="I206" s="45">
        <f>'YOLO11n-seg'!AF206</f>
        <v/>
      </c>
      <c r="J206" s="45">
        <f>'U-Net'!AG206</f>
        <v/>
      </c>
      <c r="K206" s="45">
        <f>'DeepLabV3+'!AG206</f>
        <v/>
      </c>
      <c r="L206" s="45">
        <f>'YOLO11n-seg'!AG206</f>
        <v/>
      </c>
      <c r="M206" s="45">
        <f>'U-Net'!AI206</f>
        <v/>
      </c>
      <c r="N206" s="45">
        <f>'DeepLabV3+'!AI206</f>
        <v/>
      </c>
      <c r="O206" s="45">
        <f>'YOLO11n-seg'!AI206</f>
        <v/>
      </c>
    </row>
    <row r="207" ht="15" customHeight="1" s="30">
      <c r="A207" s="73">
        <f>'U-Net'!A207</f>
        <v/>
      </c>
      <c r="B207" s="45">
        <f>'U-Net'!AH207</f>
        <v/>
      </c>
      <c r="C207" s="45">
        <f>'DeepLabV3+'!AH207</f>
        <v/>
      </c>
      <c r="D207" s="45">
        <f>'YOLO11n-seg'!AH207</f>
        <v/>
      </c>
      <c r="E207" s="46">
        <f>INDEX($B$4:$D$4,MATCH(MAX(B207:D207),B207:D207,0))</f>
        <v/>
      </c>
      <c r="F207" s="45">
        <f>MAX(B207:D207)-MIN(B207:D207)</f>
        <v/>
      </c>
      <c r="G207" s="45">
        <f>'U-Net'!AF207</f>
        <v/>
      </c>
      <c r="H207" s="45">
        <f>'DeepLabV3+'!AF207</f>
        <v/>
      </c>
      <c r="I207" s="45">
        <f>'YOLO11n-seg'!AF207</f>
        <v/>
      </c>
      <c r="J207" s="45">
        <f>'U-Net'!AG207</f>
        <v/>
      </c>
      <c r="K207" s="45">
        <f>'DeepLabV3+'!AG207</f>
        <v/>
      </c>
      <c r="L207" s="45">
        <f>'YOLO11n-seg'!AG207</f>
        <v/>
      </c>
      <c r="M207" s="45">
        <f>'U-Net'!AI207</f>
        <v/>
      </c>
      <c r="N207" s="45">
        <f>'DeepLabV3+'!AI207</f>
        <v/>
      </c>
      <c r="O207" s="45">
        <f>'YOLO11n-seg'!AI207</f>
        <v/>
      </c>
    </row>
    <row r="208" ht="15" customHeight="1" s="30">
      <c r="A208" s="73">
        <f>'U-Net'!A208</f>
        <v/>
      </c>
      <c r="B208" s="45">
        <f>'U-Net'!AH208</f>
        <v/>
      </c>
      <c r="C208" s="45">
        <f>'DeepLabV3+'!AH208</f>
        <v/>
      </c>
      <c r="D208" s="45">
        <f>'YOLO11n-seg'!AH208</f>
        <v/>
      </c>
      <c r="E208" s="46">
        <f>INDEX($B$4:$D$4,MATCH(MAX(B208:D208),B208:D208,0))</f>
        <v/>
      </c>
      <c r="F208" s="45">
        <f>MAX(B208:D208)-MIN(B208:D208)</f>
        <v/>
      </c>
      <c r="G208" s="45">
        <f>'U-Net'!AF208</f>
        <v/>
      </c>
      <c r="H208" s="45">
        <f>'DeepLabV3+'!AF208</f>
        <v/>
      </c>
      <c r="I208" s="45">
        <f>'YOLO11n-seg'!AF208</f>
        <v/>
      </c>
      <c r="J208" s="45">
        <f>'U-Net'!AG208</f>
        <v/>
      </c>
      <c r="K208" s="45">
        <f>'DeepLabV3+'!AG208</f>
        <v/>
      </c>
      <c r="L208" s="45">
        <f>'YOLO11n-seg'!AG208</f>
        <v/>
      </c>
      <c r="M208" s="45">
        <f>'U-Net'!AI208</f>
        <v/>
      </c>
      <c r="N208" s="45">
        <f>'DeepLabV3+'!AI208</f>
        <v/>
      </c>
      <c r="O208" s="45">
        <f>'YOLO11n-seg'!AI208</f>
        <v/>
      </c>
    </row>
    <row r="209" ht="15" customHeight="1" s="30">
      <c r="A209" s="73">
        <f>'U-Net'!A209</f>
        <v/>
      </c>
      <c r="B209" s="45">
        <f>'U-Net'!AH209</f>
        <v/>
      </c>
      <c r="C209" s="45">
        <f>'DeepLabV3+'!AH209</f>
        <v/>
      </c>
      <c r="D209" s="45">
        <f>'YOLO11n-seg'!AH209</f>
        <v/>
      </c>
      <c r="E209" s="46">
        <f>INDEX($B$4:$D$4,MATCH(MAX(B209:D209),B209:D209,0))</f>
        <v/>
      </c>
      <c r="F209" s="45">
        <f>MAX(B209:D209)-MIN(B209:D209)</f>
        <v/>
      </c>
      <c r="G209" s="45">
        <f>'U-Net'!AF209</f>
        <v/>
      </c>
      <c r="H209" s="45">
        <f>'DeepLabV3+'!AF209</f>
        <v/>
      </c>
      <c r="I209" s="45">
        <f>'YOLO11n-seg'!AF209</f>
        <v/>
      </c>
      <c r="J209" s="45">
        <f>'U-Net'!AG209</f>
        <v/>
      </c>
      <c r="K209" s="45">
        <f>'DeepLabV3+'!AG209</f>
        <v/>
      </c>
      <c r="L209" s="45">
        <f>'YOLO11n-seg'!AG209</f>
        <v/>
      </c>
      <c r="M209" s="45">
        <f>'U-Net'!AI209</f>
        <v/>
      </c>
      <c r="N209" s="45">
        <f>'DeepLabV3+'!AI209</f>
        <v/>
      </c>
      <c r="O209" s="45">
        <f>'YOLO11n-seg'!AI209</f>
        <v/>
      </c>
    </row>
    <row r="210" ht="15" customHeight="1" s="30">
      <c r="A210" s="73">
        <f>'U-Net'!A210</f>
        <v/>
      </c>
      <c r="B210" s="45">
        <f>'U-Net'!AH210</f>
        <v/>
      </c>
      <c r="C210" s="45">
        <f>'DeepLabV3+'!AH210</f>
        <v/>
      </c>
      <c r="D210" s="45">
        <f>'YOLO11n-seg'!AH210</f>
        <v/>
      </c>
      <c r="E210" s="46">
        <f>INDEX($B$4:$D$4,MATCH(MAX(B210:D210),B210:D210,0))</f>
        <v/>
      </c>
      <c r="F210" s="45">
        <f>MAX(B210:D210)-MIN(B210:D210)</f>
        <v/>
      </c>
      <c r="G210" s="45">
        <f>'U-Net'!AF210</f>
        <v/>
      </c>
      <c r="H210" s="45">
        <f>'DeepLabV3+'!AF210</f>
        <v/>
      </c>
      <c r="I210" s="45">
        <f>'YOLO11n-seg'!AF210</f>
        <v/>
      </c>
      <c r="J210" s="45">
        <f>'U-Net'!AG210</f>
        <v/>
      </c>
      <c r="K210" s="45">
        <f>'DeepLabV3+'!AG210</f>
        <v/>
      </c>
      <c r="L210" s="45">
        <f>'YOLO11n-seg'!AG210</f>
        <v/>
      </c>
      <c r="M210" s="45">
        <f>'U-Net'!AI210</f>
        <v/>
      </c>
      <c r="N210" s="45">
        <f>'DeepLabV3+'!AI210</f>
        <v/>
      </c>
      <c r="O210" s="45">
        <f>'YOLO11n-seg'!AI210</f>
        <v/>
      </c>
    </row>
    <row r="211" ht="15" customHeight="1" s="30">
      <c r="A211" s="73">
        <f>'U-Net'!A211</f>
        <v/>
      </c>
      <c r="B211" s="45">
        <f>'U-Net'!AH211</f>
        <v/>
      </c>
      <c r="C211" s="45">
        <f>'DeepLabV3+'!AH211</f>
        <v/>
      </c>
      <c r="D211" s="45">
        <f>'YOLO11n-seg'!AH211</f>
        <v/>
      </c>
      <c r="E211" s="46">
        <f>INDEX($B$4:$D$4,MATCH(MAX(B211:D211),B211:D211,0))</f>
        <v/>
      </c>
      <c r="F211" s="45">
        <f>MAX(B211:D211)-MIN(B211:D211)</f>
        <v/>
      </c>
      <c r="G211" s="45">
        <f>'U-Net'!AF211</f>
        <v/>
      </c>
      <c r="H211" s="45">
        <f>'DeepLabV3+'!AF211</f>
        <v/>
      </c>
      <c r="I211" s="45">
        <f>'YOLO11n-seg'!AF211</f>
        <v/>
      </c>
      <c r="J211" s="45">
        <f>'U-Net'!AG211</f>
        <v/>
      </c>
      <c r="K211" s="45">
        <f>'DeepLabV3+'!AG211</f>
        <v/>
      </c>
      <c r="L211" s="45">
        <f>'YOLO11n-seg'!AG211</f>
        <v/>
      </c>
      <c r="M211" s="45">
        <f>'U-Net'!AI211</f>
        <v/>
      </c>
      <c r="N211" s="45">
        <f>'DeepLabV3+'!AI211</f>
        <v/>
      </c>
      <c r="O211" s="45">
        <f>'YOLO11n-seg'!AI211</f>
        <v/>
      </c>
    </row>
    <row r="212" ht="15" customHeight="1" s="30">
      <c r="A212" s="73">
        <f>'U-Net'!A212</f>
        <v/>
      </c>
      <c r="B212" s="45">
        <f>'U-Net'!AH212</f>
        <v/>
      </c>
      <c r="C212" s="45">
        <f>'DeepLabV3+'!AH212</f>
        <v/>
      </c>
      <c r="D212" s="45">
        <f>'YOLO11n-seg'!AH212</f>
        <v/>
      </c>
      <c r="E212" s="46">
        <f>INDEX($B$4:$D$4,MATCH(MAX(B212:D212),B212:D212,0))</f>
        <v/>
      </c>
      <c r="F212" s="45">
        <f>MAX(B212:D212)-MIN(B212:D212)</f>
        <v/>
      </c>
      <c r="G212" s="45">
        <f>'U-Net'!AF212</f>
        <v/>
      </c>
      <c r="H212" s="45">
        <f>'DeepLabV3+'!AF212</f>
        <v/>
      </c>
      <c r="I212" s="45">
        <f>'YOLO11n-seg'!AF212</f>
        <v/>
      </c>
      <c r="J212" s="45">
        <f>'U-Net'!AG212</f>
        <v/>
      </c>
      <c r="K212" s="45">
        <f>'DeepLabV3+'!AG212</f>
        <v/>
      </c>
      <c r="L212" s="45">
        <f>'YOLO11n-seg'!AG212</f>
        <v/>
      </c>
      <c r="M212" s="45">
        <f>'U-Net'!AI212</f>
        <v/>
      </c>
      <c r="N212" s="45">
        <f>'DeepLabV3+'!AI212</f>
        <v/>
      </c>
      <c r="O212" s="45">
        <f>'YOLO11n-seg'!AI212</f>
        <v/>
      </c>
    </row>
    <row r="213" ht="15" customHeight="1" s="30">
      <c r="A213" s="73">
        <f>'U-Net'!A213</f>
        <v/>
      </c>
      <c r="B213" s="45">
        <f>'U-Net'!AH213</f>
        <v/>
      </c>
      <c r="C213" s="45">
        <f>'DeepLabV3+'!AH213</f>
        <v/>
      </c>
      <c r="D213" s="45">
        <f>'YOLO11n-seg'!AH213</f>
        <v/>
      </c>
      <c r="E213" s="46">
        <f>INDEX($B$4:$D$4,MATCH(MAX(B213:D213),B213:D213,0))</f>
        <v/>
      </c>
      <c r="F213" s="45">
        <f>MAX(B213:D213)-MIN(B213:D213)</f>
        <v/>
      </c>
      <c r="G213" s="45">
        <f>'U-Net'!AF213</f>
        <v/>
      </c>
      <c r="H213" s="45">
        <f>'DeepLabV3+'!AF213</f>
        <v/>
      </c>
      <c r="I213" s="45">
        <f>'YOLO11n-seg'!AF213</f>
        <v/>
      </c>
      <c r="J213" s="45">
        <f>'U-Net'!AG213</f>
        <v/>
      </c>
      <c r="K213" s="45">
        <f>'DeepLabV3+'!AG213</f>
        <v/>
      </c>
      <c r="L213" s="45">
        <f>'YOLO11n-seg'!AG213</f>
        <v/>
      </c>
      <c r="M213" s="45">
        <f>'U-Net'!AI213</f>
        <v/>
      </c>
      <c r="N213" s="45">
        <f>'DeepLabV3+'!AI213</f>
        <v/>
      </c>
      <c r="O213" s="45">
        <f>'YOLO11n-seg'!AI213</f>
        <v/>
      </c>
    </row>
    <row r="214" ht="15" customHeight="1" s="30">
      <c r="A214" s="73">
        <f>'U-Net'!A214</f>
        <v/>
      </c>
      <c r="B214" s="45">
        <f>'U-Net'!AH214</f>
        <v/>
      </c>
      <c r="C214" s="45">
        <f>'DeepLabV3+'!AH214</f>
        <v/>
      </c>
      <c r="D214" s="45">
        <f>'YOLO11n-seg'!AH214</f>
        <v/>
      </c>
      <c r="E214" s="46">
        <f>INDEX($B$4:$D$4,MATCH(MAX(B214:D214),B214:D214,0))</f>
        <v/>
      </c>
      <c r="F214" s="45">
        <f>MAX(B214:D214)-MIN(B214:D214)</f>
        <v/>
      </c>
      <c r="G214" s="45">
        <f>'U-Net'!AF214</f>
        <v/>
      </c>
      <c r="H214" s="45">
        <f>'DeepLabV3+'!AF214</f>
        <v/>
      </c>
      <c r="I214" s="45">
        <f>'YOLO11n-seg'!AF214</f>
        <v/>
      </c>
      <c r="J214" s="45">
        <f>'U-Net'!AG214</f>
        <v/>
      </c>
      <c r="K214" s="45">
        <f>'DeepLabV3+'!AG214</f>
        <v/>
      </c>
      <c r="L214" s="45">
        <f>'YOLO11n-seg'!AG214</f>
        <v/>
      </c>
      <c r="M214" s="45">
        <f>'U-Net'!AI214</f>
        <v/>
      </c>
      <c r="N214" s="45">
        <f>'DeepLabV3+'!AI214</f>
        <v/>
      </c>
      <c r="O214" s="45">
        <f>'YOLO11n-seg'!AI214</f>
        <v/>
      </c>
    </row>
    <row r="215" ht="15" customHeight="1" s="30">
      <c r="A215" s="73">
        <f>'U-Net'!A215</f>
        <v/>
      </c>
      <c r="B215" s="45">
        <f>'U-Net'!AH215</f>
        <v/>
      </c>
      <c r="C215" s="45">
        <f>'DeepLabV3+'!AH215</f>
        <v/>
      </c>
      <c r="D215" s="45">
        <f>'YOLO11n-seg'!AH215</f>
        <v/>
      </c>
      <c r="E215" s="46">
        <f>INDEX($B$4:$D$4,MATCH(MAX(B215:D215),B215:D215,0))</f>
        <v/>
      </c>
      <c r="F215" s="45">
        <f>MAX(B215:D215)-MIN(B215:D215)</f>
        <v/>
      </c>
      <c r="G215" s="45">
        <f>'U-Net'!AF215</f>
        <v/>
      </c>
      <c r="H215" s="45">
        <f>'DeepLabV3+'!AF215</f>
        <v/>
      </c>
      <c r="I215" s="45">
        <f>'YOLO11n-seg'!AF215</f>
        <v/>
      </c>
      <c r="J215" s="45">
        <f>'U-Net'!AG215</f>
        <v/>
      </c>
      <c r="K215" s="45">
        <f>'DeepLabV3+'!AG215</f>
        <v/>
      </c>
      <c r="L215" s="45">
        <f>'YOLO11n-seg'!AG215</f>
        <v/>
      </c>
      <c r="M215" s="45">
        <f>'U-Net'!AI215</f>
        <v/>
      </c>
      <c r="N215" s="45">
        <f>'DeepLabV3+'!AI215</f>
        <v/>
      </c>
      <c r="O215" s="45">
        <f>'YOLO11n-seg'!AI215</f>
        <v/>
      </c>
    </row>
    <row r="216" ht="15" customHeight="1" s="30">
      <c r="A216" s="73">
        <f>'U-Net'!A216</f>
        <v/>
      </c>
      <c r="B216" s="45">
        <f>'U-Net'!AH216</f>
        <v/>
      </c>
      <c r="C216" s="45">
        <f>'DeepLabV3+'!AH216</f>
        <v/>
      </c>
      <c r="D216" s="45">
        <f>'YOLO11n-seg'!AH216</f>
        <v/>
      </c>
      <c r="E216" s="46">
        <f>INDEX($B$4:$D$4,MATCH(MAX(B216:D216),B216:D216,0))</f>
        <v/>
      </c>
      <c r="F216" s="45">
        <f>MAX(B216:D216)-MIN(B216:D216)</f>
        <v/>
      </c>
      <c r="G216" s="45">
        <f>'U-Net'!AF216</f>
        <v/>
      </c>
      <c r="H216" s="45">
        <f>'DeepLabV3+'!AF216</f>
        <v/>
      </c>
      <c r="I216" s="45">
        <f>'YOLO11n-seg'!AF216</f>
        <v/>
      </c>
      <c r="J216" s="45">
        <f>'U-Net'!AG216</f>
        <v/>
      </c>
      <c r="K216" s="45">
        <f>'DeepLabV3+'!AG216</f>
        <v/>
      </c>
      <c r="L216" s="45">
        <f>'YOLO11n-seg'!AG216</f>
        <v/>
      </c>
      <c r="M216" s="45">
        <f>'U-Net'!AI216</f>
        <v/>
      </c>
      <c r="N216" s="45">
        <f>'DeepLabV3+'!AI216</f>
        <v/>
      </c>
      <c r="O216" s="45">
        <f>'YOLO11n-seg'!AI216</f>
        <v/>
      </c>
    </row>
    <row r="217" ht="15" customHeight="1" s="30">
      <c r="A217" s="73">
        <f>'U-Net'!A217</f>
        <v/>
      </c>
      <c r="B217" s="45">
        <f>'U-Net'!AH217</f>
        <v/>
      </c>
      <c r="C217" s="45">
        <f>'DeepLabV3+'!AH217</f>
        <v/>
      </c>
      <c r="D217" s="45">
        <f>'YOLO11n-seg'!AH217</f>
        <v/>
      </c>
      <c r="E217" s="46">
        <f>INDEX($B$4:$D$4,MATCH(MAX(B217:D217),B217:D217,0))</f>
        <v/>
      </c>
      <c r="F217" s="45">
        <f>MAX(B217:D217)-MIN(B217:D217)</f>
        <v/>
      </c>
      <c r="G217" s="45">
        <f>'U-Net'!AF217</f>
        <v/>
      </c>
      <c r="H217" s="45">
        <f>'DeepLabV3+'!AF217</f>
        <v/>
      </c>
      <c r="I217" s="45">
        <f>'YOLO11n-seg'!AF217</f>
        <v/>
      </c>
      <c r="J217" s="45">
        <f>'U-Net'!AG217</f>
        <v/>
      </c>
      <c r="K217" s="45">
        <f>'DeepLabV3+'!AG217</f>
        <v/>
      </c>
      <c r="L217" s="45">
        <f>'YOLO11n-seg'!AG217</f>
        <v/>
      </c>
      <c r="M217" s="45">
        <f>'U-Net'!AI217</f>
        <v/>
      </c>
      <c r="N217" s="45">
        <f>'DeepLabV3+'!AI217</f>
        <v/>
      </c>
      <c r="O217" s="45">
        <f>'YOLO11n-seg'!AI217</f>
        <v/>
      </c>
    </row>
    <row r="218" ht="15" customHeight="1" s="30">
      <c r="A218" s="73">
        <f>'U-Net'!A218</f>
        <v/>
      </c>
      <c r="B218" s="45">
        <f>'U-Net'!AH218</f>
        <v/>
      </c>
      <c r="C218" s="45">
        <f>'DeepLabV3+'!AH218</f>
        <v/>
      </c>
      <c r="D218" s="45">
        <f>'YOLO11n-seg'!AH218</f>
        <v/>
      </c>
      <c r="E218" s="46">
        <f>INDEX($B$4:$D$4,MATCH(MAX(B218:D218),B218:D218,0))</f>
        <v/>
      </c>
      <c r="F218" s="45">
        <f>MAX(B218:D218)-MIN(B218:D218)</f>
        <v/>
      </c>
      <c r="G218" s="45">
        <f>'U-Net'!AF218</f>
        <v/>
      </c>
      <c r="H218" s="45">
        <f>'DeepLabV3+'!AF218</f>
        <v/>
      </c>
      <c r="I218" s="45">
        <f>'YOLO11n-seg'!AF218</f>
        <v/>
      </c>
      <c r="J218" s="45">
        <f>'U-Net'!AG218</f>
        <v/>
      </c>
      <c r="K218" s="45">
        <f>'DeepLabV3+'!AG218</f>
        <v/>
      </c>
      <c r="L218" s="45">
        <f>'YOLO11n-seg'!AG218</f>
        <v/>
      </c>
      <c r="M218" s="45">
        <f>'U-Net'!AI218</f>
        <v/>
      </c>
      <c r="N218" s="45">
        <f>'DeepLabV3+'!AI218</f>
        <v/>
      </c>
      <c r="O218" s="45">
        <f>'YOLO11n-seg'!AI218</f>
        <v/>
      </c>
    </row>
    <row r="219" ht="15" customHeight="1" s="30">
      <c r="A219" s="73">
        <f>'U-Net'!A219</f>
        <v/>
      </c>
      <c r="B219" s="45">
        <f>'U-Net'!AH219</f>
        <v/>
      </c>
      <c r="C219" s="45">
        <f>'DeepLabV3+'!AH219</f>
        <v/>
      </c>
      <c r="D219" s="45">
        <f>'YOLO11n-seg'!AH219</f>
        <v/>
      </c>
      <c r="E219" s="46">
        <f>INDEX($B$4:$D$4,MATCH(MAX(B219:D219),B219:D219,0))</f>
        <v/>
      </c>
      <c r="F219" s="45">
        <f>MAX(B219:D219)-MIN(B219:D219)</f>
        <v/>
      </c>
      <c r="G219" s="45">
        <f>'U-Net'!AF219</f>
        <v/>
      </c>
      <c r="H219" s="45">
        <f>'DeepLabV3+'!AF219</f>
        <v/>
      </c>
      <c r="I219" s="45">
        <f>'YOLO11n-seg'!AF219</f>
        <v/>
      </c>
      <c r="J219" s="45">
        <f>'U-Net'!AG219</f>
        <v/>
      </c>
      <c r="K219" s="45">
        <f>'DeepLabV3+'!AG219</f>
        <v/>
      </c>
      <c r="L219" s="45">
        <f>'YOLO11n-seg'!AG219</f>
        <v/>
      </c>
      <c r="M219" s="45">
        <f>'U-Net'!AI219</f>
        <v/>
      </c>
      <c r="N219" s="45">
        <f>'DeepLabV3+'!AI219</f>
        <v/>
      </c>
      <c r="O219" s="45">
        <f>'YOLO11n-seg'!AI219</f>
        <v/>
      </c>
    </row>
    <row r="220" ht="15" customHeight="1" s="30">
      <c r="A220" s="73">
        <f>'U-Net'!A220</f>
        <v/>
      </c>
      <c r="B220" s="45">
        <f>'U-Net'!AH220</f>
        <v/>
      </c>
      <c r="C220" s="45">
        <f>'DeepLabV3+'!AH220</f>
        <v/>
      </c>
      <c r="D220" s="45">
        <f>'YOLO11n-seg'!AH220</f>
        <v/>
      </c>
      <c r="E220" s="46">
        <f>INDEX($B$4:$D$4,MATCH(MAX(B220:D220),B220:D220,0))</f>
        <v/>
      </c>
      <c r="F220" s="45">
        <f>MAX(B220:D220)-MIN(B220:D220)</f>
        <v/>
      </c>
      <c r="G220" s="45">
        <f>'U-Net'!AF220</f>
        <v/>
      </c>
      <c r="H220" s="45">
        <f>'DeepLabV3+'!AF220</f>
        <v/>
      </c>
      <c r="I220" s="45">
        <f>'YOLO11n-seg'!AF220</f>
        <v/>
      </c>
      <c r="J220" s="45">
        <f>'U-Net'!AG220</f>
        <v/>
      </c>
      <c r="K220" s="45">
        <f>'DeepLabV3+'!AG220</f>
        <v/>
      </c>
      <c r="L220" s="45">
        <f>'YOLO11n-seg'!AG220</f>
        <v/>
      </c>
      <c r="M220" s="45">
        <f>'U-Net'!AI220</f>
        <v/>
      </c>
      <c r="N220" s="45">
        <f>'DeepLabV3+'!AI220</f>
        <v/>
      </c>
      <c r="O220" s="45">
        <f>'YOLO11n-seg'!AI220</f>
        <v/>
      </c>
    </row>
    <row r="221" ht="15" customHeight="1" s="30">
      <c r="A221" s="73">
        <f>'U-Net'!A221</f>
        <v/>
      </c>
      <c r="B221" s="45">
        <f>'U-Net'!AH221</f>
        <v/>
      </c>
      <c r="C221" s="45">
        <f>'DeepLabV3+'!AH221</f>
        <v/>
      </c>
      <c r="D221" s="45">
        <f>'YOLO11n-seg'!AH221</f>
        <v/>
      </c>
      <c r="E221" s="46">
        <f>INDEX($B$4:$D$4,MATCH(MAX(B221:D221),B221:D221,0))</f>
        <v/>
      </c>
      <c r="F221" s="45">
        <f>MAX(B221:D221)-MIN(B221:D221)</f>
        <v/>
      </c>
      <c r="G221" s="45">
        <f>'U-Net'!AF221</f>
        <v/>
      </c>
      <c r="H221" s="45">
        <f>'DeepLabV3+'!AF221</f>
        <v/>
      </c>
      <c r="I221" s="45">
        <f>'YOLO11n-seg'!AF221</f>
        <v/>
      </c>
      <c r="J221" s="45">
        <f>'U-Net'!AG221</f>
        <v/>
      </c>
      <c r="K221" s="45">
        <f>'DeepLabV3+'!AG221</f>
        <v/>
      </c>
      <c r="L221" s="45">
        <f>'YOLO11n-seg'!AG221</f>
        <v/>
      </c>
      <c r="M221" s="45">
        <f>'U-Net'!AI221</f>
        <v/>
      </c>
      <c r="N221" s="45">
        <f>'DeepLabV3+'!AI221</f>
        <v/>
      </c>
      <c r="O221" s="45">
        <f>'YOLO11n-seg'!AI221</f>
        <v/>
      </c>
    </row>
    <row r="222" ht="15" customHeight="1" s="30">
      <c r="A222" s="73">
        <f>'U-Net'!A222</f>
        <v/>
      </c>
      <c r="B222" s="45">
        <f>'U-Net'!AH222</f>
        <v/>
      </c>
      <c r="C222" s="45">
        <f>'DeepLabV3+'!AH222</f>
        <v/>
      </c>
      <c r="D222" s="45">
        <f>'YOLO11n-seg'!AH222</f>
        <v/>
      </c>
      <c r="E222" s="46">
        <f>INDEX($B$4:$D$4,MATCH(MAX(B222:D222),B222:D222,0))</f>
        <v/>
      </c>
      <c r="F222" s="45">
        <f>MAX(B222:D222)-MIN(B222:D222)</f>
        <v/>
      </c>
      <c r="G222" s="45">
        <f>'U-Net'!AF222</f>
        <v/>
      </c>
      <c r="H222" s="45">
        <f>'DeepLabV3+'!AF222</f>
        <v/>
      </c>
      <c r="I222" s="45">
        <f>'YOLO11n-seg'!AF222</f>
        <v/>
      </c>
      <c r="J222" s="45">
        <f>'U-Net'!AG222</f>
        <v/>
      </c>
      <c r="K222" s="45">
        <f>'DeepLabV3+'!AG222</f>
        <v/>
      </c>
      <c r="L222" s="45">
        <f>'YOLO11n-seg'!AG222</f>
        <v/>
      </c>
      <c r="M222" s="45">
        <f>'U-Net'!AI222</f>
        <v/>
      </c>
      <c r="N222" s="45">
        <f>'DeepLabV3+'!AI222</f>
        <v/>
      </c>
      <c r="O222" s="45">
        <f>'YOLO11n-seg'!AI222</f>
        <v/>
      </c>
    </row>
    <row r="223" ht="15" customHeight="1" s="30">
      <c r="A223" s="73">
        <f>'U-Net'!A223</f>
        <v/>
      </c>
      <c r="B223" s="45">
        <f>'U-Net'!AH223</f>
        <v/>
      </c>
      <c r="C223" s="45">
        <f>'DeepLabV3+'!AH223</f>
        <v/>
      </c>
      <c r="D223" s="45">
        <f>'YOLO11n-seg'!AH223</f>
        <v/>
      </c>
      <c r="E223" s="46">
        <f>INDEX($B$4:$D$4,MATCH(MAX(B223:D223),B223:D223,0))</f>
        <v/>
      </c>
      <c r="F223" s="45">
        <f>MAX(B223:D223)-MIN(B223:D223)</f>
        <v/>
      </c>
      <c r="G223" s="45">
        <f>'U-Net'!AF223</f>
        <v/>
      </c>
      <c r="H223" s="45">
        <f>'DeepLabV3+'!AF223</f>
        <v/>
      </c>
      <c r="I223" s="45">
        <f>'YOLO11n-seg'!AF223</f>
        <v/>
      </c>
      <c r="J223" s="45">
        <f>'U-Net'!AG223</f>
        <v/>
      </c>
      <c r="K223" s="45">
        <f>'DeepLabV3+'!AG223</f>
        <v/>
      </c>
      <c r="L223" s="45">
        <f>'YOLO11n-seg'!AG223</f>
        <v/>
      </c>
      <c r="M223" s="45">
        <f>'U-Net'!AI223</f>
        <v/>
      </c>
      <c r="N223" s="45">
        <f>'DeepLabV3+'!AI223</f>
        <v/>
      </c>
      <c r="O223" s="45">
        <f>'YOLO11n-seg'!AI223</f>
        <v/>
      </c>
    </row>
    <row r="224" ht="15" customHeight="1" s="30">
      <c r="A224" s="73">
        <f>'U-Net'!A224</f>
        <v/>
      </c>
      <c r="B224" s="45">
        <f>'U-Net'!AH224</f>
        <v/>
      </c>
      <c r="C224" s="45">
        <f>'DeepLabV3+'!AH224</f>
        <v/>
      </c>
      <c r="D224" s="45">
        <f>'YOLO11n-seg'!AH224</f>
        <v/>
      </c>
      <c r="E224" s="46">
        <f>INDEX($B$4:$D$4,MATCH(MAX(B224:D224),B224:D224,0))</f>
        <v/>
      </c>
      <c r="F224" s="45">
        <f>MAX(B224:D224)-MIN(B224:D224)</f>
        <v/>
      </c>
      <c r="G224" s="45">
        <f>'U-Net'!AF224</f>
        <v/>
      </c>
      <c r="H224" s="45">
        <f>'DeepLabV3+'!AF224</f>
        <v/>
      </c>
      <c r="I224" s="45">
        <f>'YOLO11n-seg'!AF224</f>
        <v/>
      </c>
      <c r="J224" s="45">
        <f>'U-Net'!AG224</f>
        <v/>
      </c>
      <c r="K224" s="45">
        <f>'DeepLabV3+'!AG224</f>
        <v/>
      </c>
      <c r="L224" s="45">
        <f>'YOLO11n-seg'!AG224</f>
        <v/>
      </c>
      <c r="M224" s="45">
        <f>'U-Net'!AI224</f>
        <v/>
      </c>
      <c r="N224" s="45">
        <f>'DeepLabV3+'!AI224</f>
        <v/>
      </c>
      <c r="O224" s="45">
        <f>'YOLO11n-seg'!AI224</f>
        <v/>
      </c>
    </row>
    <row r="225" ht="15" customHeight="1" s="30">
      <c r="A225" s="73">
        <f>'U-Net'!A225</f>
        <v/>
      </c>
      <c r="B225" s="45">
        <f>'U-Net'!AH225</f>
        <v/>
      </c>
      <c r="C225" s="45">
        <f>'DeepLabV3+'!AH225</f>
        <v/>
      </c>
      <c r="D225" s="45">
        <f>'YOLO11n-seg'!AH225</f>
        <v/>
      </c>
      <c r="E225" s="46">
        <f>INDEX($B$4:$D$4,MATCH(MAX(B225:D225),B225:D225,0))</f>
        <v/>
      </c>
      <c r="F225" s="45">
        <f>MAX(B225:D225)-MIN(B225:D225)</f>
        <v/>
      </c>
      <c r="G225" s="45">
        <f>'U-Net'!AF225</f>
        <v/>
      </c>
      <c r="H225" s="45">
        <f>'DeepLabV3+'!AF225</f>
        <v/>
      </c>
      <c r="I225" s="45">
        <f>'YOLO11n-seg'!AF225</f>
        <v/>
      </c>
      <c r="J225" s="45">
        <f>'U-Net'!AG225</f>
        <v/>
      </c>
      <c r="K225" s="45">
        <f>'DeepLabV3+'!AG225</f>
        <v/>
      </c>
      <c r="L225" s="45">
        <f>'YOLO11n-seg'!AG225</f>
        <v/>
      </c>
      <c r="M225" s="45">
        <f>'U-Net'!AI225</f>
        <v/>
      </c>
      <c r="N225" s="45">
        <f>'DeepLabV3+'!AI225</f>
        <v/>
      </c>
      <c r="O225" s="45">
        <f>'YOLO11n-seg'!AI225</f>
        <v/>
      </c>
    </row>
    <row r="226" ht="15" customHeight="1" s="30">
      <c r="A226" s="73">
        <f>'U-Net'!A226</f>
        <v/>
      </c>
      <c r="B226" s="45">
        <f>'U-Net'!AH226</f>
        <v/>
      </c>
      <c r="C226" s="45">
        <f>'DeepLabV3+'!AH226</f>
        <v/>
      </c>
      <c r="D226" s="45">
        <f>'YOLO11n-seg'!AH226</f>
        <v/>
      </c>
      <c r="E226" s="46">
        <f>INDEX($B$4:$D$4,MATCH(MAX(B226:D226),B226:D226,0))</f>
        <v/>
      </c>
      <c r="F226" s="45">
        <f>MAX(B226:D226)-MIN(B226:D226)</f>
        <v/>
      </c>
      <c r="G226" s="45">
        <f>'U-Net'!AF226</f>
        <v/>
      </c>
      <c r="H226" s="45">
        <f>'DeepLabV3+'!AF226</f>
        <v/>
      </c>
      <c r="I226" s="45">
        <f>'YOLO11n-seg'!AF226</f>
        <v/>
      </c>
      <c r="J226" s="45">
        <f>'U-Net'!AG226</f>
        <v/>
      </c>
      <c r="K226" s="45">
        <f>'DeepLabV3+'!AG226</f>
        <v/>
      </c>
      <c r="L226" s="45">
        <f>'YOLO11n-seg'!AG226</f>
        <v/>
      </c>
      <c r="M226" s="45">
        <f>'U-Net'!AI226</f>
        <v/>
      </c>
      <c r="N226" s="45">
        <f>'DeepLabV3+'!AI226</f>
        <v/>
      </c>
      <c r="O226" s="45">
        <f>'YOLO11n-seg'!AI226</f>
        <v/>
      </c>
    </row>
    <row r="227" ht="15" customHeight="1" s="30">
      <c r="A227" s="73">
        <f>'U-Net'!A227</f>
        <v/>
      </c>
      <c r="B227" s="45">
        <f>'U-Net'!AH227</f>
        <v/>
      </c>
      <c r="C227" s="45">
        <f>'DeepLabV3+'!AH227</f>
        <v/>
      </c>
      <c r="D227" s="45">
        <f>'YOLO11n-seg'!AH227</f>
        <v/>
      </c>
      <c r="E227" s="46">
        <f>INDEX($B$4:$D$4,MATCH(MAX(B227:D227),B227:D227,0))</f>
        <v/>
      </c>
      <c r="F227" s="45">
        <f>MAX(B227:D227)-MIN(B227:D227)</f>
        <v/>
      </c>
      <c r="G227" s="45">
        <f>'U-Net'!AF227</f>
        <v/>
      </c>
      <c r="H227" s="45">
        <f>'DeepLabV3+'!AF227</f>
        <v/>
      </c>
      <c r="I227" s="45">
        <f>'YOLO11n-seg'!AF227</f>
        <v/>
      </c>
      <c r="J227" s="45">
        <f>'U-Net'!AG227</f>
        <v/>
      </c>
      <c r="K227" s="45">
        <f>'DeepLabV3+'!AG227</f>
        <v/>
      </c>
      <c r="L227" s="45">
        <f>'YOLO11n-seg'!AG227</f>
        <v/>
      </c>
      <c r="M227" s="45">
        <f>'U-Net'!AI227</f>
        <v/>
      </c>
      <c r="N227" s="45">
        <f>'DeepLabV3+'!AI227</f>
        <v/>
      </c>
      <c r="O227" s="45">
        <f>'YOLO11n-seg'!AI227</f>
        <v/>
      </c>
    </row>
    <row r="228" ht="15" customHeight="1" s="30">
      <c r="A228" s="73">
        <f>'U-Net'!A228</f>
        <v/>
      </c>
      <c r="B228" s="45">
        <f>'U-Net'!AH228</f>
        <v/>
      </c>
      <c r="C228" s="45">
        <f>'DeepLabV3+'!AH228</f>
        <v/>
      </c>
      <c r="D228" s="45">
        <f>'YOLO11n-seg'!AH228</f>
        <v/>
      </c>
      <c r="E228" s="46">
        <f>INDEX($B$4:$D$4,MATCH(MAX(B228:D228),B228:D228,0))</f>
        <v/>
      </c>
      <c r="F228" s="45">
        <f>MAX(B228:D228)-MIN(B228:D228)</f>
        <v/>
      </c>
      <c r="G228" s="45">
        <f>'U-Net'!AF228</f>
        <v/>
      </c>
      <c r="H228" s="45">
        <f>'DeepLabV3+'!AF228</f>
        <v/>
      </c>
      <c r="I228" s="45">
        <f>'YOLO11n-seg'!AF228</f>
        <v/>
      </c>
      <c r="J228" s="45">
        <f>'U-Net'!AG228</f>
        <v/>
      </c>
      <c r="K228" s="45">
        <f>'DeepLabV3+'!AG228</f>
        <v/>
      </c>
      <c r="L228" s="45">
        <f>'YOLO11n-seg'!AG228</f>
        <v/>
      </c>
      <c r="M228" s="45">
        <f>'U-Net'!AI228</f>
        <v/>
      </c>
      <c r="N228" s="45">
        <f>'DeepLabV3+'!AI228</f>
        <v/>
      </c>
      <c r="O228" s="45">
        <f>'YOLO11n-seg'!AI228</f>
        <v/>
      </c>
    </row>
    <row r="229" ht="15" customHeight="1" s="30">
      <c r="A229" s="73">
        <f>'U-Net'!A229</f>
        <v/>
      </c>
      <c r="B229" s="45">
        <f>'U-Net'!AH229</f>
        <v/>
      </c>
      <c r="C229" s="45">
        <f>'DeepLabV3+'!AH229</f>
        <v/>
      </c>
      <c r="D229" s="45">
        <f>'YOLO11n-seg'!AH229</f>
        <v/>
      </c>
      <c r="E229" s="46">
        <f>INDEX($B$4:$D$4,MATCH(MAX(B229:D229),B229:D229,0))</f>
        <v/>
      </c>
      <c r="F229" s="45">
        <f>MAX(B229:D229)-MIN(B229:D229)</f>
        <v/>
      </c>
      <c r="G229" s="45">
        <f>'U-Net'!AF229</f>
        <v/>
      </c>
      <c r="H229" s="45">
        <f>'DeepLabV3+'!AF229</f>
        <v/>
      </c>
      <c r="I229" s="45">
        <f>'YOLO11n-seg'!AF229</f>
        <v/>
      </c>
      <c r="J229" s="45">
        <f>'U-Net'!AG229</f>
        <v/>
      </c>
      <c r="K229" s="45">
        <f>'DeepLabV3+'!AG229</f>
        <v/>
      </c>
      <c r="L229" s="45">
        <f>'YOLO11n-seg'!AG229</f>
        <v/>
      </c>
      <c r="M229" s="45">
        <f>'U-Net'!AI229</f>
        <v/>
      </c>
      <c r="N229" s="45">
        <f>'DeepLabV3+'!AI229</f>
        <v/>
      </c>
      <c r="O229" s="45">
        <f>'YOLO11n-seg'!AI229</f>
        <v/>
      </c>
    </row>
    <row r="230" ht="15" customHeight="1" s="30">
      <c r="A230" s="73">
        <f>'U-Net'!A230</f>
        <v/>
      </c>
      <c r="B230" s="45">
        <f>'U-Net'!AH230</f>
        <v/>
      </c>
      <c r="C230" s="45">
        <f>'DeepLabV3+'!AH230</f>
        <v/>
      </c>
      <c r="D230" s="45">
        <f>'YOLO11n-seg'!AH230</f>
        <v/>
      </c>
      <c r="E230" s="46">
        <f>INDEX($B$4:$D$4,MATCH(MAX(B230:D230),B230:D230,0))</f>
        <v/>
      </c>
      <c r="F230" s="45">
        <f>MAX(B230:D230)-MIN(B230:D230)</f>
        <v/>
      </c>
      <c r="G230" s="45">
        <f>'U-Net'!AF230</f>
        <v/>
      </c>
      <c r="H230" s="45">
        <f>'DeepLabV3+'!AF230</f>
        <v/>
      </c>
      <c r="I230" s="45">
        <f>'YOLO11n-seg'!AF230</f>
        <v/>
      </c>
      <c r="J230" s="45">
        <f>'U-Net'!AG230</f>
        <v/>
      </c>
      <c r="K230" s="45">
        <f>'DeepLabV3+'!AG230</f>
        <v/>
      </c>
      <c r="L230" s="45">
        <f>'YOLO11n-seg'!AG230</f>
        <v/>
      </c>
      <c r="M230" s="45">
        <f>'U-Net'!AI230</f>
        <v/>
      </c>
      <c r="N230" s="45">
        <f>'DeepLabV3+'!AI230</f>
        <v/>
      </c>
      <c r="O230" s="45">
        <f>'YOLO11n-seg'!AI230</f>
        <v/>
      </c>
    </row>
    <row r="231" ht="15" customHeight="1" s="30">
      <c r="A231" s="73">
        <f>'U-Net'!A231</f>
        <v/>
      </c>
      <c r="B231" s="45">
        <f>'U-Net'!AH231</f>
        <v/>
      </c>
      <c r="C231" s="45">
        <f>'DeepLabV3+'!AH231</f>
        <v/>
      </c>
      <c r="D231" s="45">
        <f>'YOLO11n-seg'!AH231</f>
        <v/>
      </c>
      <c r="E231" s="46">
        <f>INDEX($B$4:$D$4,MATCH(MAX(B231:D231),B231:D231,0))</f>
        <v/>
      </c>
      <c r="F231" s="45">
        <f>MAX(B231:D231)-MIN(B231:D231)</f>
        <v/>
      </c>
      <c r="G231" s="45">
        <f>'U-Net'!AF231</f>
        <v/>
      </c>
      <c r="H231" s="45">
        <f>'DeepLabV3+'!AF231</f>
        <v/>
      </c>
      <c r="I231" s="45">
        <f>'YOLO11n-seg'!AF231</f>
        <v/>
      </c>
      <c r="J231" s="45">
        <f>'U-Net'!AG231</f>
        <v/>
      </c>
      <c r="K231" s="45">
        <f>'DeepLabV3+'!AG231</f>
        <v/>
      </c>
      <c r="L231" s="45">
        <f>'YOLO11n-seg'!AG231</f>
        <v/>
      </c>
      <c r="M231" s="45">
        <f>'U-Net'!AI231</f>
        <v/>
      </c>
      <c r="N231" s="45">
        <f>'DeepLabV3+'!AI231</f>
        <v/>
      </c>
      <c r="O231" s="45">
        <f>'YOLO11n-seg'!AI231</f>
        <v/>
      </c>
    </row>
    <row r="232" ht="15" customHeight="1" s="30">
      <c r="A232" s="73">
        <f>'U-Net'!A232</f>
        <v/>
      </c>
      <c r="B232" s="45">
        <f>'U-Net'!AH232</f>
        <v/>
      </c>
      <c r="C232" s="45">
        <f>'DeepLabV3+'!AH232</f>
        <v/>
      </c>
      <c r="D232" s="45">
        <f>'YOLO11n-seg'!AH232</f>
        <v/>
      </c>
      <c r="E232" s="46">
        <f>INDEX($B$4:$D$4,MATCH(MAX(B232:D232),B232:D232,0))</f>
        <v/>
      </c>
      <c r="F232" s="45">
        <f>MAX(B232:D232)-MIN(B232:D232)</f>
        <v/>
      </c>
      <c r="G232" s="45">
        <f>'U-Net'!AF232</f>
        <v/>
      </c>
      <c r="H232" s="45">
        <f>'DeepLabV3+'!AF232</f>
        <v/>
      </c>
      <c r="I232" s="45">
        <f>'YOLO11n-seg'!AF232</f>
        <v/>
      </c>
      <c r="J232" s="45">
        <f>'U-Net'!AG232</f>
        <v/>
      </c>
      <c r="K232" s="45">
        <f>'DeepLabV3+'!AG232</f>
        <v/>
      </c>
      <c r="L232" s="45">
        <f>'YOLO11n-seg'!AG232</f>
        <v/>
      </c>
      <c r="M232" s="45">
        <f>'U-Net'!AI232</f>
        <v/>
      </c>
      <c r="N232" s="45">
        <f>'DeepLabV3+'!AI232</f>
        <v/>
      </c>
      <c r="O232" s="45">
        <f>'YOLO11n-seg'!AI232</f>
        <v/>
      </c>
    </row>
    <row r="233" ht="15" customHeight="1" s="30">
      <c r="A233" s="73">
        <f>'U-Net'!A233</f>
        <v/>
      </c>
      <c r="B233" s="45">
        <f>'U-Net'!AH233</f>
        <v/>
      </c>
      <c r="C233" s="45">
        <f>'DeepLabV3+'!AH233</f>
        <v/>
      </c>
      <c r="D233" s="45">
        <f>'YOLO11n-seg'!AH233</f>
        <v/>
      </c>
      <c r="E233" s="46">
        <f>INDEX($B$4:$D$4,MATCH(MAX(B233:D233),B233:D233,0))</f>
        <v/>
      </c>
      <c r="F233" s="45">
        <f>MAX(B233:D233)-MIN(B233:D233)</f>
        <v/>
      </c>
      <c r="G233" s="45">
        <f>'U-Net'!AF233</f>
        <v/>
      </c>
      <c r="H233" s="45">
        <f>'DeepLabV3+'!AF233</f>
        <v/>
      </c>
      <c r="I233" s="45">
        <f>'YOLO11n-seg'!AF233</f>
        <v/>
      </c>
      <c r="J233" s="45">
        <f>'U-Net'!AG233</f>
        <v/>
      </c>
      <c r="K233" s="45">
        <f>'DeepLabV3+'!AG233</f>
        <v/>
      </c>
      <c r="L233" s="45">
        <f>'YOLO11n-seg'!AG233</f>
        <v/>
      </c>
      <c r="M233" s="45">
        <f>'U-Net'!AI233</f>
        <v/>
      </c>
      <c r="N233" s="45">
        <f>'DeepLabV3+'!AI233</f>
        <v/>
      </c>
      <c r="O233" s="45">
        <f>'YOLO11n-seg'!AI233</f>
        <v/>
      </c>
    </row>
    <row r="234" ht="15" customHeight="1" s="30">
      <c r="A234" s="73">
        <f>'U-Net'!A234</f>
        <v/>
      </c>
      <c r="B234" s="45">
        <f>'U-Net'!AH234</f>
        <v/>
      </c>
      <c r="C234" s="45">
        <f>'DeepLabV3+'!AH234</f>
        <v/>
      </c>
      <c r="D234" s="45">
        <f>'YOLO11n-seg'!AH234</f>
        <v/>
      </c>
      <c r="E234" s="46">
        <f>INDEX($B$4:$D$4,MATCH(MAX(B234:D234),B234:D234,0))</f>
        <v/>
      </c>
      <c r="F234" s="45">
        <f>MAX(B234:D234)-MIN(B234:D234)</f>
        <v/>
      </c>
      <c r="G234" s="45">
        <f>'U-Net'!AF234</f>
        <v/>
      </c>
      <c r="H234" s="45">
        <f>'DeepLabV3+'!AF234</f>
        <v/>
      </c>
      <c r="I234" s="45">
        <f>'YOLO11n-seg'!AF234</f>
        <v/>
      </c>
      <c r="J234" s="45">
        <f>'U-Net'!AG234</f>
        <v/>
      </c>
      <c r="K234" s="45">
        <f>'DeepLabV3+'!AG234</f>
        <v/>
      </c>
      <c r="L234" s="45">
        <f>'YOLO11n-seg'!AG234</f>
        <v/>
      </c>
      <c r="M234" s="45">
        <f>'U-Net'!AI234</f>
        <v/>
      </c>
      <c r="N234" s="45">
        <f>'DeepLabV3+'!AI234</f>
        <v/>
      </c>
      <c r="O234" s="45">
        <f>'YOLO11n-seg'!AI234</f>
        <v/>
      </c>
    </row>
    <row r="235" ht="15" customHeight="1" s="30">
      <c r="A235" s="73">
        <f>'U-Net'!A235</f>
        <v/>
      </c>
      <c r="B235" s="45">
        <f>'U-Net'!AH235</f>
        <v/>
      </c>
      <c r="C235" s="45">
        <f>'DeepLabV3+'!AH235</f>
        <v/>
      </c>
      <c r="D235" s="45">
        <f>'YOLO11n-seg'!AH235</f>
        <v/>
      </c>
      <c r="E235" s="46">
        <f>INDEX($B$4:$D$4,MATCH(MAX(B235:D235),B235:D235,0))</f>
        <v/>
      </c>
      <c r="F235" s="45">
        <f>MAX(B235:D235)-MIN(B235:D235)</f>
        <v/>
      </c>
      <c r="G235" s="45">
        <f>'U-Net'!AF235</f>
        <v/>
      </c>
      <c r="H235" s="45">
        <f>'DeepLabV3+'!AF235</f>
        <v/>
      </c>
      <c r="I235" s="45">
        <f>'YOLO11n-seg'!AF235</f>
        <v/>
      </c>
      <c r="J235" s="45">
        <f>'U-Net'!AG235</f>
        <v/>
      </c>
      <c r="K235" s="45">
        <f>'DeepLabV3+'!AG235</f>
        <v/>
      </c>
      <c r="L235" s="45">
        <f>'YOLO11n-seg'!AG235</f>
        <v/>
      </c>
      <c r="M235" s="45">
        <f>'U-Net'!AI235</f>
        <v/>
      </c>
      <c r="N235" s="45">
        <f>'DeepLabV3+'!AI235</f>
        <v/>
      </c>
      <c r="O235" s="45">
        <f>'YOLO11n-seg'!AI235</f>
        <v/>
      </c>
    </row>
    <row r="236" ht="15" customHeight="1" s="30">
      <c r="A236" s="73">
        <f>'U-Net'!A236</f>
        <v/>
      </c>
      <c r="B236" s="45">
        <f>'U-Net'!AH236</f>
        <v/>
      </c>
      <c r="C236" s="45">
        <f>'DeepLabV3+'!AH236</f>
        <v/>
      </c>
      <c r="D236" s="45">
        <f>'YOLO11n-seg'!AH236</f>
        <v/>
      </c>
      <c r="E236" s="46">
        <f>INDEX($B$4:$D$4,MATCH(MAX(B236:D236),B236:D236,0))</f>
        <v/>
      </c>
      <c r="F236" s="45">
        <f>MAX(B236:D236)-MIN(B236:D236)</f>
        <v/>
      </c>
      <c r="G236" s="45">
        <f>'U-Net'!AF236</f>
        <v/>
      </c>
      <c r="H236" s="45">
        <f>'DeepLabV3+'!AF236</f>
        <v/>
      </c>
      <c r="I236" s="45">
        <f>'YOLO11n-seg'!AF236</f>
        <v/>
      </c>
      <c r="J236" s="45">
        <f>'U-Net'!AG236</f>
        <v/>
      </c>
      <c r="K236" s="45">
        <f>'DeepLabV3+'!AG236</f>
        <v/>
      </c>
      <c r="L236" s="45">
        <f>'YOLO11n-seg'!AG236</f>
        <v/>
      </c>
      <c r="M236" s="45">
        <f>'U-Net'!AI236</f>
        <v/>
      </c>
      <c r="N236" s="45">
        <f>'DeepLabV3+'!AI236</f>
        <v/>
      </c>
      <c r="O236" s="45">
        <f>'YOLO11n-seg'!AI236</f>
        <v/>
      </c>
    </row>
    <row r="237" ht="15" customHeight="1" s="30">
      <c r="A237" s="73">
        <f>'U-Net'!A237</f>
        <v/>
      </c>
      <c r="B237" s="45">
        <f>'U-Net'!AH237</f>
        <v/>
      </c>
      <c r="C237" s="45">
        <f>'DeepLabV3+'!AH237</f>
        <v/>
      </c>
      <c r="D237" s="45">
        <f>'YOLO11n-seg'!AH237</f>
        <v/>
      </c>
      <c r="E237" s="46">
        <f>INDEX($B$4:$D$4,MATCH(MAX(B237:D237),B237:D237,0))</f>
        <v/>
      </c>
      <c r="F237" s="45">
        <f>MAX(B237:D237)-MIN(B237:D237)</f>
        <v/>
      </c>
      <c r="G237" s="45">
        <f>'U-Net'!AF237</f>
        <v/>
      </c>
      <c r="H237" s="45">
        <f>'DeepLabV3+'!AF237</f>
        <v/>
      </c>
      <c r="I237" s="45">
        <f>'YOLO11n-seg'!AF237</f>
        <v/>
      </c>
      <c r="J237" s="45">
        <f>'U-Net'!AG237</f>
        <v/>
      </c>
      <c r="K237" s="45">
        <f>'DeepLabV3+'!AG237</f>
        <v/>
      </c>
      <c r="L237" s="45">
        <f>'YOLO11n-seg'!AG237</f>
        <v/>
      </c>
      <c r="M237" s="45">
        <f>'U-Net'!AI237</f>
        <v/>
      </c>
      <c r="N237" s="45">
        <f>'DeepLabV3+'!AI237</f>
        <v/>
      </c>
      <c r="O237" s="45">
        <f>'YOLO11n-seg'!AI237</f>
        <v/>
      </c>
    </row>
    <row r="238" ht="15" customHeight="1" s="30">
      <c r="A238" s="73">
        <f>'U-Net'!A238</f>
        <v/>
      </c>
      <c r="B238" s="45">
        <f>'U-Net'!AH238</f>
        <v/>
      </c>
      <c r="C238" s="45">
        <f>'DeepLabV3+'!AH238</f>
        <v/>
      </c>
      <c r="D238" s="45">
        <f>'YOLO11n-seg'!AH238</f>
        <v/>
      </c>
      <c r="E238" s="46">
        <f>INDEX($B$4:$D$4,MATCH(MAX(B238:D238),B238:D238,0))</f>
        <v/>
      </c>
      <c r="F238" s="45">
        <f>MAX(B238:D238)-MIN(B238:D238)</f>
        <v/>
      </c>
      <c r="G238" s="45">
        <f>'U-Net'!AF238</f>
        <v/>
      </c>
      <c r="H238" s="45">
        <f>'DeepLabV3+'!AF238</f>
        <v/>
      </c>
      <c r="I238" s="45">
        <f>'YOLO11n-seg'!AF238</f>
        <v/>
      </c>
      <c r="J238" s="45">
        <f>'U-Net'!AG238</f>
        <v/>
      </c>
      <c r="K238" s="45">
        <f>'DeepLabV3+'!AG238</f>
        <v/>
      </c>
      <c r="L238" s="45">
        <f>'YOLO11n-seg'!AG238</f>
        <v/>
      </c>
      <c r="M238" s="45">
        <f>'U-Net'!AI238</f>
        <v/>
      </c>
      <c r="N238" s="45">
        <f>'DeepLabV3+'!AI238</f>
        <v/>
      </c>
      <c r="O238" s="45">
        <f>'YOLO11n-seg'!AI238</f>
        <v/>
      </c>
    </row>
    <row r="239" ht="15" customHeight="1" s="30">
      <c r="A239" s="73">
        <f>'U-Net'!A239</f>
        <v/>
      </c>
      <c r="B239" s="45">
        <f>'U-Net'!AH239</f>
        <v/>
      </c>
      <c r="C239" s="45">
        <f>'DeepLabV3+'!AH239</f>
        <v/>
      </c>
      <c r="D239" s="45">
        <f>'YOLO11n-seg'!AH239</f>
        <v/>
      </c>
      <c r="E239" s="46">
        <f>INDEX($B$4:$D$4,MATCH(MAX(B239:D239),B239:D239,0))</f>
        <v/>
      </c>
      <c r="F239" s="45">
        <f>MAX(B239:D239)-MIN(B239:D239)</f>
        <v/>
      </c>
      <c r="G239" s="45">
        <f>'U-Net'!AF239</f>
        <v/>
      </c>
      <c r="H239" s="45">
        <f>'DeepLabV3+'!AF239</f>
        <v/>
      </c>
      <c r="I239" s="45">
        <f>'YOLO11n-seg'!AF239</f>
        <v/>
      </c>
      <c r="J239" s="45">
        <f>'U-Net'!AG239</f>
        <v/>
      </c>
      <c r="K239" s="45">
        <f>'DeepLabV3+'!AG239</f>
        <v/>
      </c>
      <c r="L239" s="45">
        <f>'YOLO11n-seg'!AG239</f>
        <v/>
      </c>
      <c r="M239" s="45">
        <f>'U-Net'!AI239</f>
        <v/>
      </c>
      <c r="N239" s="45">
        <f>'DeepLabV3+'!AI239</f>
        <v/>
      </c>
      <c r="O239" s="45">
        <f>'YOLO11n-seg'!AI239</f>
        <v/>
      </c>
    </row>
    <row r="240" ht="15" customHeight="1" s="30">
      <c r="A240" s="73">
        <f>'U-Net'!A240</f>
        <v/>
      </c>
      <c r="B240" s="45">
        <f>'U-Net'!AH240</f>
        <v/>
      </c>
      <c r="C240" s="45">
        <f>'DeepLabV3+'!AH240</f>
        <v/>
      </c>
      <c r="D240" s="45">
        <f>'YOLO11n-seg'!AH240</f>
        <v/>
      </c>
      <c r="E240" s="46">
        <f>INDEX($B$4:$D$4,MATCH(MAX(B240:D240),B240:D240,0))</f>
        <v/>
      </c>
      <c r="F240" s="45">
        <f>MAX(B240:D240)-MIN(B240:D240)</f>
        <v/>
      </c>
      <c r="G240" s="45">
        <f>'U-Net'!AF240</f>
        <v/>
      </c>
      <c r="H240" s="45">
        <f>'DeepLabV3+'!AF240</f>
        <v/>
      </c>
      <c r="I240" s="45">
        <f>'YOLO11n-seg'!AF240</f>
        <v/>
      </c>
      <c r="J240" s="45">
        <f>'U-Net'!AG240</f>
        <v/>
      </c>
      <c r="K240" s="45">
        <f>'DeepLabV3+'!AG240</f>
        <v/>
      </c>
      <c r="L240" s="45">
        <f>'YOLO11n-seg'!AG240</f>
        <v/>
      </c>
      <c r="M240" s="45">
        <f>'U-Net'!AI240</f>
        <v/>
      </c>
      <c r="N240" s="45">
        <f>'DeepLabV3+'!AI240</f>
        <v/>
      </c>
      <c r="O240" s="45">
        <f>'YOLO11n-seg'!AI240</f>
        <v/>
      </c>
    </row>
    <row r="241" ht="15" customHeight="1" s="30">
      <c r="A241" s="73">
        <f>'U-Net'!A241</f>
        <v/>
      </c>
      <c r="B241" s="45">
        <f>'U-Net'!AH241</f>
        <v/>
      </c>
      <c r="C241" s="45">
        <f>'DeepLabV3+'!AH241</f>
        <v/>
      </c>
      <c r="D241" s="45">
        <f>'YOLO11n-seg'!AH241</f>
        <v/>
      </c>
      <c r="E241" s="46">
        <f>INDEX($B$4:$D$4,MATCH(MAX(B241:D241),B241:D241,0))</f>
        <v/>
      </c>
      <c r="F241" s="45">
        <f>MAX(B241:D241)-MIN(B241:D241)</f>
        <v/>
      </c>
      <c r="G241" s="45">
        <f>'U-Net'!AF241</f>
        <v/>
      </c>
      <c r="H241" s="45">
        <f>'DeepLabV3+'!AF241</f>
        <v/>
      </c>
      <c r="I241" s="45">
        <f>'YOLO11n-seg'!AF241</f>
        <v/>
      </c>
      <c r="J241" s="45">
        <f>'U-Net'!AG241</f>
        <v/>
      </c>
      <c r="K241" s="45">
        <f>'DeepLabV3+'!AG241</f>
        <v/>
      </c>
      <c r="L241" s="45">
        <f>'YOLO11n-seg'!AG241</f>
        <v/>
      </c>
      <c r="M241" s="45">
        <f>'U-Net'!AI241</f>
        <v/>
      </c>
      <c r="N241" s="45">
        <f>'DeepLabV3+'!AI241</f>
        <v/>
      </c>
      <c r="O241" s="45">
        <f>'YOLO11n-seg'!AI241</f>
        <v/>
      </c>
    </row>
    <row r="242" ht="15" customHeight="1" s="30">
      <c r="A242" s="73">
        <f>'U-Net'!A242</f>
        <v/>
      </c>
      <c r="B242" s="45">
        <f>'U-Net'!AH242</f>
        <v/>
      </c>
      <c r="C242" s="45">
        <f>'DeepLabV3+'!AH242</f>
        <v/>
      </c>
      <c r="D242" s="45">
        <f>'YOLO11n-seg'!AH242</f>
        <v/>
      </c>
      <c r="E242" s="46">
        <f>INDEX($B$4:$D$4,MATCH(MAX(B242:D242),B242:D242,0))</f>
        <v/>
      </c>
      <c r="F242" s="45">
        <f>MAX(B242:D242)-MIN(B242:D242)</f>
        <v/>
      </c>
      <c r="G242" s="45">
        <f>'U-Net'!AF242</f>
        <v/>
      </c>
      <c r="H242" s="45">
        <f>'DeepLabV3+'!AF242</f>
        <v/>
      </c>
      <c r="I242" s="45">
        <f>'YOLO11n-seg'!AF242</f>
        <v/>
      </c>
      <c r="J242" s="45">
        <f>'U-Net'!AG242</f>
        <v/>
      </c>
      <c r="K242" s="45">
        <f>'DeepLabV3+'!AG242</f>
        <v/>
      </c>
      <c r="L242" s="45">
        <f>'YOLO11n-seg'!AG242</f>
        <v/>
      </c>
      <c r="M242" s="45">
        <f>'U-Net'!AI242</f>
        <v/>
      </c>
      <c r="N242" s="45">
        <f>'DeepLabV3+'!AI242</f>
        <v/>
      </c>
      <c r="O242" s="45">
        <f>'YOLO11n-seg'!AI242</f>
        <v/>
      </c>
    </row>
    <row r="243" ht="15" customHeight="1" s="30">
      <c r="A243" s="73">
        <f>'U-Net'!A243</f>
        <v/>
      </c>
      <c r="B243" s="45">
        <f>'U-Net'!AH243</f>
        <v/>
      </c>
      <c r="C243" s="45">
        <f>'DeepLabV3+'!AH243</f>
        <v/>
      </c>
      <c r="D243" s="45">
        <f>'YOLO11n-seg'!AH243</f>
        <v/>
      </c>
      <c r="E243" s="46">
        <f>INDEX($B$4:$D$4,MATCH(MAX(B243:D243),B243:D243,0))</f>
        <v/>
      </c>
      <c r="F243" s="45">
        <f>MAX(B243:D243)-MIN(B243:D243)</f>
        <v/>
      </c>
      <c r="G243" s="45">
        <f>'U-Net'!AF243</f>
        <v/>
      </c>
      <c r="H243" s="45">
        <f>'DeepLabV3+'!AF243</f>
        <v/>
      </c>
      <c r="I243" s="45">
        <f>'YOLO11n-seg'!AF243</f>
        <v/>
      </c>
      <c r="J243" s="45">
        <f>'U-Net'!AG243</f>
        <v/>
      </c>
      <c r="K243" s="45">
        <f>'DeepLabV3+'!AG243</f>
        <v/>
      </c>
      <c r="L243" s="45">
        <f>'YOLO11n-seg'!AG243</f>
        <v/>
      </c>
      <c r="M243" s="45">
        <f>'U-Net'!AI243</f>
        <v/>
      </c>
      <c r="N243" s="45">
        <f>'DeepLabV3+'!AI243</f>
        <v/>
      </c>
      <c r="O243" s="45">
        <f>'YOLO11n-seg'!AI243</f>
        <v/>
      </c>
    </row>
    <row r="244" ht="15" customHeight="1" s="30">
      <c r="A244" s="73">
        <f>'U-Net'!A244</f>
        <v/>
      </c>
      <c r="B244" s="45">
        <f>'U-Net'!AH244</f>
        <v/>
      </c>
      <c r="C244" s="45">
        <f>'DeepLabV3+'!AH244</f>
        <v/>
      </c>
      <c r="D244" s="45">
        <f>'YOLO11n-seg'!AH244</f>
        <v/>
      </c>
      <c r="E244" s="46">
        <f>INDEX($B$4:$D$4,MATCH(MAX(B244:D244),B244:D244,0))</f>
        <v/>
      </c>
      <c r="F244" s="45">
        <f>MAX(B244:D244)-MIN(B244:D244)</f>
        <v/>
      </c>
      <c r="G244" s="45">
        <f>'U-Net'!AF244</f>
        <v/>
      </c>
      <c r="H244" s="45">
        <f>'DeepLabV3+'!AF244</f>
        <v/>
      </c>
      <c r="I244" s="45">
        <f>'YOLO11n-seg'!AF244</f>
        <v/>
      </c>
      <c r="J244" s="45">
        <f>'U-Net'!AG244</f>
        <v/>
      </c>
      <c r="K244" s="45">
        <f>'DeepLabV3+'!AG244</f>
        <v/>
      </c>
      <c r="L244" s="45">
        <f>'YOLO11n-seg'!AG244</f>
        <v/>
      </c>
      <c r="M244" s="45">
        <f>'U-Net'!AI244</f>
        <v/>
      </c>
      <c r="N244" s="45">
        <f>'DeepLabV3+'!AI244</f>
        <v/>
      </c>
      <c r="O244" s="45">
        <f>'YOLO11n-seg'!AI244</f>
        <v/>
      </c>
    </row>
    <row r="245" ht="15" customHeight="1" s="30">
      <c r="A245" s="73">
        <f>'U-Net'!A245</f>
        <v/>
      </c>
      <c r="B245" s="45">
        <f>'U-Net'!AH245</f>
        <v/>
      </c>
      <c r="C245" s="45">
        <f>'DeepLabV3+'!AH245</f>
        <v/>
      </c>
      <c r="D245" s="45">
        <f>'YOLO11n-seg'!AH245</f>
        <v/>
      </c>
      <c r="E245" s="46">
        <f>INDEX($B$4:$D$4,MATCH(MAX(B245:D245),B245:D245,0))</f>
        <v/>
      </c>
      <c r="F245" s="45">
        <f>MAX(B245:D245)-MIN(B245:D245)</f>
        <v/>
      </c>
      <c r="G245" s="45">
        <f>'U-Net'!AF245</f>
        <v/>
      </c>
      <c r="H245" s="45">
        <f>'DeepLabV3+'!AF245</f>
        <v/>
      </c>
      <c r="I245" s="45">
        <f>'YOLO11n-seg'!AF245</f>
        <v/>
      </c>
      <c r="J245" s="45">
        <f>'U-Net'!AG245</f>
        <v/>
      </c>
      <c r="K245" s="45">
        <f>'DeepLabV3+'!AG245</f>
        <v/>
      </c>
      <c r="L245" s="45">
        <f>'YOLO11n-seg'!AG245</f>
        <v/>
      </c>
      <c r="M245" s="45">
        <f>'U-Net'!AI245</f>
        <v/>
      </c>
      <c r="N245" s="45">
        <f>'DeepLabV3+'!AI245</f>
        <v/>
      </c>
      <c r="O245" s="45">
        <f>'YOLO11n-seg'!AI245</f>
        <v/>
      </c>
    </row>
    <row r="246" ht="15" customHeight="1" s="30">
      <c r="A246" s="73">
        <f>'U-Net'!A246</f>
        <v/>
      </c>
      <c r="B246" s="45">
        <f>'U-Net'!AH246</f>
        <v/>
      </c>
      <c r="C246" s="45">
        <f>'DeepLabV3+'!AH246</f>
        <v/>
      </c>
      <c r="D246" s="45">
        <f>'YOLO11n-seg'!AH246</f>
        <v/>
      </c>
      <c r="E246" s="46">
        <f>INDEX($B$4:$D$4,MATCH(MAX(B246:D246),B246:D246,0))</f>
        <v/>
      </c>
      <c r="F246" s="45">
        <f>MAX(B246:D246)-MIN(B246:D246)</f>
        <v/>
      </c>
      <c r="G246" s="45">
        <f>'U-Net'!AF246</f>
        <v/>
      </c>
      <c r="H246" s="45">
        <f>'DeepLabV3+'!AF246</f>
        <v/>
      </c>
      <c r="I246" s="45">
        <f>'YOLO11n-seg'!AF246</f>
        <v/>
      </c>
      <c r="J246" s="45">
        <f>'U-Net'!AG246</f>
        <v/>
      </c>
      <c r="K246" s="45">
        <f>'DeepLabV3+'!AG246</f>
        <v/>
      </c>
      <c r="L246" s="45">
        <f>'YOLO11n-seg'!AG246</f>
        <v/>
      </c>
      <c r="M246" s="45">
        <f>'U-Net'!AI246</f>
        <v/>
      </c>
      <c r="N246" s="45">
        <f>'DeepLabV3+'!AI246</f>
        <v/>
      </c>
      <c r="O246" s="45">
        <f>'YOLO11n-seg'!AI246</f>
        <v/>
      </c>
    </row>
    <row r="247" ht="15" customHeight="1" s="30">
      <c r="A247" s="73">
        <f>'U-Net'!A247</f>
        <v/>
      </c>
      <c r="B247" s="45">
        <f>'U-Net'!AH247</f>
        <v/>
      </c>
      <c r="C247" s="45">
        <f>'DeepLabV3+'!AH247</f>
        <v/>
      </c>
      <c r="D247" s="45">
        <f>'YOLO11n-seg'!AH247</f>
        <v/>
      </c>
      <c r="E247" s="46">
        <f>INDEX($B$4:$D$4,MATCH(MAX(B247:D247),B247:D247,0))</f>
        <v/>
      </c>
      <c r="F247" s="45">
        <f>MAX(B247:D247)-MIN(B247:D247)</f>
        <v/>
      </c>
      <c r="G247" s="45">
        <f>'U-Net'!AF247</f>
        <v/>
      </c>
      <c r="H247" s="45">
        <f>'DeepLabV3+'!AF247</f>
        <v/>
      </c>
      <c r="I247" s="45">
        <f>'YOLO11n-seg'!AF247</f>
        <v/>
      </c>
      <c r="J247" s="45">
        <f>'U-Net'!AG247</f>
        <v/>
      </c>
      <c r="K247" s="45">
        <f>'DeepLabV3+'!AG247</f>
        <v/>
      </c>
      <c r="L247" s="45">
        <f>'YOLO11n-seg'!AG247</f>
        <v/>
      </c>
      <c r="M247" s="45">
        <f>'U-Net'!AI247</f>
        <v/>
      </c>
      <c r="N247" s="45">
        <f>'DeepLabV3+'!AI247</f>
        <v/>
      </c>
      <c r="O247" s="45">
        <f>'YOLO11n-seg'!AI247</f>
        <v/>
      </c>
    </row>
    <row r="248" ht="15" customHeight="1" s="30">
      <c r="A248" s="73">
        <f>'U-Net'!A248</f>
        <v/>
      </c>
      <c r="B248" s="45">
        <f>'U-Net'!AH248</f>
        <v/>
      </c>
      <c r="C248" s="45">
        <f>'DeepLabV3+'!AH248</f>
        <v/>
      </c>
      <c r="D248" s="45">
        <f>'YOLO11n-seg'!AH248</f>
        <v/>
      </c>
      <c r="E248" s="46">
        <f>INDEX($B$4:$D$4,MATCH(MAX(B248:D248),B248:D248,0))</f>
        <v/>
      </c>
      <c r="F248" s="45">
        <f>MAX(B248:D248)-MIN(B248:D248)</f>
        <v/>
      </c>
      <c r="G248" s="45">
        <f>'U-Net'!AF248</f>
        <v/>
      </c>
      <c r="H248" s="45">
        <f>'DeepLabV3+'!AF248</f>
        <v/>
      </c>
      <c r="I248" s="45">
        <f>'YOLO11n-seg'!AF248</f>
        <v/>
      </c>
      <c r="J248" s="45">
        <f>'U-Net'!AG248</f>
        <v/>
      </c>
      <c r="K248" s="45">
        <f>'DeepLabV3+'!AG248</f>
        <v/>
      </c>
      <c r="L248" s="45">
        <f>'YOLO11n-seg'!AG248</f>
        <v/>
      </c>
      <c r="M248" s="45">
        <f>'U-Net'!AI248</f>
        <v/>
      </c>
      <c r="N248" s="45">
        <f>'DeepLabV3+'!AI248</f>
        <v/>
      </c>
      <c r="O248" s="45">
        <f>'YOLO11n-seg'!AI248</f>
        <v/>
      </c>
    </row>
    <row r="249" ht="15" customHeight="1" s="30">
      <c r="A249" s="73">
        <f>'U-Net'!A249</f>
        <v/>
      </c>
      <c r="B249" s="45">
        <f>'U-Net'!AH249</f>
        <v/>
      </c>
      <c r="C249" s="45">
        <f>'DeepLabV3+'!AH249</f>
        <v/>
      </c>
      <c r="D249" s="45">
        <f>'YOLO11n-seg'!AH249</f>
        <v/>
      </c>
      <c r="E249" s="46">
        <f>INDEX($B$4:$D$4,MATCH(MAX(B249:D249),B249:D249,0))</f>
        <v/>
      </c>
      <c r="F249" s="45">
        <f>MAX(B249:D249)-MIN(B249:D249)</f>
        <v/>
      </c>
      <c r="G249" s="45">
        <f>'U-Net'!AF249</f>
        <v/>
      </c>
      <c r="H249" s="45">
        <f>'DeepLabV3+'!AF249</f>
        <v/>
      </c>
      <c r="I249" s="45">
        <f>'YOLO11n-seg'!AF249</f>
        <v/>
      </c>
      <c r="J249" s="45">
        <f>'U-Net'!AG249</f>
        <v/>
      </c>
      <c r="K249" s="45">
        <f>'DeepLabV3+'!AG249</f>
        <v/>
      </c>
      <c r="L249" s="45">
        <f>'YOLO11n-seg'!AG249</f>
        <v/>
      </c>
      <c r="M249" s="45">
        <f>'U-Net'!AI249</f>
        <v/>
      </c>
      <c r="N249" s="45">
        <f>'DeepLabV3+'!AI249</f>
        <v/>
      </c>
      <c r="O249" s="45">
        <f>'YOLO11n-seg'!AI249</f>
        <v/>
      </c>
    </row>
    <row r="250" ht="15" customHeight="1" s="30">
      <c r="A250" s="73">
        <f>'U-Net'!A250</f>
        <v/>
      </c>
      <c r="B250" s="45">
        <f>'U-Net'!AH250</f>
        <v/>
      </c>
      <c r="C250" s="45">
        <f>'DeepLabV3+'!AH250</f>
        <v/>
      </c>
      <c r="D250" s="45">
        <f>'YOLO11n-seg'!AH250</f>
        <v/>
      </c>
      <c r="E250" s="46">
        <f>INDEX($B$4:$D$4,MATCH(MAX(B250:D250),B250:D250,0))</f>
        <v/>
      </c>
      <c r="F250" s="45">
        <f>MAX(B250:D250)-MIN(B250:D250)</f>
        <v/>
      </c>
      <c r="G250" s="45">
        <f>'U-Net'!AF250</f>
        <v/>
      </c>
      <c r="H250" s="45">
        <f>'DeepLabV3+'!AF250</f>
        <v/>
      </c>
      <c r="I250" s="45">
        <f>'YOLO11n-seg'!AF250</f>
        <v/>
      </c>
      <c r="J250" s="45">
        <f>'U-Net'!AG250</f>
        <v/>
      </c>
      <c r="K250" s="45">
        <f>'DeepLabV3+'!AG250</f>
        <v/>
      </c>
      <c r="L250" s="45">
        <f>'YOLO11n-seg'!AG250</f>
        <v/>
      </c>
      <c r="M250" s="45">
        <f>'U-Net'!AI250</f>
        <v/>
      </c>
      <c r="N250" s="45">
        <f>'DeepLabV3+'!AI250</f>
        <v/>
      </c>
      <c r="O250" s="45">
        <f>'YOLO11n-seg'!AI250</f>
        <v/>
      </c>
    </row>
    <row r="251" ht="15" customHeight="1" s="30">
      <c r="A251" s="73">
        <f>'U-Net'!A251</f>
        <v/>
      </c>
      <c r="B251" s="45">
        <f>'U-Net'!AH251</f>
        <v/>
      </c>
      <c r="C251" s="45">
        <f>'DeepLabV3+'!AH251</f>
        <v/>
      </c>
      <c r="D251" s="45">
        <f>'YOLO11n-seg'!AH251</f>
        <v/>
      </c>
      <c r="E251" s="46">
        <f>INDEX($B$4:$D$4,MATCH(MAX(B251:D251),B251:D251,0))</f>
        <v/>
      </c>
      <c r="F251" s="45">
        <f>MAX(B251:D251)-MIN(B251:D251)</f>
        <v/>
      </c>
      <c r="G251" s="45">
        <f>'U-Net'!AF251</f>
        <v/>
      </c>
      <c r="H251" s="45">
        <f>'DeepLabV3+'!AF251</f>
        <v/>
      </c>
      <c r="I251" s="45">
        <f>'YOLO11n-seg'!AF251</f>
        <v/>
      </c>
      <c r="J251" s="45">
        <f>'U-Net'!AG251</f>
        <v/>
      </c>
      <c r="K251" s="45">
        <f>'DeepLabV3+'!AG251</f>
        <v/>
      </c>
      <c r="L251" s="45">
        <f>'YOLO11n-seg'!AG251</f>
        <v/>
      </c>
      <c r="M251" s="45">
        <f>'U-Net'!AI251</f>
        <v/>
      </c>
      <c r="N251" s="45">
        <f>'DeepLabV3+'!AI251</f>
        <v/>
      </c>
      <c r="O251" s="45">
        <f>'YOLO11n-seg'!AI251</f>
        <v/>
      </c>
    </row>
    <row r="252" ht="15" customHeight="1" s="30">
      <c r="A252" s="73">
        <f>'U-Net'!A252</f>
        <v/>
      </c>
      <c r="B252" s="45">
        <f>'U-Net'!AH252</f>
        <v/>
      </c>
      <c r="C252" s="45">
        <f>'DeepLabV3+'!AH252</f>
        <v/>
      </c>
      <c r="D252" s="45">
        <f>'YOLO11n-seg'!AH252</f>
        <v/>
      </c>
      <c r="E252" s="46">
        <f>INDEX($B$4:$D$4,MATCH(MAX(B252:D252),B252:D252,0))</f>
        <v/>
      </c>
      <c r="F252" s="45">
        <f>MAX(B252:D252)-MIN(B252:D252)</f>
        <v/>
      </c>
      <c r="G252" s="45">
        <f>'U-Net'!AF252</f>
        <v/>
      </c>
      <c r="H252" s="45">
        <f>'DeepLabV3+'!AF252</f>
        <v/>
      </c>
      <c r="I252" s="45">
        <f>'YOLO11n-seg'!AF252</f>
        <v/>
      </c>
      <c r="J252" s="45">
        <f>'U-Net'!AG252</f>
        <v/>
      </c>
      <c r="K252" s="45">
        <f>'DeepLabV3+'!AG252</f>
        <v/>
      </c>
      <c r="L252" s="45">
        <f>'YOLO11n-seg'!AG252</f>
        <v/>
      </c>
      <c r="M252" s="45">
        <f>'U-Net'!AI252</f>
        <v/>
      </c>
      <c r="N252" s="45">
        <f>'DeepLabV3+'!AI252</f>
        <v/>
      </c>
      <c r="O252" s="45">
        <f>'YOLO11n-seg'!AI252</f>
        <v/>
      </c>
    </row>
    <row r="253" ht="15" customHeight="1" s="30">
      <c r="A253" s="73">
        <f>'U-Net'!A253</f>
        <v/>
      </c>
      <c r="B253" s="45">
        <f>'U-Net'!AH253</f>
        <v/>
      </c>
      <c r="C253" s="45">
        <f>'DeepLabV3+'!AH253</f>
        <v/>
      </c>
      <c r="D253" s="45">
        <f>'YOLO11n-seg'!AH253</f>
        <v/>
      </c>
      <c r="E253" s="46">
        <f>INDEX($B$4:$D$4,MATCH(MAX(B253:D253),B253:D253,0))</f>
        <v/>
      </c>
      <c r="F253" s="45">
        <f>MAX(B253:D253)-MIN(B253:D253)</f>
        <v/>
      </c>
      <c r="G253" s="45">
        <f>'U-Net'!AF253</f>
        <v/>
      </c>
      <c r="H253" s="45">
        <f>'DeepLabV3+'!AF253</f>
        <v/>
      </c>
      <c r="I253" s="45">
        <f>'YOLO11n-seg'!AF253</f>
        <v/>
      </c>
      <c r="J253" s="45">
        <f>'U-Net'!AG253</f>
        <v/>
      </c>
      <c r="K253" s="45">
        <f>'DeepLabV3+'!AG253</f>
        <v/>
      </c>
      <c r="L253" s="45">
        <f>'YOLO11n-seg'!AG253</f>
        <v/>
      </c>
      <c r="M253" s="45">
        <f>'U-Net'!AI253</f>
        <v/>
      </c>
      <c r="N253" s="45">
        <f>'DeepLabV3+'!AI253</f>
        <v/>
      </c>
      <c r="O253" s="45">
        <f>'YOLO11n-seg'!AI253</f>
        <v/>
      </c>
    </row>
    <row r="254" ht="15" customHeight="1" s="30">
      <c r="A254" s="73">
        <f>'U-Net'!A254</f>
        <v/>
      </c>
      <c r="B254" s="45">
        <f>'U-Net'!AH254</f>
        <v/>
      </c>
      <c r="C254" s="45">
        <f>'DeepLabV3+'!AH254</f>
        <v/>
      </c>
      <c r="D254" s="45">
        <f>'YOLO11n-seg'!AH254</f>
        <v/>
      </c>
      <c r="E254" s="46">
        <f>INDEX($B$4:$D$4,MATCH(MAX(B254:D254),B254:D254,0))</f>
        <v/>
      </c>
      <c r="F254" s="45">
        <f>MAX(B254:D254)-MIN(B254:D254)</f>
        <v/>
      </c>
      <c r="G254" s="45">
        <f>'U-Net'!AF254</f>
        <v/>
      </c>
      <c r="H254" s="45">
        <f>'DeepLabV3+'!AF254</f>
        <v/>
      </c>
      <c r="I254" s="45">
        <f>'YOLO11n-seg'!AF254</f>
        <v/>
      </c>
      <c r="J254" s="45">
        <f>'U-Net'!AG254</f>
        <v/>
      </c>
      <c r="K254" s="45">
        <f>'DeepLabV3+'!AG254</f>
        <v/>
      </c>
      <c r="L254" s="45">
        <f>'YOLO11n-seg'!AG254</f>
        <v/>
      </c>
      <c r="M254" s="45">
        <f>'U-Net'!AI254</f>
        <v/>
      </c>
      <c r="N254" s="45">
        <f>'DeepLabV3+'!AI254</f>
        <v/>
      </c>
      <c r="O254" s="45">
        <f>'YOLO11n-seg'!AI254</f>
        <v/>
      </c>
    </row>
    <row r="255" ht="15" customHeight="1" s="30">
      <c r="A255" s="73">
        <f>'U-Net'!A255</f>
        <v/>
      </c>
      <c r="B255" s="45">
        <f>'U-Net'!AH255</f>
        <v/>
      </c>
      <c r="C255" s="45">
        <f>'DeepLabV3+'!AH255</f>
        <v/>
      </c>
      <c r="D255" s="45">
        <f>'YOLO11n-seg'!AH255</f>
        <v/>
      </c>
      <c r="E255" s="46">
        <f>INDEX($B$4:$D$4,MATCH(MAX(B255:D255),B255:D255,0))</f>
        <v/>
      </c>
      <c r="F255" s="45">
        <f>MAX(B255:D255)-MIN(B255:D255)</f>
        <v/>
      </c>
      <c r="G255" s="45">
        <f>'U-Net'!AF255</f>
        <v/>
      </c>
      <c r="H255" s="45">
        <f>'DeepLabV3+'!AF255</f>
        <v/>
      </c>
      <c r="I255" s="45">
        <f>'YOLO11n-seg'!AF255</f>
        <v/>
      </c>
      <c r="J255" s="45">
        <f>'U-Net'!AG255</f>
        <v/>
      </c>
      <c r="K255" s="45">
        <f>'DeepLabV3+'!AG255</f>
        <v/>
      </c>
      <c r="L255" s="45">
        <f>'YOLO11n-seg'!AG255</f>
        <v/>
      </c>
      <c r="M255" s="45">
        <f>'U-Net'!AI255</f>
        <v/>
      </c>
      <c r="N255" s="45">
        <f>'DeepLabV3+'!AI255</f>
        <v/>
      </c>
      <c r="O255" s="45">
        <f>'YOLO11n-seg'!AI255</f>
        <v/>
      </c>
    </row>
    <row r="256" ht="15" customHeight="1" s="30">
      <c r="A256" s="73">
        <f>'U-Net'!A256</f>
        <v/>
      </c>
      <c r="B256" s="45">
        <f>'U-Net'!AH256</f>
        <v/>
      </c>
      <c r="C256" s="45">
        <f>'DeepLabV3+'!AH256</f>
        <v/>
      </c>
      <c r="D256" s="45">
        <f>'YOLO11n-seg'!AH256</f>
        <v/>
      </c>
      <c r="E256" s="46">
        <f>INDEX($B$4:$D$4,MATCH(MAX(B256:D256),B256:D256,0))</f>
        <v/>
      </c>
      <c r="F256" s="45">
        <f>MAX(B256:D256)-MIN(B256:D256)</f>
        <v/>
      </c>
      <c r="G256" s="45">
        <f>'U-Net'!AF256</f>
        <v/>
      </c>
      <c r="H256" s="45">
        <f>'DeepLabV3+'!AF256</f>
        <v/>
      </c>
      <c r="I256" s="45">
        <f>'YOLO11n-seg'!AF256</f>
        <v/>
      </c>
      <c r="J256" s="45">
        <f>'U-Net'!AG256</f>
        <v/>
      </c>
      <c r="K256" s="45">
        <f>'DeepLabV3+'!AG256</f>
        <v/>
      </c>
      <c r="L256" s="45">
        <f>'YOLO11n-seg'!AG256</f>
        <v/>
      </c>
      <c r="M256" s="45">
        <f>'U-Net'!AI256</f>
        <v/>
      </c>
      <c r="N256" s="45">
        <f>'DeepLabV3+'!AI256</f>
        <v/>
      </c>
      <c r="O256" s="45">
        <f>'YOLO11n-seg'!AI256</f>
        <v/>
      </c>
    </row>
    <row r="257" ht="15" customHeight="1" s="30">
      <c r="A257" s="73">
        <f>'U-Net'!A257</f>
        <v/>
      </c>
      <c r="B257" s="45">
        <f>'U-Net'!AH257</f>
        <v/>
      </c>
      <c r="C257" s="45">
        <f>'DeepLabV3+'!AH257</f>
        <v/>
      </c>
      <c r="D257" s="45">
        <f>'YOLO11n-seg'!AH257</f>
        <v/>
      </c>
      <c r="E257" s="46">
        <f>INDEX($B$4:$D$4,MATCH(MAX(B257:D257),B257:D257,0))</f>
        <v/>
      </c>
      <c r="F257" s="45">
        <f>MAX(B257:D257)-MIN(B257:D257)</f>
        <v/>
      </c>
      <c r="G257" s="45">
        <f>'U-Net'!AF257</f>
        <v/>
      </c>
      <c r="H257" s="45">
        <f>'DeepLabV3+'!AF257</f>
        <v/>
      </c>
      <c r="I257" s="45">
        <f>'YOLO11n-seg'!AF257</f>
        <v/>
      </c>
      <c r="J257" s="45">
        <f>'U-Net'!AG257</f>
        <v/>
      </c>
      <c r="K257" s="45">
        <f>'DeepLabV3+'!AG257</f>
        <v/>
      </c>
      <c r="L257" s="45">
        <f>'YOLO11n-seg'!AG257</f>
        <v/>
      </c>
      <c r="M257" s="45">
        <f>'U-Net'!AI257</f>
        <v/>
      </c>
      <c r="N257" s="45">
        <f>'DeepLabV3+'!AI257</f>
        <v/>
      </c>
      <c r="O257" s="45">
        <f>'YOLO11n-seg'!AI257</f>
        <v/>
      </c>
    </row>
    <row r="258" ht="15" customHeight="1" s="30">
      <c r="A258" s="73">
        <f>'U-Net'!A258</f>
        <v/>
      </c>
      <c r="B258" s="45">
        <f>'U-Net'!AH258</f>
        <v/>
      </c>
      <c r="C258" s="45">
        <f>'DeepLabV3+'!AH258</f>
        <v/>
      </c>
      <c r="D258" s="45">
        <f>'YOLO11n-seg'!AH258</f>
        <v/>
      </c>
      <c r="E258" s="46">
        <f>INDEX($B$4:$D$4,MATCH(MAX(B258:D258),B258:D258,0))</f>
        <v/>
      </c>
      <c r="F258" s="45">
        <f>MAX(B258:D258)-MIN(B258:D258)</f>
        <v/>
      </c>
      <c r="G258" s="45">
        <f>'U-Net'!AF258</f>
        <v/>
      </c>
      <c r="H258" s="45">
        <f>'DeepLabV3+'!AF258</f>
        <v/>
      </c>
      <c r="I258" s="45">
        <f>'YOLO11n-seg'!AF258</f>
        <v/>
      </c>
      <c r="J258" s="45">
        <f>'U-Net'!AG258</f>
        <v/>
      </c>
      <c r="K258" s="45">
        <f>'DeepLabV3+'!AG258</f>
        <v/>
      </c>
      <c r="L258" s="45">
        <f>'YOLO11n-seg'!AG258</f>
        <v/>
      </c>
      <c r="M258" s="45">
        <f>'U-Net'!AI258</f>
        <v/>
      </c>
      <c r="N258" s="45">
        <f>'DeepLabV3+'!AI258</f>
        <v/>
      </c>
      <c r="O258" s="45">
        <f>'YOLO11n-seg'!AI258</f>
        <v/>
      </c>
    </row>
    <row r="259" ht="15" customHeight="1" s="30">
      <c r="A259" s="73">
        <f>'U-Net'!A259</f>
        <v/>
      </c>
      <c r="B259" s="45">
        <f>'U-Net'!AH259</f>
        <v/>
      </c>
      <c r="C259" s="45">
        <f>'DeepLabV3+'!AH259</f>
        <v/>
      </c>
      <c r="D259" s="45">
        <f>'YOLO11n-seg'!AH259</f>
        <v/>
      </c>
      <c r="E259" s="46">
        <f>INDEX($B$4:$D$4,MATCH(MAX(B259:D259),B259:D259,0))</f>
        <v/>
      </c>
      <c r="F259" s="45">
        <f>MAX(B259:D259)-MIN(B259:D259)</f>
        <v/>
      </c>
      <c r="G259" s="45">
        <f>'U-Net'!AF259</f>
        <v/>
      </c>
      <c r="H259" s="45">
        <f>'DeepLabV3+'!AF259</f>
        <v/>
      </c>
      <c r="I259" s="45">
        <f>'YOLO11n-seg'!AF259</f>
        <v/>
      </c>
      <c r="J259" s="45">
        <f>'U-Net'!AG259</f>
        <v/>
      </c>
      <c r="K259" s="45">
        <f>'DeepLabV3+'!AG259</f>
        <v/>
      </c>
      <c r="L259" s="45">
        <f>'YOLO11n-seg'!AG259</f>
        <v/>
      </c>
      <c r="M259" s="45">
        <f>'U-Net'!AI259</f>
        <v/>
      </c>
      <c r="N259" s="45">
        <f>'DeepLabV3+'!AI259</f>
        <v/>
      </c>
      <c r="O259" s="45">
        <f>'YOLO11n-seg'!AI259</f>
        <v/>
      </c>
    </row>
    <row r="260" ht="15" customHeight="1" s="30">
      <c r="A260" s="73">
        <f>'U-Net'!A260</f>
        <v/>
      </c>
      <c r="B260" s="45">
        <f>'U-Net'!AH260</f>
        <v/>
      </c>
      <c r="C260" s="45">
        <f>'DeepLabV3+'!AH260</f>
        <v/>
      </c>
      <c r="D260" s="45">
        <f>'YOLO11n-seg'!AH260</f>
        <v/>
      </c>
      <c r="E260" s="46">
        <f>INDEX($B$4:$D$4,MATCH(MAX(B260:D260),B260:D260,0))</f>
        <v/>
      </c>
      <c r="F260" s="45">
        <f>MAX(B260:D260)-MIN(B260:D260)</f>
        <v/>
      </c>
      <c r="G260" s="45">
        <f>'U-Net'!AF260</f>
        <v/>
      </c>
      <c r="H260" s="45">
        <f>'DeepLabV3+'!AF260</f>
        <v/>
      </c>
      <c r="I260" s="45">
        <f>'YOLO11n-seg'!AF260</f>
        <v/>
      </c>
      <c r="J260" s="45">
        <f>'U-Net'!AG260</f>
        <v/>
      </c>
      <c r="K260" s="45">
        <f>'DeepLabV3+'!AG260</f>
        <v/>
      </c>
      <c r="L260" s="45">
        <f>'YOLO11n-seg'!AG260</f>
        <v/>
      </c>
      <c r="M260" s="45">
        <f>'U-Net'!AI260</f>
        <v/>
      </c>
      <c r="N260" s="45">
        <f>'DeepLabV3+'!AI260</f>
        <v/>
      </c>
      <c r="O260" s="45">
        <f>'YOLO11n-seg'!AI260</f>
        <v/>
      </c>
    </row>
    <row r="261" ht="15" customHeight="1" s="30">
      <c r="A261" s="73">
        <f>'U-Net'!A261</f>
        <v/>
      </c>
      <c r="B261" s="45">
        <f>'U-Net'!AH261</f>
        <v/>
      </c>
      <c r="C261" s="45">
        <f>'DeepLabV3+'!AH261</f>
        <v/>
      </c>
      <c r="D261" s="45">
        <f>'YOLO11n-seg'!AH261</f>
        <v/>
      </c>
      <c r="E261" s="46">
        <f>INDEX($B$4:$D$4,MATCH(MAX(B261:D261),B261:D261,0))</f>
        <v/>
      </c>
      <c r="F261" s="45">
        <f>MAX(B261:D261)-MIN(B261:D261)</f>
        <v/>
      </c>
      <c r="G261" s="45">
        <f>'U-Net'!AF261</f>
        <v/>
      </c>
      <c r="H261" s="45">
        <f>'DeepLabV3+'!AF261</f>
        <v/>
      </c>
      <c r="I261" s="45">
        <f>'YOLO11n-seg'!AF261</f>
        <v/>
      </c>
      <c r="J261" s="45">
        <f>'U-Net'!AG261</f>
        <v/>
      </c>
      <c r="K261" s="45">
        <f>'DeepLabV3+'!AG261</f>
        <v/>
      </c>
      <c r="L261" s="45">
        <f>'YOLO11n-seg'!AG261</f>
        <v/>
      </c>
      <c r="M261" s="45">
        <f>'U-Net'!AI261</f>
        <v/>
      </c>
      <c r="N261" s="45">
        <f>'DeepLabV3+'!AI261</f>
        <v/>
      </c>
      <c r="O261" s="45">
        <f>'YOLO11n-seg'!AI261</f>
        <v/>
      </c>
    </row>
    <row r="262" ht="15" customHeight="1" s="30">
      <c r="A262" s="73">
        <f>'U-Net'!A262</f>
        <v/>
      </c>
      <c r="B262" s="45">
        <f>'U-Net'!AH262</f>
        <v/>
      </c>
      <c r="C262" s="45">
        <f>'DeepLabV3+'!AH262</f>
        <v/>
      </c>
      <c r="D262" s="45">
        <f>'YOLO11n-seg'!AH262</f>
        <v/>
      </c>
      <c r="E262" s="46">
        <f>INDEX($B$4:$D$4,MATCH(MAX(B262:D262),B262:D262,0))</f>
        <v/>
      </c>
      <c r="F262" s="45">
        <f>MAX(B262:D262)-MIN(B262:D262)</f>
        <v/>
      </c>
      <c r="G262" s="45">
        <f>'U-Net'!AF262</f>
        <v/>
      </c>
      <c r="H262" s="45">
        <f>'DeepLabV3+'!AF262</f>
        <v/>
      </c>
      <c r="I262" s="45">
        <f>'YOLO11n-seg'!AF262</f>
        <v/>
      </c>
      <c r="J262" s="45">
        <f>'U-Net'!AG262</f>
        <v/>
      </c>
      <c r="K262" s="45">
        <f>'DeepLabV3+'!AG262</f>
        <v/>
      </c>
      <c r="L262" s="45">
        <f>'YOLO11n-seg'!AG262</f>
        <v/>
      </c>
      <c r="M262" s="45">
        <f>'U-Net'!AI262</f>
        <v/>
      </c>
      <c r="N262" s="45">
        <f>'DeepLabV3+'!AI262</f>
        <v/>
      </c>
      <c r="O262" s="45">
        <f>'YOLO11n-seg'!AI262</f>
        <v/>
      </c>
    </row>
    <row r="263" ht="15" customHeight="1" s="30">
      <c r="A263" s="73">
        <f>'U-Net'!A263</f>
        <v/>
      </c>
      <c r="B263" s="45">
        <f>'U-Net'!AH263</f>
        <v/>
      </c>
      <c r="C263" s="45">
        <f>'DeepLabV3+'!AH263</f>
        <v/>
      </c>
      <c r="D263" s="45">
        <f>'YOLO11n-seg'!AH263</f>
        <v/>
      </c>
      <c r="E263" s="46">
        <f>INDEX($B$4:$D$4,MATCH(MAX(B263:D263),B263:D263,0))</f>
        <v/>
      </c>
      <c r="F263" s="45">
        <f>MAX(B263:D263)-MIN(B263:D263)</f>
        <v/>
      </c>
      <c r="G263" s="45">
        <f>'U-Net'!AF263</f>
        <v/>
      </c>
      <c r="H263" s="45">
        <f>'DeepLabV3+'!AF263</f>
        <v/>
      </c>
      <c r="I263" s="45">
        <f>'YOLO11n-seg'!AF263</f>
        <v/>
      </c>
      <c r="J263" s="45">
        <f>'U-Net'!AG263</f>
        <v/>
      </c>
      <c r="K263" s="45">
        <f>'DeepLabV3+'!AG263</f>
        <v/>
      </c>
      <c r="L263" s="45">
        <f>'YOLO11n-seg'!AG263</f>
        <v/>
      </c>
      <c r="M263" s="45">
        <f>'U-Net'!AI263</f>
        <v/>
      </c>
      <c r="N263" s="45">
        <f>'DeepLabV3+'!AI263</f>
        <v/>
      </c>
      <c r="O263" s="45">
        <f>'YOLO11n-seg'!AI263</f>
        <v/>
      </c>
    </row>
    <row r="264" ht="15" customHeight="1" s="30">
      <c r="A264" s="73">
        <f>'U-Net'!A264</f>
        <v/>
      </c>
      <c r="B264" s="45">
        <f>'U-Net'!AH264</f>
        <v/>
      </c>
      <c r="C264" s="45">
        <f>'DeepLabV3+'!AH264</f>
        <v/>
      </c>
      <c r="D264" s="45">
        <f>'YOLO11n-seg'!AH264</f>
        <v/>
      </c>
      <c r="E264" s="46">
        <f>INDEX($B$4:$D$4,MATCH(MAX(B264:D264),B264:D264,0))</f>
        <v/>
      </c>
      <c r="F264" s="45">
        <f>MAX(B264:D264)-MIN(B264:D264)</f>
        <v/>
      </c>
      <c r="G264" s="45">
        <f>'U-Net'!AF264</f>
        <v/>
      </c>
      <c r="H264" s="45">
        <f>'DeepLabV3+'!AF264</f>
        <v/>
      </c>
      <c r="I264" s="45">
        <f>'YOLO11n-seg'!AF264</f>
        <v/>
      </c>
      <c r="J264" s="45">
        <f>'U-Net'!AG264</f>
        <v/>
      </c>
      <c r="K264" s="45">
        <f>'DeepLabV3+'!AG264</f>
        <v/>
      </c>
      <c r="L264" s="45">
        <f>'YOLO11n-seg'!AG264</f>
        <v/>
      </c>
      <c r="M264" s="45">
        <f>'U-Net'!AI264</f>
        <v/>
      </c>
      <c r="N264" s="45">
        <f>'DeepLabV3+'!AI264</f>
        <v/>
      </c>
      <c r="O264" s="45">
        <f>'YOLO11n-seg'!AI264</f>
        <v/>
      </c>
    </row>
    <row r="265" ht="15" customHeight="1" s="30">
      <c r="A265" s="73">
        <f>'U-Net'!A265</f>
        <v/>
      </c>
      <c r="B265" s="45">
        <f>'U-Net'!AH265</f>
        <v/>
      </c>
      <c r="C265" s="45">
        <f>'DeepLabV3+'!AH265</f>
        <v/>
      </c>
      <c r="D265" s="45">
        <f>'YOLO11n-seg'!AH265</f>
        <v/>
      </c>
      <c r="E265" s="46">
        <f>INDEX($B$4:$D$4,MATCH(MAX(B265:D265),B265:D265,0))</f>
        <v/>
      </c>
      <c r="F265" s="45">
        <f>MAX(B265:D265)-MIN(B265:D265)</f>
        <v/>
      </c>
      <c r="G265" s="45">
        <f>'U-Net'!AF265</f>
        <v/>
      </c>
      <c r="H265" s="45">
        <f>'DeepLabV3+'!AF265</f>
        <v/>
      </c>
      <c r="I265" s="45">
        <f>'YOLO11n-seg'!AF265</f>
        <v/>
      </c>
      <c r="J265" s="45">
        <f>'U-Net'!AG265</f>
        <v/>
      </c>
      <c r="K265" s="45">
        <f>'DeepLabV3+'!AG265</f>
        <v/>
      </c>
      <c r="L265" s="45">
        <f>'YOLO11n-seg'!AG265</f>
        <v/>
      </c>
      <c r="M265" s="45">
        <f>'U-Net'!AI265</f>
        <v/>
      </c>
      <c r="N265" s="45">
        <f>'DeepLabV3+'!AI265</f>
        <v/>
      </c>
      <c r="O265" s="45">
        <f>'YOLO11n-seg'!AI265</f>
        <v/>
      </c>
    </row>
    <row r="266" ht="15" customHeight="1" s="30">
      <c r="A266" s="73">
        <f>'U-Net'!A266</f>
        <v/>
      </c>
      <c r="B266" s="45">
        <f>'U-Net'!AH266</f>
        <v/>
      </c>
      <c r="C266" s="45">
        <f>'DeepLabV3+'!AH266</f>
        <v/>
      </c>
      <c r="D266" s="45">
        <f>'YOLO11n-seg'!AH266</f>
        <v/>
      </c>
      <c r="E266" s="46">
        <f>INDEX($B$4:$D$4,MATCH(MAX(B266:D266),B266:D266,0))</f>
        <v/>
      </c>
      <c r="F266" s="45">
        <f>MAX(B266:D266)-MIN(B266:D266)</f>
        <v/>
      </c>
      <c r="G266" s="45">
        <f>'U-Net'!AF266</f>
        <v/>
      </c>
      <c r="H266" s="45">
        <f>'DeepLabV3+'!AF266</f>
        <v/>
      </c>
      <c r="I266" s="45">
        <f>'YOLO11n-seg'!AF266</f>
        <v/>
      </c>
      <c r="J266" s="45">
        <f>'U-Net'!AG266</f>
        <v/>
      </c>
      <c r="K266" s="45">
        <f>'DeepLabV3+'!AG266</f>
        <v/>
      </c>
      <c r="L266" s="45">
        <f>'YOLO11n-seg'!AG266</f>
        <v/>
      </c>
      <c r="M266" s="45">
        <f>'U-Net'!AI266</f>
        <v/>
      </c>
      <c r="N266" s="45">
        <f>'DeepLabV3+'!AI266</f>
        <v/>
      </c>
      <c r="O266" s="45">
        <f>'YOLO11n-seg'!AI266</f>
        <v/>
      </c>
    </row>
    <row r="267" ht="15" customHeight="1" s="30">
      <c r="A267" s="73">
        <f>'U-Net'!A267</f>
        <v/>
      </c>
      <c r="B267" s="45">
        <f>'U-Net'!AH267</f>
        <v/>
      </c>
      <c r="C267" s="45">
        <f>'DeepLabV3+'!AH267</f>
        <v/>
      </c>
      <c r="D267" s="45">
        <f>'YOLO11n-seg'!AH267</f>
        <v/>
      </c>
      <c r="E267" s="46">
        <f>INDEX($B$4:$D$4,MATCH(MAX(B267:D267),B267:D267,0))</f>
        <v/>
      </c>
      <c r="F267" s="45">
        <f>MAX(B267:D267)-MIN(B267:D267)</f>
        <v/>
      </c>
      <c r="G267" s="45">
        <f>'U-Net'!AF267</f>
        <v/>
      </c>
      <c r="H267" s="45">
        <f>'DeepLabV3+'!AF267</f>
        <v/>
      </c>
      <c r="I267" s="45">
        <f>'YOLO11n-seg'!AF267</f>
        <v/>
      </c>
      <c r="J267" s="45">
        <f>'U-Net'!AG267</f>
        <v/>
      </c>
      <c r="K267" s="45">
        <f>'DeepLabV3+'!AG267</f>
        <v/>
      </c>
      <c r="L267" s="45">
        <f>'YOLO11n-seg'!AG267</f>
        <v/>
      </c>
      <c r="M267" s="45">
        <f>'U-Net'!AI267</f>
        <v/>
      </c>
      <c r="N267" s="45">
        <f>'DeepLabV3+'!AI267</f>
        <v/>
      </c>
      <c r="O267" s="45">
        <f>'YOLO11n-seg'!AI267</f>
        <v/>
      </c>
    </row>
    <row r="268" ht="15" customHeight="1" s="30">
      <c r="A268" s="73">
        <f>'U-Net'!A268</f>
        <v/>
      </c>
      <c r="B268" s="45">
        <f>'U-Net'!AH268</f>
        <v/>
      </c>
      <c r="C268" s="45">
        <f>'DeepLabV3+'!AH268</f>
        <v/>
      </c>
      <c r="D268" s="45">
        <f>'YOLO11n-seg'!AH268</f>
        <v/>
      </c>
      <c r="E268" s="46">
        <f>INDEX($B$4:$D$4,MATCH(MAX(B268:D268),B268:D268,0))</f>
        <v/>
      </c>
      <c r="F268" s="45">
        <f>MAX(B268:D268)-MIN(B268:D268)</f>
        <v/>
      </c>
      <c r="G268" s="45">
        <f>'U-Net'!AF268</f>
        <v/>
      </c>
      <c r="H268" s="45">
        <f>'DeepLabV3+'!AF268</f>
        <v/>
      </c>
      <c r="I268" s="45">
        <f>'YOLO11n-seg'!AF268</f>
        <v/>
      </c>
      <c r="J268" s="45">
        <f>'U-Net'!AG268</f>
        <v/>
      </c>
      <c r="K268" s="45">
        <f>'DeepLabV3+'!AG268</f>
        <v/>
      </c>
      <c r="L268" s="45">
        <f>'YOLO11n-seg'!AG268</f>
        <v/>
      </c>
      <c r="M268" s="45">
        <f>'U-Net'!AI268</f>
        <v/>
      </c>
      <c r="N268" s="45">
        <f>'DeepLabV3+'!AI268</f>
        <v/>
      </c>
      <c r="O268" s="45">
        <f>'YOLO11n-seg'!AI268</f>
        <v/>
      </c>
    </row>
    <row r="269" ht="15" customHeight="1" s="30">
      <c r="A269" s="73">
        <f>'U-Net'!A269</f>
        <v/>
      </c>
      <c r="B269" s="45">
        <f>'U-Net'!AH269</f>
        <v/>
      </c>
      <c r="C269" s="45">
        <f>'DeepLabV3+'!AH269</f>
        <v/>
      </c>
      <c r="D269" s="45">
        <f>'YOLO11n-seg'!AH269</f>
        <v/>
      </c>
      <c r="E269" s="46">
        <f>INDEX($B$4:$D$4,MATCH(MAX(B269:D269),B269:D269,0))</f>
        <v/>
      </c>
      <c r="F269" s="45">
        <f>MAX(B269:D269)-MIN(B269:D269)</f>
        <v/>
      </c>
      <c r="G269" s="45">
        <f>'U-Net'!AF269</f>
        <v/>
      </c>
      <c r="H269" s="45">
        <f>'DeepLabV3+'!AF269</f>
        <v/>
      </c>
      <c r="I269" s="45">
        <f>'YOLO11n-seg'!AF269</f>
        <v/>
      </c>
      <c r="J269" s="45">
        <f>'U-Net'!AG269</f>
        <v/>
      </c>
      <c r="K269" s="45">
        <f>'DeepLabV3+'!AG269</f>
        <v/>
      </c>
      <c r="L269" s="45">
        <f>'YOLO11n-seg'!AG269</f>
        <v/>
      </c>
      <c r="M269" s="45">
        <f>'U-Net'!AI269</f>
        <v/>
      </c>
      <c r="N269" s="45">
        <f>'DeepLabV3+'!AI269</f>
        <v/>
      </c>
      <c r="O269" s="45">
        <f>'YOLO11n-seg'!AI269</f>
        <v/>
      </c>
    </row>
    <row r="270" ht="15" customHeight="1" s="30">
      <c r="A270" s="73">
        <f>'U-Net'!A270</f>
        <v/>
      </c>
      <c r="B270" s="45">
        <f>'U-Net'!AH270</f>
        <v/>
      </c>
      <c r="C270" s="45">
        <f>'DeepLabV3+'!AH270</f>
        <v/>
      </c>
      <c r="D270" s="45">
        <f>'YOLO11n-seg'!AH270</f>
        <v/>
      </c>
      <c r="E270" s="46">
        <f>INDEX($B$4:$D$4,MATCH(MAX(B270:D270),B270:D270,0))</f>
        <v/>
      </c>
      <c r="F270" s="45">
        <f>MAX(B270:D270)-MIN(B270:D270)</f>
        <v/>
      </c>
      <c r="G270" s="45">
        <f>'U-Net'!AF270</f>
        <v/>
      </c>
      <c r="H270" s="45">
        <f>'DeepLabV3+'!AF270</f>
        <v/>
      </c>
      <c r="I270" s="45">
        <f>'YOLO11n-seg'!AF270</f>
        <v/>
      </c>
      <c r="J270" s="45">
        <f>'U-Net'!AG270</f>
        <v/>
      </c>
      <c r="K270" s="45">
        <f>'DeepLabV3+'!AG270</f>
        <v/>
      </c>
      <c r="L270" s="45">
        <f>'YOLO11n-seg'!AG270</f>
        <v/>
      </c>
      <c r="M270" s="45">
        <f>'U-Net'!AI270</f>
        <v/>
      </c>
      <c r="N270" s="45">
        <f>'DeepLabV3+'!AI270</f>
        <v/>
      </c>
      <c r="O270" s="45">
        <f>'YOLO11n-seg'!AI270</f>
        <v/>
      </c>
    </row>
    <row r="271" ht="15" customHeight="1" s="30">
      <c r="A271" s="73">
        <f>'U-Net'!A271</f>
        <v/>
      </c>
      <c r="B271" s="45">
        <f>'U-Net'!AH271</f>
        <v/>
      </c>
      <c r="C271" s="45">
        <f>'DeepLabV3+'!AH271</f>
        <v/>
      </c>
      <c r="D271" s="45">
        <f>'YOLO11n-seg'!AH271</f>
        <v/>
      </c>
      <c r="E271" s="46">
        <f>INDEX($B$4:$D$4,MATCH(MAX(B271:D271),B271:D271,0))</f>
        <v/>
      </c>
      <c r="F271" s="45">
        <f>MAX(B271:D271)-MIN(B271:D271)</f>
        <v/>
      </c>
      <c r="G271" s="45">
        <f>'U-Net'!AF271</f>
        <v/>
      </c>
      <c r="H271" s="45">
        <f>'DeepLabV3+'!AF271</f>
        <v/>
      </c>
      <c r="I271" s="45">
        <f>'YOLO11n-seg'!AF271</f>
        <v/>
      </c>
      <c r="J271" s="45">
        <f>'U-Net'!AG271</f>
        <v/>
      </c>
      <c r="K271" s="45">
        <f>'DeepLabV3+'!AG271</f>
        <v/>
      </c>
      <c r="L271" s="45">
        <f>'YOLO11n-seg'!AG271</f>
        <v/>
      </c>
      <c r="M271" s="45">
        <f>'U-Net'!AI271</f>
        <v/>
      </c>
      <c r="N271" s="45">
        <f>'DeepLabV3+'!AI271</f>
        <v/>
      </c>
      <c r="O271" s="45">
        <f>'YOLO11n-seg'!AI271</f>
        <v/>
      </c>
    </row>
    <row r="272" ht="15" customHeight="1" s="30">
      <c r="A272" s="73">
        <f>'U-Net'!A272</f>
        <v/>
      </c>
      <c r="B272" s="45">
        <f>'U-Net'!AH272</f>
        <v/>
      </c>
      <c r="C272" s="45">
        <f>'DeepLabV3+'!AH272</f>
        <v/>
      </c>
      <c r="D272" s="45">
        <f>'YOLO11n-seg'!AH272</f>
        <v/>
      </c>
      <c r="E272" s="46">
        <f>INDEX($B$4:$D$4,MATCH(MAX(B272:D272),B272:D272,0))</f>
        <v/>
      </c>
      <c r="F272" s="45">
        <f>MAX(B272:D272)-MIN(B272:D272)</f>
        <v/>
      </c>
      <c r="G272" s="45">
        <f>'U-Net'!AF272</f>
        <v/>
      </c>
      <c r="H272" s="45">
        <f>'DeepLabV3+'!AF272</f>
        <v/>
      </c>
      <c r="I272" s="45">
        <f>'YOLO11n-seg'!AF272</f>
        <v/>
      </c>
      <c r="J272" s="45">
        <f>'U-Net'!AG272</f>
        <v/>
      </c>
      <c r="K272" s="45">
        <f>'DeepLabV3+'!AG272</f>
        <v/>
      </c>
      <c r="L272" s="45">
        <f>'YOLO11n-seg'!AG272</f>
        <v/>
      </c>
      <c r="M272" s="45">
        <f>'U-Net'!AI272</f>
        <v/>
      </c>
      <c r="N272" s="45">
        <f>'DeepLabV3+'!AI272</f>
        <v/>
      </c>
      <c r="O272" s="45">
        <f>'YOLO11n-seg'!AI272</f>
        <v/>
      </c>
    </row>
    <row r="273" ht="15" customHeight="1" s="30">
      <c r="A273" s="73">
        <f>'U-Net'!A273</f>
        <v/>
      </c>
      <c r="B273" s="45">
        <f>'U-Net'!AH273</f>
        <v/>
      </c>
      <c r="C273" s="45">
        <f>'DeepLabV3+'!AH273</f>
        <v/>
      </c>
      <c r="D273" s="45">
        <f>'YOLO11n-seg'!AH273</f>
        <v/>
      </c>
      <c r="E273" s="46">
        <f>INDEX($B$4:$D$4,MATCH(MAX(B273:D273),B273:D273,0))</f>
        <v/>
      </c>
      <c r="F273" s="45">
        <f>MAX(B273:D273)-MIN(B273:D273)</f>
        <v/>
      </c>
      <c r="G273" s="45">
        <f>'U-Net'!AF273</f>
        <v/>
      </c>
      <c r="H273" s="45">
        <f>'DeepLabV3+'!AF273</f>
        <v/>
      </c>
      <c r="I273" s="45">
        <f>'YOLO11n-seg'!AF273</f>
        <v/>
      </c>
      <c r="J273" s="45">
        <f>'U-Net'!AG273</f>
        <v/>
      </c>
      <c r="K273" s="45">
        <f>'DeepLabV3+'!AG273</f>
        <v/>
      </c>
      <c r="L273" s="45">
        <f>'YOLO11n-seg'!AG273</f>
        <v/>
      </c>
      <c r="M273" s="45">
        <f>'U-Net'!AI273</f>
        <v/>
      </c>
      <c r="N273" s="45">
        <f>'DeepLabV3+'!AI273</f>
        <v/>
      </c>
      <c r="O273" s="45">
        <f>'YOLO11n-seg'!AI273</f>
        <v/>
      </c>
    </row>
    <row r="274" ht="15" customHeight="1" s="30">
      <c r="A274" s="73">
        <f>'U-Net'!A274</f>
        <v/>
      </c>
      <c r="B274" s="45">
        <f>'U-Net'!AH274</f>
        <v/>
      </c>
      <c r="C274" s="45">
        <f>'DeepLabV3+'!AH274</f>
        <v/>
      </c>
      <c r="D274" s="45">
        <f>'YOLO11n-seg'!AH274</f>
        <v/>
      </c>
      <c r="E274" s="46">
        <f>INDEX($B$4:$D$4,MATCH(MAX(B274:D274),B274:D274,0))</f>
        <v/>
      </c>
      <c r="F274" s="45">
        <f>MAX(B274:D274)-MIN(B274:D274)</f>
        <v/>
      </c>
      <c r="G274" s="45">
        <f>'U-Net'!AF274</f>
        <v/>
      </c>
      <c r="H274" s="45">
        <f>'DeepLabV3+'!AF274</f>
        <v/>
      </c>
      <c r="I274" s="45">
        <f>'YOLO11n-seg'!AF274</f>
        <v/>
      </c>
      <c r="J274" s="45">
        <f>'U-Net'!AG274</f>
        <v/>
      </c>
      <c r="K274" s="45">
        <f>'DeepLabV3+'!AG274</f>
        <v/>
      </c>
      <c r="L274" s="45">
        <f>'YOLO11n-seg'!AG274</f>
        <v/>
      </c>
      <c r="M274" s="45">
        <f>'U-Net'!AI274</f>
        <v/>
      </c>
      <c r="N274" s="45">
        <f>'DeepLabV3+'!AI274</f>
        <v/>
      </c>
      <c r="O274" s="45">
        <f>'YOLO11n-seg'!AI274</f>
        <v/>
      </c>
    </row>
    <row r="275" ht="15" customHeight="1" s="30">
      <c r="A275" s="73">
        <f>'U-Net'!A275</f>
        <v/>
      </c>
      <c r="B275" s="45">
        <f>'U-Net'!AH275</f>
        <v/>
      </c>
      <c r="C275" s="45">
        <f>'DeepLabV3+'!AH275</f>
        <v/>
      </c>
      <c r="D275" s="45">
        <f>'YOLO11n-seg'!AH275</f>
        <v/>
      </c>
      <c r="E275" s="46">
        <f>INDEX($B$4:$D$4,MATCH(MAX(B275:D275),B275:D275,0))</f>
        <v/>
      </c>
      <c r="F275" s="45">
        <f>MAX(B275:D275)-MIN(B275:D275)</f>
        <v/>
      </c>
      <c r="G275" s="45">
        <f>'U-Net'!AF275</f>
        <v/>
      </c>
      <c r="H275" s="45">
        <f>'DeepLabV3+'!AF275</f>
        <v/>
      </c>
      <c r="I275" s="45">
        <f>'YOLO11n-seg'!AF275</f>
        <v/>
      </c>
      <c r="J275" s="45">
        <f>'U-Net'!AG275</f>
        <v/>
      </c>
      <c r="K275" s="45">
        <f>'DeepLabV3+'!AG275</f>
        <v/>
      </c>
      <c r="L275" s="45">
        <f>'YOLO11n-seg'!AG275</f>
        <v/>
      </c>
      <c r="M275" s="45">
        <f>'U-Net'!AI275</f>
        <v/>
      </c>
      <c r="N275" s="45">
        <f>'DeepLabV3+'!AI275</f>
        <v/>
      </c>
      <c r="O275" s="45">
        <f>'YOLO11n-seg'!AI275</f>
        <v/>
      </c>
    </row>
    <row r="276" ht="15" customHeight="1" s="30">
      <c r="A276" s="73">
        <f>'U-Net'!A276</f>
        <v/>
      </c>
      <c r="B276" s="45">
        <f>'U-Net'!AH276</f>
        <v/>
      </c>
      <c r="C276" s="45">
        <f>'DeepLabV3+'!AH276</f>
        <v/>
      </c>
      <c r="D276" s="45">
        <f>'YOLO11n-seg'!AH276</f>
        <v/>
      </c>
      <c r="E276" s="46">
        <f>INDEX($B$4:$D$4,MATCH(MAX(B276:D276),B276:D276,0))</f>
        <v/>
      </c>
      <c r="F276" s="45">
        <f>MAX(B276:D276)-MIN(B276:D276)</f>
        <v/>
      </c>
      <c r="G276" s="45">
        <f>'U-Net'!AF276</f>
        <v/>
      </c>
      <c r="H276" s="45">
        <f>'DeepLabV3+'!AF276</f>
        <v/>
      </c>
      <c r="I276" s="45">
        <f>'YOLO11n-seg'!AF276</f>
        <v/>
      </c>
      <c r="J276" s="45">
        <f>'U-Net'!AG276</f>
        <v/>
      </c>
      <c r="K276" s="45">
        <f>'DeepLabV3+'!AG276</f>
        <v/>
      </c>
      <c r="L276" s="45">
        <f>'YOLO11n-seg'!AG276</f>
        <v/>
      </c>
      <c r="M276" s="45">
        <f>'U-Net'!AI276</f>
        <v/>
      </c>
      <c r="N276" s="45">
        <f>'DeepLabV3+'!AI276</f>
        <v/>
      </c>
      <c r="O276" s="45">
        <f>'YOLO11n-seg'!AI276</f>
        <v/>
      </c>
    </row>
    <row r="277" ht="15" customHeight="1" s="30">
      <c r="A277" s="73">
        <f>'U-Net'!A277</f>
        <v/>
      </c>
      <c r="B277" s="45">
        <f>'U-Net'!AH277</f>
        <v/>
      </c>
      <c r="C277" s="45">
        <f>'DeepLabV3+'!AH277</f>
        <v/>
      </c>
      <c r="D277" s="45">
        <f>'YOLO11n-seg'!AH277</f>
        <v/>
      </c>
      <c r="E277" s="46">
        <f>INDEX($B$4:$D$4,MATCH(MAX(B277:D277),B277:D277,0))</f>
        <v/>
      </c>
      <c r="F277" s="45">
        <f>MAX(B277:D277)-MIN(B277:D277)</f>
        <v/>
      </c>
      <c r="G277" s="45">
        <f>'U-Net'!AF277</f>
        <v/>
      </c>
      <c r="H277" s="45">
        <f>'DeepLabV3+'!AF277</f>
        <v/>
      </c>
      <c r="I277" s="45">
        <f>'YOLO11n-seg'!AF277</f>
        <v/>
      </c>
      <c r="J277" s="45">
        <f>'U-Net'!AG277</f>
        <v/>
      </c>
      <c r="K277" s="45">
        <f>'DeepLabV3+'!AG277</f>
        <v/>
      </c>
      <c r="L277" s="45">
        <f>'YOLO11n-seg'!AG277</f>
        <v/>
      </c>
      <c r="M277" s="45">
        <f>'U-Net'!AI277</f>
        <v/>
      </c>
      <c r="N277" s="45">
        <f>'DeepLabV3+'!AI277</f>
        <v/>
      </c>
      <c r="O277" s="45">
        <f>'YOLO11n-seg'!AI277</f>
        <v/>
      </c>
    </row>
    <row r="278" ht="15" customHeight="1" s="30">
      <c r="A278" s="73">
        <f>'U-Net'!A278</f>
        <v/>
      </c>
      <c r="B278" s="45">
        <f>'U-Net'!AH278</f>
        <v/>
      </c>
      <c r="C278" s="45">
        <f>'DeepLabV3+'!AH278</f>
        <v/>
      </c>
      <c r="D278" s="45">
        <f>'YOLO11n-seg'!AH278</f>
        <v/>
      </c>
      <c r="E278" s="46">
        <f>INDEX($B$4:$D$4,MATCH(MAX(B278:D278),B278:D278,0))</f>
        <v/>
      </c>
      <c r="F278" s="45">
        <f>MAX(B278:D278)-MIN(B278:D278)</f>
        <v/>
      </c>
      <c r="G278" s="45">
        <f>'U-Net'!AF278</f>
        <v/>
      </c>
      <c r="H278" s="45">
        <f>'DeepLabV3+'!AF278</f>
        <v/>
      </c>
      <c r="I278" s="45">
        <f>'YOLO11n-seg'!AF278</f>
        <v/>
      </c>
      <c r="J278" s="45">
        <f>'U-Net'!AG278</f>
        <v/>
      </c>
      <c r="K278" s="45">
        <f>'DeepLabV3+'!AG278</f>
        <v/>
      </c>
      <c r="L278" s="45">
        <f>'YOLO11n-seg'!AG278</f>
        <v/>
      </c>
      <c r="M278" s="45">
        <f>'U-Net'!AI278</f>
        <v/>
      </c>
      <c r="N278" s="45">
        <f>'DeepLabV3+'!AI278</f>
        <v/>
      </c>
      <c r="O278" s="45">
        <f>'YOLO11n-seg'!AI278</f>
        <v/>
      </c>
    </row>
    <row r="279" ht="15" customHeight="1" s="30">
      <c r="A279" s="73">
        <f>'U-Net'!A279</f>
        <v/>
      </c>
      <c r="B279" s="45">
        <f>'U-Net'!AH279</f>
        <v/>
      </c>
      <c r="C279" s="45">
        <f>'DeepLabV3+'!AH279</f>
        <v/>
      </c>
      <c r="D279" s="45">
        <f>'YOLO11n-seg'!AH279</f>
        <v/>
      </c>
      <c r="E279" s="46">
        <f>INDEX($B$4:$D$4,MATCH(MAX(B279:D279),B279:D279,0))</f>
        <v/>
      </c>
      <c r="F279" s="45">
        <f>MAX(B279:D279)-MIN(B279:D279)</f>
        <v/>
      </c>
      <c r="G279" s="45">
        <f>'U-Net'!AF279</f>
        <v/>
      </c>
      <c r="H279" s="45">
        <f>'DeepLabV3+'!AF279</f>
        <v/>
      </c>
      <c r="I279" s="45">
        <f>'YOLO11n-seg'!AF279</f>
        <v/>
      </c>
      <c r="J279" s="45">
        <f>'U-Net'!AG279</f>
        <v/>
      </c>
      <c r="K279" s="45">
        <f>'DeepLabV3+'!AG279</f>
        <v/>
      </c>
      <c r="L279" s="45">
        <f>'YOLO11n-seg'!AG279</f>
        <v/>
      </c>
      <c r="M279" s="45">
        <f>'U-Net'!AI279</f>
        <v/>
      </c>
      <c r="N279" s="45">
        <f>'DeepLabV3+'!AI279</f>
        <v/>
      </c>
      <c r="O279" s="45">
        <f>'YOLO11n-seg'!AI279</f>
        <v/>
      </c>
    </row>
    <row r="280" ht="15" customHeight="1" s="30">
      <c r="A280" s="73">
        <f>'U-Net'!A280</f>
        <v/>
      </c>
      <c r="B280" s="45">
        <f>'U-Net'!AH280</f>
        <v/>
      </c>
      <c r="C280" s="45">
        <f>'DeepLabV3+'!AH280</f>
        <v/>
      </c>
      <c r="D280" s="45">
        <f>'YOLO11n-seg'!AH280</f>
        <v/>
      </c>
      <c r="E280" s="46">
        <f>INDEX($B$4:$D$4,MATCH(MAX(B280:D280),B280:D280,0))</f>
        <v/>
      </c>
      <c r="F280" s="45">
        <f>MAX(B280:D280)-MIN(B280:D280)</f>
        <v/>
      </c>
      <c r="G280" s="45">
        <f>'U-Net'!AF280</f>
        <v/>
      </c>
      <c r="H280" s="45">
        <f>'DeepLabV3+'!AF280</f>
        <v/>
      </c>
      <c r="I280" s="45">
        <f>'YOLO11n-seg'!AF280</f>
        <v/>
      </c>
      <c r="J280" s="45">
        <f>'U-Net'!AG280</f>
        <v/>
      </c>
      <c r="K280" s="45">
        <f>'DeepLabV3+'!AG280</f>
        <v/>
      </c>
      <c r="L280" s="45">
        <f>'YOLO11n-seg'!AG280</f>
        <v/>
      </c>
      <c r="M280" s="45">
        <f>'U-Net'!AI280</f>
        <v/>
      </c>
      <c r="N280" s="45">
        <f>'DeepLabV3+'!AI280</f>
        <v/>
      </c>
      <c r="O280" s="45">
        <f>'YOLO11n-seg'!AI280</f>
        <v/>
      </c>
    </row>
    <row r="281" ht="15" customHeight="1" s="30">
      <c r="A281" s="73">
        <f>'U-Net'!A281</f>
        <v/>
      </c>
      <c r="B281" s="45">
        <f>'U-Net'!AH281</f>
        <v/>
      </c>
      <c r="C281" s="45">
        <f>'DeepLabV3+'!AH281</f>
        <v/>
      </c>
      <c r="D281" s="45">
        <f>'YOLO11n-seg'!AH281</f>
        <v/>
      </c>
      <c r="E281" s="46">
        <f>INDEX($B$4:$D$4,MATCH(MAX(B281:D281),B281:D281,0))</f>
        <v/>
      </c>
      <c r="F281" s="45">
        <f>MAX(B281:D281)-MIN(B281:D281)</f>
        <v/>
      </c>
      <c r="G281" s="45">
        <f>'U-Net'!AF281</f>
        <v/>
      </c>
      <c r="H281" s="45">
        <f>'DeepLabV3+'!AF281</f>
        <v/>
      </c>
      <c r="I281" s="45">
        <f>'YOLO11n-seg'!AF281</f>
        <v/>
      </c>
      <c r="J281" s="45">
        <f>'U-Net'!AG281</f>
        <v/>
      </c>
      <c r="K281" s="45">
        <f>'DeepLabV3+'!AG281</f>
        <v/>
      </c>
      <c r="L281" s="45">
        <f>'YOLO11n-seg'!AG281</f>
        <v/>
      </c>
      <c r="M281" s="45">
        <f>'U-Net'!AI281</f>
        <v/>
      </c>
      <c r="N281" s="45">
        <f>'DeepLabV3+'!AI281</f>
        <v/>
      </c>
      <c r="O281" s="45">
        <f>'YOLO11n-seg'!AI281</f>
        <v/>
      </c>
    </row>
    <row r="282" ht="15" customHeight="1" s="30">
      <c r="A282" s="73">
        <f>'U-Net'!A282</f>
        <v/>
      </c>
      <c r="B282" s="45">
        <f>'U-Net'!AH282</f>
        <v/>
      </c>
      <c r="C282" s="45">
        <f>'DeepLabV3+'!AH282</f>
        <v/>
      </c>
      <c r="D282" s="45">
        <f>'YOLO11n-seg'!AH282</f>
        <v/>
      </c>
      <c r="E282" s="46">
        <f>INDEX($B$4:$D$4,MATCH(MAX(B282:D282),B282:D282,0))</f>
        <v/>
      </c>
      <c r="F282" s="45">
        <f>MAX(B282:D282)-MIN(B282:D282)</f>
        <v/>
      </c>
      <c r="G282" s="45">
        <f>'U-Net'!AF282</f>
        <v/>
      </c>
      <c r="H282" s="45">
        <f>'DeepLabV3+'!AF282</f>
        <v/>
      </c>
      <c r="I282" s="45">
        <f>'YOLO11n-seg'!AF282</f>
        <v/>
      </c>
      <c r="J282" s="45">
        <f>'U-Net'!AG282</f>
        <v/>
      </c>
      <c r="K282" s="45">
        <f>'DeepLabV3+'!AG282</f>
        <v/>
      </c>
      <c r="L282" s="45">
        <f>'YOLO11n-seg'!AG282</f>
        <v/>
      </c>
      <c r="M282" s="45">
        <f>'U-Net'!AI282</f>
        <v/>
      </c>
      <c r="N282" s="45">
        <f>'DeepLabV3+'!AI282</f>
        <v/>
      </c>
      <c r="O282" s="45">
        <f>'YOLO11n-seg'!AI282</f>
        <v/>
      </c>
    </row>
    <row r="283" ht="15" customHeight="1" s="30">
      <c r="A283" s="73">
        <f>'U-Net'!A283</f>
        <v/>
      </c>
      <c r="B283" s="45">
        <f>'U-Net'!AH283</f>
        <v/>
      </c>
      <c r="C283" s="45">
        <f>'DeepLabV3+'!AH283</f>
        <v/>
      </c>
      <c r="D283" s="45">
        <f>'YOLO11n-seg'!AH283</f>
        <v/>
      </c>
      <c r="E283" s="46">
        <f>INDEX($B$4:$D$4,MATCH(MAX(B283:D283),B283:D283,0))</f>
        <v/>
      </c>
      <c r="F283" s="45">
        <f>MAX(B283:D283)-MIN(B283:D283)</f>
        <v/>
      </c>
      <c r="G283" s="45">
        <f>'U-Net'!AF283</f>
        <v/>
      </c>
      <c r="H283" s="45">
        <f>'DeepLabV3+'!AF283</f>
        <v/>
      </c>
      <c r="I283" s="45">
        <f>'YOLO11n-seg'!AF283</f>
        <v/>
      </c>
      <c r="J283" s="45">
        <f>'U-Net'!AG283</f>
        <v/>
      </c>
      <c r="K283" s="45">
        <f>'DeepLabV3+'!AG283</f>
        <v/>
      </c>
      <c r="L283" s="45">
        <f>'YOLO11n-seg'!AG283</f>
        <v/>
      </c>
      <c r="M283" s="45">
        <f>'U-Net'!AI283</f>
        <v/>
      </c>
      <c r="N283" s="45">
        <f>'DeepLabV3+'!AI283</f>
        <v/>
      </c>
      <c r="O283" s="45">
        <f>'YOLO11n-seg'!AI283</f>
        <v/>
      </c>
    </row>
    <row r="284" ht="15" customHeight="1" s="30">
      <c r="A284" s="73">
        <f>'U-Net'!A284</f>
        <v/>
      </c>
      <c r="B284" s="45">
        <f>'U-Net'!AH284</f>
        <v/>
      </c>
      <c r="C284" s="45">
        <f>'DeepLabV3+'!AH284</f>
        <v/>
      </c>
      <c r="D284" s="45">
        <f>'YOLO11n-seg'!AH284</f>
        <v/>
      </c>
      <c r="E284" s="46">
        <f>INDEX($B$4:$D$4,MATCH(MAX(B284:D284),B284:D284,0))</f>
        <v/>
      </c>
      <c r="F284" s="45">
        <f>MAX(B284:D284)-MIN(B284:D284)</f>
        <v/>
      </c>
      <c r="G284" s="45">
        <f>'U-Net'!AF284</f>
        <v/>
      </c>
      <c r="H284" s="45">
        <f>'DeepLabV3+'!AF284</f>
        <v/>
      </c>
      <c r="I284" s="45">
        <f>'YOLO11n-seg'!AF284</f>
        <v/>
      </c>
      <c r="J284" s="45">
        <f>'U-Net'!AG284</f>
        <v/>
      </c>
      <c r="K284" s="45">
        <f>'DeepLabV3+'!AG284</f>
        <v/>
      </c>
      <c r="L284" s="45">
        <f>'YOLO11n-seg'!AG284</f>
        <v/>
      </c>
      <c r="M284" s="45">
        <f>'U-Net'!AI284</f>
        <v/>
      </c>
      <c r="N284" s="45">
        <f>'DeepLabV3+'!AI284</f>
        <v/>
      </c>
      <c r="O284" s="45">
        <f>'YOLO11n-seg'!AI284</f>
        <v/>
      </c>
    </row>
    <row r="285" ht="15" customHeight="1" s="30">
      <c r="A285" s="73">
        <f>'U-Net'!A285</f>
        <v/>
      </c>
      <c r="B285" s="45">
        <f>'U-Net'!AH285</f>
        <v/>
      </c>
      <c r="C285" s="45">
        <f>'DeepLabV3+'!AH285</f>
        <v/>
      </c>
      <c r="D285" s="45">
        <f>'YOLO11n-seg'!AH285</f>
        <v/>
      </c>
      <c r="E285" s="46">
        <f>INDEX($B$4:$D$4,MATCH(MAX(B285:D285),B285:D285,0))</f>
        <v/>
      </c>
      <c r="F285" s="45">
        <f>MAX(B285:D285)-MIN(B285:D285)</f>
        <v/>
      </c>
      <c r="G285" s="45">
        <f>'U-Net'!AF285</f>
        <v/>
      </c>
      <c r="H285" s="45">
        <f>'DeepLabV3+'!AF285</f>
        <v/>
      </c>
      <c r="I285" s="45">
        <f>'YOLO11n-seg'!AF285</f>
        <v/>
      </c>
      <c r="J285" s="45">
        <f>'U-Net'!AG285</f>
        <v/>
      </c>
      <c r="K285" s="45">
        <f>'DeepLabV3+'!AG285</f>
        <v/>
      </c>
      <c r="L285" s="45">
        <f>'YOLO11n-seg'!AG285</f>
        <v/>
      </c>
      <c r="M285" s="45">
        <f>'U-Net'!AI285</f>
        <v/>
      </c>
      <c r="N285" s="45">
        <f>'DeepLabV3+'!AI285</f>
        <v/>
      </c>
      <c r="O285" s="45">
        <f>'YOLO11n-seg'!AI285</f>
        <v/>
      </c>
    </row>
    <row r="286" ht="15" customHeight="1" s="30">
      <c r="A286" s="73">
        <f>'U-Net'!A286</f>
        <v/>
      </c>
      <c r="B286" s="45">
        <f>'U-Net'!AH286</f>
        <v/>
      </c>
      <c r="C286" s="45">
        <f>'DeepLabV3+'!AH286</f>
        <v/>
      </c>
      <c r="D286" s="45">
        <f>'YOLO11n-seg'!AH286</f>
        <v/>
      </c>
      <c r="E286" s="46">
        <f>INDEX($B$4:$D$4,MATCH(MAX(B286:D286),B286:D286,0))</f>
        <v/>
      </c>
      <c r="F286" s="45">
        <f>MAX(B286:D286)-MIN(B286:D286)</f>
        <v/>
      </c>
      <c r="G286" s="45">
        <f>'U-Net'!AF286</f>
        <v/>
      </c>
      <c r="H286" s="45">
        <f>'DeepLabV3+'!AF286</f>
        <v/>
      </c>
      <c r="I286" s="45">
        <f>'YOLO11n-seg'!AF286</f>
        <v/>
      </c>
      <c r="J286" s="45">
        <f>'U-Net'!AG286</f>
        <v/>
      </c>
      <c r="K286" s="45">
        <f>'DeepLabV3+'!AG286</f>
        <v/>
      </c>
      <c r="L286" s="45">
        <f>'YOLO11n-seg'!AG286</f>
        <v/>
      </c>
      <c r="M286" s="45">
        <f>'U-Net'!AI286</f>
        <v/>
      </c>
      <c r="N286" s="45">
        <f>'DeepLabV3+'!AI286</f>
        <v/>
      </c>
      <c r="O286" s="45">
        <f>'YOLO11n-seg'!AI286</f>
        <v/>
      </c>
    </row>
    <row r="287" ht="15" customHeight="1" s="30">
      <c r="A287" s="73">
        <f>'U-Net'!A287</f>
        <v/>
      </c>
      <c r="B287" s="45">
        <f>'U-Net'!AH287</f>
        <v/>
      </c>
      <c r="C287" s="45">
        <f>'DeepLabV3+'!AH287</f>
        <v/>
      </c>
      <c r="D287" s="45">
        <f>'YOLO11n-seg'!AH287</f>
        <v/>
      </c>
      <c r="E287" s="46">
        <f>INDEX($B$4:$D$4,MATCH(MAX(B287:D287),B287:D287,0))</f>
        <v/>
      </c>
      <c r="F287" s="45">
        <f>MAX(B287:D287)-MIN(B287:D287)</f>
        <v/>
      </c>
      <c r="G287" s="45">
        <f>'U-Net'!AF287</f>
        <v/>
      </c>
      <c r="H287" s="45">
        <f>'DeepLabV3+'!AF287</f>
        <v/>
      </c>
      <c r="I287" s="45">
        <f>'YOLO11n-seg'!AF287</f>
        <v/>
      </c>
      <c r="J287" s="45">
        <f>'U-Net'!AG287</f>
        <v/>
      </c>
      <c r="K287" s="45">
        <f>'DeepLabV3+'!AG287</f>
        <v/>
      </c>
      <c r="L287" s="45">
        <f>'YOLO11n-seg'!AG287</f>
        <v/>
      </c>
      <c r="M287" s="45">
        <f>'U-Net'!AI287</f>
        <v/>
      </c>
      <c r="N287" s="45">
        <f>'DeepLabV3+'!AI287</f>
        <v/>
      </c>
      <c r="O287" s="45">
        <f>'YOLO11n-seg'!AI287</f>
        <v/>
      </c>
    </row>
    <row r="288" ht="15" customHeight="1" s="30">
      <c r="A288" s="73">
        <f>'U-Net'!A288</f>
        <v/>
      </c>
      <c r="B288" s="45">
        <f>'U-Net'!AH288</f>
        <v/>
      </c>
      <c r="C288" s="45">
        <f>'DeepLabV3+'!AH288</f>
        <v/>
      </c>
      <c r="D288" s="45">
        <f>'YOLO11n-seg'!AH288</f>
        <v/>
      </c>
      <c r="E288" s="46">
        <f>INDEX($B$4:$D$4,MATCH(MAX(B288:D288),B288:D288,0))</f>
        <v/>
      </c>
      <c r="F288" s="45">
        <f>MAX(B288:D288)-MIN(B288:D288)</f>
        <v/>
      </c>
      <c r="G288" s="45">
        <f>'U-Net'!AF288</f>
        <v/>
      </c>
      <c r="H288" s="45">
        <f>'DeepLabV3+'!AF288</f>
        <v/>
      </c>
      <c r="I288" s="45">
        <f>'YOLO11n-seg'!AF288</f>
        <v/>
      </c>
      <c r="J288" s="45">
        <f>'U-Net'!AG288</f>
        <v/>
      </c>
      <c r="K288" s="45">
        <f>'DeepLabV3+'!AG288</f>
        <v/>
      </c>
      <c r="L288" s="45">
        <f>'YOLO11n-seg'!AG288</f>
        <v/>
      </c>
      <c r="M288" s="45">
        <f>'U-Net'!AI288</f>
        <v/>
      </c>
      <c r="N288" s="45">
        <f>'DeepLabV3+'!AI288</f>
        <v/>
      </c>
      <c r="O288" s="45">
        <f>'YOLO11n-seg'!AI288</f>
        <v/>
      </c>
    </row>
    <row r="289" ht="15" customHeight="1" s="30">
      <c r="A289" s="73">
        <f>'U-Net'!A289</f>
        <v/>
      </c>
      <c r="B289" s="45">
        <f>'U-Net'!AH289</f>
        <v/>
      </c>
      <c r="C289" s="45">
        <f>'DeepLabV3+'!AH289</f>
        <v/>
      </c>
      <c r="D289" s="45">
        <f>'YOLO11n-seg'!AH289</f>
        <v/>
      </c>
      <c r="E289" s="46">
        <f>INDEX($B$4:$D$4,MATCH(MAX(B289:D289),B289:D289,0))</f>
        <v/>
      </c>
      <c r="F289" s="45">
        <f>MAX(B289:D289)-MIN(B289:D289)</f>
        <v/>
      </c>
      <c r="G289" s="45">
        <f>'U-Net'!AF289</f>
        <v/>
      </c>
      <c r="H289" s="45">
        <f>'DeepLabV3+'!AF289</f>
        <v/>
      </c>
      <c r="I289" s="45">
        <f>'YOLO11n-seg'!AF289</f>
        <v/>
      </c>
      <c r="J289" s="45">
        <f>'U-Net'!AG289</f>
        <v/>
      </c>
      <c r="K289" s="45">
        <f>'DeepLabV3+'!AG289</f>
        <v/>
      </c>
      <c r="L289" s="45">
        <f>'YOLO11n-seg'!AG289</f>
        <v/>
      </c>
      <c r="M289" s="45">
        <f>'U-Net'!AI289</f>
        <v/>
      </c>
      <c r="N289" s="45">
        <f>'DeepLabV3+'!AI289</f>
        <v/>
      </c>
      <c r="O289" s="45">
        <f>'YOLO11n-seg'!AI289</f>
        <v/>
      </c>
    </row>
    <row r="290" ht="15" customHeight="1" s="30">
      <c r="A290" s="73">
        <f>'U-Net'!A290</f>
        <v/>
      </c>
      <c r="B290" s="45">
        <f>'U-Net'!AH290</f>
        <v/>
      </c>
      <c r="C290" s="45">
        <f>'DeepLabV3+'!AH290</f>
        <v/>
      </c>
      <c r="D290" s="45">
        <f>'YOLO11n-seg'!AH290</f>
        <v/>
      </c>
      <c r="E290" s="46">
        <f>INDEX($B$4:$D$4,MATCH(MAX(B290:D290),B290:D290,0))</f>
        <v/>
      </c>
      <c r="F290" s="45">
        <f>MAX(B290:D290)-MIN(B290:D290)</f>
        <v/>
      </c>
      <c r="G290" s="45">
        <f>'U-Net'!AF290</f>
        <v/>
      </c>
      <c r="H290" s="45">
        <f>'DeepLabV3+'!AF290</f>
        <v/>
      </c>
      <c r="I290" s="45">
        <f>'YOLO11n-seg'!AF290</f>
        <v/>
      </c>
      <c r="J290" s="45">
        <f>'U-Net'!AG290</f>
        <v/>
      </c>
      <c r="K290" s="45">
        <f>'DeepLabV3+'!AG290</f>
        <v/>
      </c>
      <c r="L290" s="45">
        <f>'YOLO11n-seg'!AG290</f>
        <v/>
      </c>
      <c r="M290" s="45">
        <f>'U-Net'!AI290</f>
        <v/>
      </c>
      <c r="N290" s="45">
        <f>'DeepLabV3+'!AI290</f>
        <v/>
      </c>
      <c r="O290" s="45">
        <f>'YOLO11n-seg'!AI290</f>
        <v/>
      </c>
    </row>
    <row r="291" ht="15" customHeight="1" s="30">
      <c r="A291" s="73">
        <f>'U-Net'!A291</f>
        <v/>
      </c>
      <c r="B291" s="45">
        <f>'U-Net'!AH291</f>
        <v/>
      </c>
      <c r="C291" s="45">
        <f>'DeepLabV3+'!AH291</f>
        <v/>
      </c>
      <c r="D291" s="45">
        <f>'YOLO11n-seg'!AH291</f>
        <v/>
      </c>
      <c r="E291" s="46">
        <f>INDEX($B$4:$D$4,MATCH(MAX(B291:D291),B291:D291,0))</f>
        <v/>
      </c>
      <c r="F291" s="45">
        <f>MAX(B291:D291)-MIN(B291:D291)</f>
        <v/>
      </c>
      <c r="G291" s="45">
        <f>'U-Net'!AF291</f>
        <v/>
      </c>
      <c r="H291" s="45">
        <f>'DeepLabV3+'!AF291</f>
        <v/>
      </c>
      <c r="I291" s="45">
        <f>'YOLO11n-seg'!AF291</f>
        <v/>
      </c>
      <c r="J291" s="45">
        <f>'U-Net'!AG291</f>
        <v/>
      </c>
      <c r="K291" s="45">
        <f>'DeepLabV3+'!AG291</f>
        <v/>
      </c>
      <c r="L291" s="45">
        <f>'YOLO11n-seg'!AG291</f>
        <v/>
      </c>
      <c r="M291" s="45">
        <f>'U-Net'!AI291</f>
        <v/>
      </c>
      <c r="N291" s="45">
        <f>'DeepLabV3+'!AI291</f>
        <v/>
      </c>
      <c r="O291" s="45">
        <f>'YOLO11n-seg'!AI291</f>
        <v/>
      </c>
    </row>
    <row r="292" ht="15" customHeight="1" s="30">
      <c r="A292" s="73">
        <f>'U-Net'!A292</f>
        <v/>
      </c>
      <c r="B292" s="45">
        <f>'U-Net'!AH292</f>
        <v/>
      </c>
      <c r="C292" s="45">
        <f>'DeepLabV3+'!AH292</f>
        <v/>
      </c>
      <c r="D292" s="45">
        <f>'YOLO11n-seg'!AH292</f>
        <v/>
      </c>
      <c r="E292" s="46">
        <f>INDEX($B$4:$D$4,MATCH(MAX(B292:D292),B292:D292,0))</f>
        <v/>
      </c>
      <c r="F292" s="45">
        <f>MAX(B292:D292)-MIN(B292:D292)</f>
        <v/>
      </c>
      <c r="G292" s="45">
        <f>'U-Net'!AF292</f>
        <v/>
      </c>
      <c r="H292" s="45">
        <f>'DeepLabV3+'!AF292</f>
        <v/>
      </c>
      <c r="I292" s="45">
        <f>'YOLO11n-seg'!AF292</f>
        <v/>
      </c>
      <c r="J292" s="45">
        <f>'U-Net'!AG292</f>
        <v/>
      </c>
      <c r="K292" s="45">
        <f>'DeepLabV3+'!AG292</f>
        <v/>
      </c>
      <c r="L292" s="45">
        <f>'YOLO11n-seg'!AG292</f>
        <v/>
      </c>
      <c r="M292" s="45">
        <f>'U-Net'!AI292</f>
        <v/>
      </c>
      <c r="N292" s="45">
        <f>'DeepLabV3+'!AI292</f>
        <v/>
      </c>
      <c r="O292" s="45">
        <f>'YOLO11n-seg'!AI292</f>
        <v/>
      </c>
    </row>
    <row r="293" ht="15" customHeight="1" s="30">
      <c r="A293" s="73">
        <f>'U-Net'!A293</f>
        <v/>
      </c>
      <c r="B293" s="45">
        <f>'U-Net'!AH293</f>
        <v/>
      </c>
      <c r="C293" s="45">
        <f>'DeepLabV3+'!AH293</f>
        <v/>
      </c>
      <c r="D293" s="45">
        <f>'YOLO11n-seg'!AH293</f>
        <v/>
      </c>
      <c r="E293" s="46">
        <f>INDEX($B$4:$D$4,MATCH(MAX(B293:D293),B293:D293,0))</f>
        <v/>
      </c>
      <c r="F293" s="45">
        <f>MAX(B293:D293)-MIN(B293:D293)</f>
        <v/>
      </c>
      <c r="G293" s="45">
        <f>'U-Net'!AF293</f>
        <v/>
      </c>
      <c r="H293" s="45">
        <f>'DeepLabV3+'!AF293</f>
        <v/>
      </c>
      <c r="I293" s="45">
        <f>'YOLO11n-seg'!AF293</f>
        <v/>
      </c>
      <c r="J293" s="45">
        <f>'U-Net'!AG293</f>
        <v/>
      </c>
      <c r="K293" s="45">
        <f>'DeepLabV3+'!AG293</f>
        <v/>
      </c>
      <c r="L293" s="45">
        <f>'YOLO11n-seg'!AG293</f>
        <v/>
      </c>
      <c r="M293" s="45">
        <f>'U-Net'!AI293</f>
        <v/>
      </c>
      <c r="N293" s="45">
        <f>'DeepLabV3+'!AI293</f>
        <v/>
      </c>
      <c r="O293" s="45">
        <f>'YOLO11n-seg'!AI293</f>
        <v/>
      </c>
    </row>
    <row r="294" ht="15" customHeight="1" s="30">
      <c r="A294" s="73">
        <f>'U-Net'!A294</f>
        <v/>
      </c>
      <c r="B294" s="45">
        <f>'U-Net'!AH294</f>
        <v/>
      </c>
      <c r="C294" s="45">
        <f>'DeepLabV3+'!AH294</f>
        <v/>
      </c>
      <c r="D294" s="45">
        <f>'YOLO11n-seg'!AH294</f>
        <v/>
      </c>
      <c r="E294" s="46">
        <f>INDEX($B$4:$D$4,MATCH(MAX(B294:D294),B294:D294,0))</f>
        <v/>
      </c>
      <c r="F294" s="45">
        <f>MAX(B294:D294)-MIN(B294:D294)</f>
        <v/>
      </c>
      <c r="G294" s="45">
        <f>'U-Net'!AF294</f>
        <v/>
      </c>
      <c r="H294" s="45">
        <f>'DeepLabV3+'!AF294</f>
        <v/>
      </c>
      <c r="I294" s="45">
        <f>'YOLO11n-seg'!AF294</f>
        <v/>
      </c>
      <c r="J294" s="45">
        <f>'U-Net'!AG294</f>
        <v/>
      </c>
      <c r="K294" s="45">
        <f>'DeepLabV3+'!AG294</f>
        <v/>
      </c>
      <c r="L294" s="45">
        <f>'YOLO11n-seg'!AG294</f>
        <v/>
      </c>
      <c r="M294" s="45">
        <f>'U-Net'!AI294</f>
        <v/>
      </c>
      <c r="N294" s="45">
        <f>'DeepLabV3+'!AI294</f>
        <v/>
      </c>
      <c r="O294" s="45">
        <f>'YOLO11n-seg'!AI294</f>
        <v/>
      </c>
    </row>
    <row r="295" ht="15" customHeight="1" s="30">
      <c r="A295" s="73">
        <f>'U-Net'!A295</f>
        <v/>
      </c>
      <c r="B295" s="45">
        <f>'U-Net'!AH295</f>
        <v/>
      </c>
      <c r="C295" s="45">
        <f>'DeepLabV3+'!AH295</f>
        <v/>
      </c>
      <c r="D295" s="45">
        <f>'YOLO11n-seg'!AH295</f>
        <v/>
      </c>
      <c r="E295" s="46">
        <f>INDEX($B$4:$D$4,MATCH(MAX(B295:D295),B295:D295,0))</f>
        <v/>
      </c>
      <c r="F295" s="45">
        <f>MAX(B295:D295)-MIN(B295:D295)</f>
        <v/>
      </c>
      <c r="G295" s="45">
        <f>'U-Net'!AF295</f>
        <v/>
      </c>
      <c r="H295" s="45">
        <f>'DeepLabV3+'!AF295</f>
        <v/>
      </c>
      <c r="I295" s="45">
        <f>'YOLO11n-seg'!AF295</f>
        <v/>
      </c>
      <c r="J295" s="45">
        <f>'U-Net'!AG295</f>
        <v/>
      </c>
      <c r="K295" s="45">
        <f>'DeepLabV3+'!AG295</f>
        <v/>
      </c>
      <c r="L295" s="45">
        <f>'YOLO11n-seg'!AG295</f>
        <v/>
      </c>
      <c r="M295" s="45">
        <f>'U-Net'!AI295</f>
        <v/>
      </c>
      <c r="N295" s="45">
        <f>'DeepLabV3+'!AI295</f>
        <v/>
      </c>
      <c r="O295" s="45">
        <f>'YOLO11n-seg'!AI295</f>
        <v/>
      </c>
    </row>
    <row r="296" ht="15" customHeight="1" s="30">
      <c r="A296" s="73">
        <f>'U-Net'!A296</f>
        <v/>
      </c>
      <c r="B296" s="45">
        <f>'U-Net'!AH296</f>
        <v/>
      </c>
      <c r="C296" s="45">
        <f>'DeepLabV3+'!AH296</f>
        <v/>
      </c>
      <c r="D296" s="45">
        <f>'YOLO11n-seg'!AH296</f>
        <v/>
      </c>
      <c r="E296" s="46">
        <f>INDEX($B$4:$D$4,MATCH(MAX(B296:D296),B296:D296,0))</f>
        <v/>
      </c>
      <c r="F296" s="45">
        <f>MAX(B296:D296)-MIN(B296:D296)</f>
        <v/>
      </c>
      <c r="G296" s="45">
        <f>'U-Net'!AF296</f>
        <v/>
      </c>
      <c r="H296" s="45">
        <f>'DeepLabV3+'!AF296</f>
        <v/>
      </c>
      <c r="I296" s="45">
        <f>'YOLO11n-seg'!AF296</f>
        <v/>
      </c>
      <c r="J296" s="45">
        <f>'U-Net'!AG296</f>
        <v/>
      </c>
      <c r="K296" s="45">
        <f>'DeepLabV3+'!AG296</f>
        <v/>
      </c>
      <c r="L296" s="45">
        <f>'YOLO11n-seg'!AG296</f>
        <v/>
      </c>
      <c r="M296" s="45">
        <f>'U-Net'!AI296</f>
        <v/>
      </c>
      <c r="N296" s="45">
        <f>'DeepLabV3+'!AI296</f>
        <v/>
      </c>
      <c r="O296" s="45">
        <f>'YOLO11n-seg'!AI296</f>
        <v/>
      </c>
    </row>
    <row r="297" ht="15" customHeight="1" s="30">
      <c r="A297" s="73">
        <f>'U-Net'!A297</f>
        <v/>
      </c>
      <c r="B297" s="45">
        <f>'U-Net'!AH297</f>
        <v/>
      </c>
      <c r="C297" s="45">
        <f>'DeepLabV3+'!AH297</f>
        <v/>
      </c>
      <c r="D297" s="45">
        <f>'YOLO11n-seg'!AH297</f>
        <v/>
      </c>
      <c r="E297" s="46">
        <f>INDEX($B$4:$D$4,MATCH(MAX(B297:D297),B297:D297,0))</f>
        <v/>
      </c>
      <c r="F297" s="45">
        <f>MAX(B297:D297)-MIN(B297:D297)</f>
        <v/>
      </c>
      <c r="G297" s="45">
        <f>'U-Net'!AF297</f>
        <v/>
      </c>
      <c r="H297" s="45">
        <f>'DeepLabV3+'!AF297</f>
        <v/>
      </c>
      <c r="I297" s="45">
        <f>'YOLO11n-seg'!AF297</f>
        <v/>
      </c>
      <c r="J297" s="45">
        <f>'U-Net'!AG297</f>
        <v/>
      </c>
      <c r="K297" s="45">
        <f>'DeepLabV3+'!AG297</f>
        <v/>
      </c>
      <c r="L297" s="45">
        <f>'YOLO11n-seg'!AG297</f>
        <v/>
      </c>
      <c r="M297" s="45">
        <f>'U-Net'!AI297</f>
        <v/>
      </c>
      <c r="N297" s="45">
        <f>'DeepLabV3+'!AI297</f>
        <v/>
      </c>
      <c r="O297" s="45">
        <f>'YOLO11n-seg'!AI297</f>
        <v/>
      </c>
    </row>
    <row r="298" ht="15" customHeight="1" s="30">
      <c r="A298" s="73">
        <f>'U-Net'!A298</f>
        <v/>
      </c>
      <c r="B298" s="45">
        <f>'U-Net'!AH298</f>
        <v/>
      </c>
      <c r="C298" s="45">
        <f>'DeepLabV3+'!AH298</f>
        <v/>
      </c>
      <c r="D298" s="45">
        <f>'YOLO11n-seg'!AH298</f>
        <v/>
      </c>
      <c r="E298" s="46">
        <f>INDEX($B$4:$D$4,MATCH(MAX(B298:D298),B298:D298,0))</f>
        <v/>
      </c>
      <c r="F298" s="45">
        <f>MAX(B298:D298)-MIN(B298:D298)</f>
        <v/>
      </c>
      <c r="G298" s="45">
        <f>'U-Net'!AF298</f>
        <v/>
      </c>
      <c r="H298" s="45">
        <f>'DeepLabV3+'!AF298</f>
        <v/>
      </c>
      <c r="I298" s="45">
        <f>'YOLO11n-seg'!AF298</f>
        <v/>
      </c>
      <c r="J298" s="45">
        <f>'U-Net'!AG298</f>
        <v/>
      </c>
      <c r="K298" s="45">
        <f>'DeepLabV3+'!AG298</f>
        <v/>
      </c>
      <c r="L298" s="45">
        <f>'YOLO11n-seg'!AG298</f>
        <v/>
      </c>
      <c r="M298" s="45">
        <f>'U-Net'!AI298</f>
        <v/>
      </c>
      <c r="N298" s="45">
        <f>'DeepLabV3+'!AI298</f>
        <v/>
      </c>
      <c r="O298" s="45">
        <f>'YOLO11n-seg'!AI298</f>
        <v/>
      </c>
    </row>
    <row r="299" ht="15" customHeight="1" s="30">
      <c r="A299" s="73">
        <f>'U-Net'!A299</f>
        <v/>
      </c>
      <c r="B299" s="45">
        <f>'U-Net'!AH299</f>
        <v/>
      </c>
      <c r="C299" s="45">
        <f>'DeepLabV3+'!AH299</f>
        <v/>
      </c>
      <c r="D299" s="45">
        <f>'YOLO11n-seg'!AH299</f>
        <v/>
      </c>
      <c r="E299" s="46">
        <f>INDEX($B$4:$D$4,MATCH(MAX(B299:D299),B299:D299,0))</f>
        <v/>
      </c>
      <c r="F299" s="45">
        <f>MAX(B299:D299)-MIN(B299:D299)</f>
        <v/>
      </c>
      <c r="G299" s="45">
        <f>'U-Net'!AF299</f>
        <v/>
      </c>
      <c r="H299" s="45">
        <f>'DeepLabV3+'!AF299</f>
        <v/>
      </c>
      <c r="I299" s="45">
        <f>'YOLO11n-seg'!AF299</f>
        <v/>
      </c>
      <c r="J299" s="45">
        <f>'U-Net'!AG299</f>
        <v/>
      </c>
      <c r="K299" s="45">
        <f>'DeepLabV3+'!AG299</f>
        <v/>
      </c>
      <c r="L299" s="45">
        <f>'YOLO11n-seg'!AG299</f>
        <v/>
      </c>
      <c r="M299" s="45">
        <f>'U-Net'!AI299</f>
        <v/>
      </c>
      <c r="N299" s="45">
        <f>'DeepLabV3+'!AI299</f>
        <v/>
      </c>
      <c r="O299" s="45">
        <f>'YOLO11n-seg'!AI299</f>
        <v/>
      </c>
    </row>
    <row r="300" ht="15" customHeight="1" s="30">
      <c r="A300" s="73">
        <f>'U-Net'!A300</f>
        <v/>
      </c>
      <c r="B300" s="45">
        <f>'U-Net'!AH300</f>
        <v/>
      </c>
      <c r="C300" s="45">
        <f>'DeepLabV3+'!AH300</f>
        <v/>
      </c>
      <c r="D300" s="45">
        <f>'YOLO11n-seg'!AH300</f>
        <v/>
      </c>
      <c r="E300" s="46">
        <f>INDEX($B$4:$D$4,MATCH(MAX(B300:D300),B300:D300,0))</f>
        <v/>
      </c>
      <c r="F300" s="45">
        <f>MAX(B300:D300)-MIN(B300:D300)</f>
        <v/>
      </c>
      <c r="G300" s="45">
        <f>'U-Net'!AF300</f>
        <v/>
      </c>
      <c r="H300" s="45">
        <f>'DeepLabV3+'!AF300</f>
        <v/>
      </c>
      <c r="I300" s="45">
        <f>'YOLO11n-seg'!AF300</f>
        <v/>
      </c>
      <c r="J300" s="45">
        <f>'U-Net'!AG300</f>
        <v/>
      </c>
      <c r="K300" s="45">
        <f>'DeepLabV3+'!AG300</f>
        <v/>
      </c>
      <c r="L300" s="45">
        <f>'YOLO11n-seg'!AG300</f>
        <v/>
      </c>
      <c r="M300" s="45">
        <f>'U-Net'!AI300</f>
        <v/>
      </c>
      <c r="N300" s="45">
        <f>'DeepLabV3+'!AI300</f>
        <v/>
      </c>
      <c r="O300" s="45">
        <f>'YOLO11n-seg'!AI300</f>
        <v/>
      </c>
    </row>
    <row r="301" ht="15" customHeight="1" s="30">
      <c r="A301" s="73">
        <f>'U-Net'!A301</f>
        <v/>
      </c>
      <c r="B301" s="45">
        <f>'U-Net'!AH301</f>
        <v/>
      </c>
      <c r="C301" s="45">
        <f>'DeepLabV3+'!AH301</f>
        <v/>
      </c>
      <c r="D301" s="45">
        <f>'YOLO11n-seg'!AH301</f>
        <v/>
      </c>
      <c r="E301" s="46">
        <f>INDEX($B$4:$D$4,MATCH(MAX(B301:D301),B301:D301,0))</f>
        <v/>
      </c>
      <c r="F301" s="45">
        <f>MAX(B301:D301)-MIN(B301:D301)</f>
        <v/>
      </c>
      <c r="G301" s="45">
        <f>'U-Net'!AF301</f>
        <v/>
      </c>
      <c r="H301" s="45">
        <f>'DeepLabV3+'!AF301</f>
        <v/>
      </c>
      <c r="I301" s="45">
        <f>'YOLO11n-seg'!AF301</f>
        <v/>
      </c>
      <c r="J301" s="45">
        <f>'U-Net'!AG301</f>
        <v/>
      </c>
      <c r="K301" s="45">
        <f>'DeepLabV3+'!AG301</f>
        <v/>
      </c>
      <c r="L301" s="45">
        <f>'YOLO11n-seg'!AG301</f>
        <v/>
      </c>
      <c r="M301" s="45">
        <f>'U-Net'!AI301</f>
        <v/>
      </c>
      <c r="N301" s="45">
        <f>'DeepLabV3+'!AI301</f>
        <v/>
      </c>
      <c r="O301" s="45">
        <f>'YOLO11n-seg'!AI301</f>
        <v/>
      </c>
    </row>
    <row r="302" ht="15" customHeight="1" s="30">
      <c r="A302" s="73">
        <f>'U-Net'!A302</f>
        <v/>
      </c>
      <c r="B302" s="45">
        <f>'U-Net'!AH302</f>
        <v/>
      </c>
      <c r="C302" s="45">
        <f>'DeepLabV3+'!AH302</f>
        <v/>
      </c>
      <c r="D302" s="45">
        <f>'YOLO11n-seg'!AH302</f>
        <v/>
      </c>
      <c r="E302" s="46">
        <f>INDEX($B$4:$D$4,MATCH(MAX(B302:D302),B302:D302,0))</f>
        <v/>
      </c>
      <c r="F302" s="45">
        <f>MAX(B302:D302)-MIN(B302:D302)</f>
        <v/>
      </c>
      <c r="G302" s="45">
        <f>'U-Net'!AF302</f>
        <v/>
      </c>
      <c r="H302" s="45">
        <f>'DeepLabV3+'!AF302</f>
        <v/>
      </c>
      <c r="I302" s="45">
        <f>'YOLO11n-seg'!AF302</f>
        <v/>
      </c>
      <c r="J302" s="45">
        <f>'U-Net'!AG302</f>
        <v/>
      </c>
      <c r="K302" s="45">
        <f>'DeepLabV3+'!AG302</f>
        <v/>
      </c>
      <c r="L302" s="45">
        <f>'YOLO11n-seg'!AG302</f>
        <v/>
      </c>
      <c r="M302" s="45">
        <f>'U-Net'!AI302</f>
        <v/>
      </c>
      <c r="N302" s="45">
        <f>'DeepLabV3+'!AI302</f>
        <v/>
      </c>
      <c r="O302" s="45">
        <f>'YOLO11n-seg'!AI302</f>
        <v/>
      </c>
    </row>
    <row r="303" ht="15" customHeight="1" s="30">
      <c r="A303" s="73">
        <f>'U-Net'!A303</f>
        <v/>
      </c>
      <c r="B303" s="45">
        <f>'U-Net'!AH303</f>
        <v/>
      </c>
      <c r="C303" s="45">
        <f>'DeepLabV3+'!AH303</f>
        <v/>
      </c>
      <c r="D303" s="45">
        <f>'YOLO11n-seg'!AH303</f>
        <v/>
      </c>
      <c r="E303" s="46">
        <f>INDEX($B$4:$D$4,MATCH(MAX(B303:D303),B303:D303,0))</f>
        <v/>
      </c>
      <c r="F303" s="45">
        <f>MAX(B303:D303)-MIN(B303:D303)</f>
        <v/>
      </c>
      <c r="G303" s="45">
        <f>'U-Net'!AF303</f>
        <v/>
      </c>
      <c r="H303" s="45">
        <f>'DeepLabV3+'!AF303</f>
        <v/>
      </c>
      <c r="I303" s="45">
        <f>'YOLO11n-seg'!AF303</f>
        <v/>
      </c>
      <c r="J303" s="45">
        <f>'U-Net'!AG303</f>
        <v/>
      </c>
      <c r="K303" s="45">
        <f>'DeepLabV3+'!AG303</f>
        <v/>
      </c>
      <c r="L303" s="45">
        <f>'YOLO11n-seg'!AG303</f>
        <v/>
      </c>
      <c r="M303" s="45">
        <f>'U-Net'!AI303</f>
        <v/>
      </c>
      <c r="N303" s="45">
        <f>'DeepLabV3+'!AI303</f>
        <v/>
      </c>
      <c r="O303" s="45">
        <f>'YOLO11n-seg'!AI303</f>
        <v/>
      </c>
    </row>
    <row r="304" ht="15" customHeight="1" s="30">
      <c r="A304" s="73">
        <f>'U-Net'!A304</f>
        <v/>
      </c>
      <c r="B304" s="45">
        <f>'U-Net'!AH304</f>
        <v/>
      </c>
      <c r="C304" s="45">
        <f>'DeepLabV3+'!AH304</f>
        <v/>
      </c>
      <c r="D304" s="45">
        <f>'YOLO11n-seg'!AH304</f>
        <v/>
      </c>
      <c r="E304" s="46">
        <f>INDEX($B$4:$D$4,MATCH(MAX(B304:D304),B304:D304,0))</f>
        <v/>
      </c>
      <c r="F304" s="45">
        <f>MAX(B304:D304)-MIN(B304:D304)</f>
        <v/>
      </c>
      <c r="G304" s="45">
        <f>'U-Net'!AF304</f>
        <v/>
      </c>
      <c r="H304" s="45">
        <f>'DeepLabV3+'!AF304</f>
        <v/>
      </c>
      <c r="I304" s="45">
        <f>'YOLO11n-seg'!AF304</f>
        <v/>
      </c>
      <c r="J304" s="45">
        <f>'U-Net'!AG304</f>
        <v/>
      </c>
      <c r="K304" s="45">
        <f>'DeepLabV3+'!AG304</f>
        <v/>
      </c>
      <c r="L304" s="45">
        <f>'YOLO11n-seg'!AG304</f>
        <v/>
      </c>
      <c r="M304" s="45">
        <f>'U-Net'!AI304</f>
        <v/>
      </c>
      <c r="N304" s="45">
        <f>'DeepLabV3+'!AI304</f>
        <v/>
      </c>
      <c r="O304" s="45">
        <f>'YOLO11n-seg'!AI304</f>
        <v/>
      </c>
    </row>
    <row r="305" ht="15" customHeight="1" s="30">
      <c r="A305" s="73">
        <f>'U-Net'!A305</f>
        <v/>
      </c>
      <c r="B305" s="45">
        <f>'U-Net'!AH305</f>
        <v/>
      </c>
      <c r="C305" s="45">
        <f>'DeepLabV3+'!AH305</f>
        <v/>
      </c>
      <c r="D305" s="45">
        <f>'YOLO11n-seg'!AH305</f>
        <v/>
      </c>
      <c r="E305" s="46">
        <f>INDEX($B$4:$D$4,MATCH(MAX(B305:D305),B305:D305,0))</f>
        <v/>
      </c>
      <c r="F305" s="45">
        <f>MAX(B305:D305)-MIN(B305:D305)</f>
        <v/>
      </c>
      <c r="G305" s="45">
        <f>'U-Net'!AF305</f>
        <v/>
      </c>
      <c r="H305" s="45">
        <f>'DeepLabV3+'!AF305</f>
        <v/>
      </c>
      <c r="I305" s="45">
        <f>'YOLO11n-seg'!AF305</f>
        <v/>
      </c>
      <c r="J305" s="45">
        <f>'U-Net'!AG305</f>
        <v/>
      </c>
      <c r="K305" s="45">
        <f>'DeepLabV3+'!AG305</f>
        <v/>
      </c>
      <c r="L305" s="45">
        <f>'YOLO11n-seg'!AG305</f>
        <v/>
      </c>
      <c r="M305" s="45">
        <f>'U-Net'!AI305</f>
        <v/>
      </c>
      <c r="N305" s="45">
        <f>'DeepLabV3+'!AI305</f>
        <v/>
      </c>
      <c r="O305" s="45">
        <f>'YOLO11n-seg'!AI305</f>
        <v/>
      </c>
    </row>
    <row r="306" ht="15" customHeight="1" s="30">
      <c r="A306" s="73">
        <f>'U-Net'!A306</f>
        <v/>
      </c>
      <c r="B306" s="45">
        <f>'U-Net'!AH306</f>
        <v/>
      </c>
      <c r="C306" s="45">
        <f>'DeepLabV3+'!AH306</f>
        <v/>
      </c>
      <c r="D306" s="45">
        <f>'YOLO11n-seg'!AH306</f>
        <v/>
      </c>
      <c r="E306" s="46">
        <f>INDEX($B$4:$D$4,MATCH(MAX(B306:D306),B306:D306,0))</f>
        <v/>
      </c>
      <c r="F306" s="45">
        <f>MAX(B306:D306)-MIN(B306:D306)</f>
        <v/>
      </c>
      <c r="G306" s="45">
        <f>'U-Net'!AF306</f>
        <v/>
      </c>
      <c r="H306" s="45">
        <f>'DeepLabV3+'!AF306</f>
        <v/>
      </c>
      <c r="I306" s="45">
        <f>'YOLO11n-seg'!AF306</f>
        <v/>
      </c>
      <c r="J306" s="45">
        <f>'U-Net'!AG306</f>
        <v/>
      </c>
      <c r="K306" s="45">
        <f>'DeepLabV3+'!AG306</f>
        <v/>
      </c>
      <c r="L306" s="45">
        <f>'YOLO11n-seg'!AG306</f>
        <v/>
      </c>
      <c r="M306" s="45">
        <f>'U-Net'!AI306</f>
        <v/>
      </c>
      <c r="N306" s="45">
        <f>'DeepLabV3+'!AI306</f>
        <v/>
      </c>
      <c r="O306" s="45">
        <f>'YOLO11n-seg'!AI306</f>
        <v/>
      </c>
    </row>
    <row r="307" ht="15" customHeight="1" s="30">
      <c r="A307" s="73">
        <f>'U-Net'!A307</f>
        <v/>
      </c>
      <c r="B307" s="45">
        <f>'U-Net'!AH307</f>
        <v/>
      </c>
      <c r="C307" s="45">
        <f>'DeepLabV3+'!AH307</f>
        <v/>
      </c>
      <c r="D307" s="45">
        <f>'YOLO11n-seg'!AH307</f>
        <v/>
      </c>
      <c r="E307" s="46">
        <f>INDEX($B$4:$D$4,MATCH(MAX(B307:D307),B307:D307,0))</f>
        <v/>
      </c>
      <c r="F307" s="45">
        <f>MAX(B307:D307)-MIN(B307:D307)</f>
        <v/>
      </c>
      <c r="G307" s="45">
        <f>'U-Net'!AF307</f>
        <v/>
      </c>
      <c r="H307" s="45">
        <f>'DeepLabV3+'!AF307</f>
        <v/>
      </c>
      <c r="I307" s="45">
        <f>'YOLO11n-seg'!AF307</f>
        <v/>
      </c>
      <c r="J307" s="45">
        <f>'U-Net'!AG307</f>
        <v/>
      </c>
      <c r="K307" s="45">
        <f>'DeepLabV3+'!AG307</f>
        <v/>
      </c>
      <c r="L307" s="45">
        <f>'YOLO11n-seg'!AG307</f>
        <v/>
      </c>
      <c r="M307" s="45">
        <f>'U-Net'!AI307</f>
        <v/>
      </c>
      <c r="N307" s="45">
        <f>'DeepLabV3+'!AI307</f>
        <v/>
      </c>
      <c r="O307" s="45">
        <f>'YOLO11n-seg'!AI307</f>
        <v/>
      </c>
    </row>
    <row r="308" ht="15" customHeight="1" s="30">
      <c r="A308" s="73">
        <f>'U-Net'!A308</f>
        <v/>
      </c>
      <c r="B308" s="45">
        <f>'U-Net'!AH308</f>
        <v/>
      </c>
      <c r="C308" s="45">
        <f>'DeepLabV3+'!AH308</f>
        <v/>
      </c>
      <c r="D308" s="45">
        <f>'YOLO11n-seg'!AH308</f>
        <v/>
      </c>
      <c r="E308" s="46">
        <f>INDEX($B$4:$D$4,MATCH(MAX(B308:D308),B308:D308,0))</f>
        <v/>
      </c>
      <c r="F308" s="45">
        <f>MAX(B308:D308)-MIN(B308:D308)</f>
        <v/>
      </c>
      <c r="G308" s="45">
        <f>'U-Net'!AF308</f>
        <v/>
      </c>
      <c r="H308" s="45">
        <f>'DeepLabV3+'!AF308</f>
        <v/>
      </c>
      <c r="I308" s="45">
        <f>'YOLO11n-seg'!AF308</f>
        <v/>
      </c>
      <c r="J308" s="45">
        <f>'U-Net'!AG308</f>
        <v/>
      </c>
      <c r="K308" s="45">
        <f>'DeepLabV3+'!AG308</f>
        <v/>
      </c>
      <c r="L308" s="45">
        <f>'YOLO11n-seg'!AG308</f>
        <v/>
      </c>
      <c r="M308" s="45">
        <f>'U-Net'!AI308</f>
        <v/>
      </c>
      <c r="N308" s="45">
        <f>'DeepLabV3+'!AI308</f>
        <v/>
      </c>
      <c r="O308" s="45">
        <f>'YOLO11n-seg'!AI308</f>
        <v/>
      </c>
    </row>
    <row r="309" ht="15" customHeight="1" s="30">
      <c r="A309" s="73">
        <f>'U-Net'!A309</f>
        <v/>
      </c>
      <c r="B309" s="45">
        <f>'U-Net'!AH309</f>
        <v/>
      </c>
      <c r="C309" s="45">
        <f>'DeepLabV3+'!AH309</f>
        <v/>
      </c>
      <c r="D309" s="45">
        <f>'YOLO11n-seg'!AH309</f>
        <v/>
      </c>
      <c r="E309" s="46">
        <f>INDEX($B$4:$D$4,MATCH(MAX(B309:D309),B309:D309,0))</f>
        <v/>
      </c>
      <c r="F309" s="45">
        <f>MAX(B309:D309)-MIN(B309:D309)</f>
        <v/>
      </c>
      <c r="G309" s="45">
        <f>'U-Net'!AF309</f>
        <v/>
      </c>
      <c r="H309" s="45">
        <f>'DeepLabV3+'!AF309</f>
        <v/>
      </c>
      <c r="I309" s="45">
        <f>'YOLO11n-seg'!AF309</f>
        <v/>
      </c>
      <c r="J309" s="45">
        <f>'U-Net'!AG309</f>
        <v/>
      </c>
      <c r="K309" s="45">
        <f>'DeepLabV3+'!AG309</f>
        <v/>
      </c>
      <c r="L309" s="45">
        <f>'YOLO11n-seg'!AG309</f>
        <v/>
      </c>
      <c r="M309" s="45">
        <f>'U-Net'!AI309</f>
        <v/>
      </c>
      <c r="N309" s="45">
        <f>'DeepLabV3+'!AI309</f>
        <v/>
      </c>
      <c r="O309" s="45">
        <f>'YOLO11n-seg'!AI309</f>
        <v/>
      </c>
    </row>
    <row r="310" ht="15" customHeight="1" s="30">
      <c r="A310" s="73">
        <f>'U-Net'!A310</f>
        <v/>
      </c>
      <c r="B310" s="45">
        <f>'U-Net'!AH310</f>
        <v/>
      </c>
      <c r="C310" s="45">
        <f>'DeepLabV3+'!AH310</f>
        <v/>
      </c>
      <c r="D310" s="45">
        <f>'YOLO11n-seg'!AH310</f>
        <v/>
      </c>
      <c r="E310" s="46">
        <f>INDEX($B$4:$D$4,MATCH(MAX(B310:D310),B310:D310,0))</f>
        <v/>
      </c>
      <c r="F310" s="45">
        <f>MAX(B310:D310)-MIN(B310:D310)</f>
        <v/>
      </c>
      <c r="G310" s="45">
        <f>'U-Net'!AF310</f>
        <v/>
      </c>
      <c r="H310" s="45">
        <f>'DeepLabV3+'!AF310</f>
        <v/>
      </c>
      <c r="I310" s="45">
        <f>'YOLO11n-seg'!AF310</f>
        <v/>
      </c>
      <c r="J310" s="45">
        <f>'U-Net'!AG310</f>
        <v/>
      </c>
      <c r="K310" s="45">
        <f>'DeepLabV3+'!AG310</f>
        <v/>
      </c>
      <c r="L310" s="45">
        <f>'YOLO11n-seg'!AG310</f>
        <v/>
      </c>
      <c r="M310" s="45">
        <f>'U-Net'!AI310</f>
        <v/>
      </c>
      <c r="N310" s="45">
        <f>'DeepLabV3+'!AI310</f>
        <v/>
      </c>
      <c r="O310" s="45">
        <f>'YOLO11n-seg'!AI310</f>
        <v/>
      </c>
    </row>
    <row r="311" ht="15" customHeight="1" s="30">
      <c r="A311" s="73">
        <f>'U-Net'!A311</f>
        <v/>
      </c>
      <c r="B311" s="45">
        <f>'U-Net'!AH311</f>
        <v/>
      </c>
      <c r="C311" s="45">
        <f>'DeepLabV3+'!AH311</f>
        <v/>
      </c>
      <c r="D311" s="45">
        <f>'YOLO11n-seg'!AH311</f>
        <v/>
      </c>
      <c r="E311" s="46">
        <f>INDEX($B$4:$D$4,MATCH(MAX(B311:D311),B311:D311,0))</f>
        <v/>
      </c>
      <c r="F311" s="45">
        <f>MAX(B311:D311)-MIN(B311:D311)</f>
        <v/>
      </c>
      <c r="G311" s="45">
        <f>'U-Net'!AF311</f>
        <v/>
      </c>
      <c r="H311" s="45">
        <f>'DeepLabV3+'!AF311</f>
        <v/>
      </c>
      <c r="I311" s="45">
        <f>'YOLO11n-seg'!AF311</f>
        <v/>
      </c>
      <c r="J311" s="45">
        <f>'U-Net'!AG311</f>
        <v/>
      </c>
      <c r="K311" s="45">
        <f>'DeepLabV3+'!AG311</f>
        <v/>
      </c>
      <c r="L311" s="45">
        <f>'YOLO11n-seg'!AG311</f>
        <v/>
      </c>
      <c r="M311" s="45">
        <f>'U-Net'!AI311</f>
        <v/>
      </c>
      <c r="N311" s="45">
        <f>'DeepLabV3+'!AI311</f>
        <v/>
      </c>
      <c r="O311" s="45">
        <f>'YOLO11n-seg'!AI311</f>
        <v/>
      </c>
    </row>
    <row r="312" ht="15" customHeight="1" s="30">
      <c r="A312" s="73">
        <f>'U-Net'!A312</f>
        <v/>
      </c>
      <c r="B312" s="45">
        <f>'U-Net'!AH312</f>
        <v/>
      </c>
      <c r="C312" s="45">
        <f>'DeepLabV3+'!AH312</f>
        <v/>
      </c>
      <c r="D312" s="45">
        <f>'YOLO11n-seg'!AH312</f>
        <v/>
      </c>
      <c r="E312" s="46">
        <f>INDEX($B$4:$D$4,MATCH(MAX(B312:D312),B312:D312,0))</f>
        <v/>
      </c>
      <c r="F312" s="45">
        <f>MAX(B312:D312)-MIN(B312:D312)</f>
        <v/>
      </c>
      <c r="G312" s="45">
        <f>'U-Net'!AF312</f>
        <v/>
      </c>
      <c r="H312" s="45">
        <f>'DeepLabV3+'!AF312</f>
        <v/>
      </c>
      <c r="I312" s="45">
        <f>'YOLO11n-seg'!AF312</f>
        <v/>
      </c>
      <c r="J312" s="45">
        <f>'U-Net'!AG312</f>
        <v/>
      </c>
      <c r="K312" s="45">
        <f>'DeepLabV3+'!AG312</f>
        <v/>
      </c>
      <c r="L312" s="45">
        <f>'YOLO11n-seg'!AG312</f>
        <v/>
      </c>
      <c r="M312" s="45">
        <f>'U-Net'!AI312</f>
        <v/>
      </c>
      <c r="N312" s="45">
        <f>'DeepLabV3+'!AI312</f>
        <v/>
      </c>
      <c r="O312" s="45">
        <f>'YOLO11n-seg'!AI312</f>
        <v/>
      </c>
    </row>
    <row r="313" ht="15" customHeight="1" s="30">
      <c r="A313" s="73">
        <f>'U-Net'!A313</f>
        <v/>
      </c>
      <c r="B313" s="45">
        <f>'U-Net'!AH313</f>
        <v/>
      </c>
      <c r="C313" s="45">
        <f>'DeepLabV3+'!AH313</f>
        <v/>
      </c>
      <c r="D313" s="45">
        <f>'YOLO11n-seg'!AH313</f>
        <v/>
      </c>
      <c r="E313" s="46">
        <f>INDEX($B$4:$D$4,MATCH(MAX(B313:D313),B313:D313,0))</f>
        <v/>
      </c>
      <c r="F313" s="45">
        <f>MAX(B313:D313)-MIN(B313:D313)</f>
        <v/>
      </c>
      <c r="G313" s="45">
        <f>'U-Net'!AF313</f>
        <v/>
      </c>
      <c r="H313" s="45">
        <f>'DeepLabV3+'!AF313</f>
        <v/>
      </c>
      <c r="I313" s="45">
        <f>'YOLO11n-seg'!AF313</f>
        <v/>
      </c>
      <c r="J313" s="45">
        <f>'U-Net'!AG313</f>
        <v/>
      </c>
      <c r="K313" s="45">
        <f>'DeepLabV3+'!AG313</f>
        <v/>
      </c>
      <c r="L313" s="45">
        <f>'YOLO11n-seg'!AG313</f>
        <v/>
      </c>
      <c r="M313" s="45">
        <f>'U-Net'!AI313</f>
        <v/>
      </c>
      <c r="N313" s="45">
        <f>'DeepLabV3+'!AI313</f>
        <v/>
      </c>
      <c r="O313" s="45">
        <f>'YOLO11n-seg'!AI313</f>
        <v/>
      </c>
    </row>
    <row r="314" ht="15" customHeight="1" s="30">
      <c r="A314" s="73">
        <f>'U-Net'!A314</f>
        <v/>
      </c>
      <c r="B314" s="45">
        <f>'U-Net'!AH314</f>
        <v/>
      </c>
      <c r="C314" s="45">
        <f>'DeepLabV3+'!AH314</f>
        <v/>
      </c>
      <c r="D314" s="45">
        <f>'YOLO11n-seg'!AH314</f>
        <v/>
      </c>
      <c r="E314" s="46">
        <f>INDEX($B$4:$D$4,MATCH(MAX(B314:D314),B314:D314,0))</f>
        <v/>
      </c>
      <c r="F314" s="45">
        <f>MAX(B314:D314)-MIN(B314:D314)</f>
        <v/>
      </c>
      <c r="G314" s="45">
        <f>'U-Net'!AF314</f>
        <v/>
      </c>
      <c r="H314" s="45">
        <f>'DeepLabV3+'!AF314</f>
        <v/>
      </c>
      <c r="I314" s="45">
        <f>'YOLO11n-seg'!AF314</f>
        <v/>
      </c>
      <c r="J314" s="45">
        <f>'U-Net'!AG314</f>
        <v/>
      </c>
      <c r="K314" s="45">
        <f>'DeepLabV3+'!AG314</f>
        <v/>
      </c>
      <c r="L314" s="45">
        <f>'YOLO11n-seg'!AG314</f>
        <v/>
      </c>
      <c r="M314" s="45">
        <f>'U-Net'!AI314</f>
        <v/>
      </c>
      <c r="N314" s="45">
        <f>'DeepLabV3+'!AI314</f>
        <v/>
      </c>
      <c r="O314" s="45">
        <f>'YOLO11n-seg'!AI314</f>
        <v/>
      </c>
    </row>
    <row r="315" ht="15" customHeight="1" s="30">
      <c r="A315" s="73">
        <f>'U-Net'!A315</f>
        <v/>
      </c>
      <c r="B315" s="45">
        <f>'U-Net'!AH315</f>
        <v/>
      </c>
      <c r="C315" s="45">
        <f>'DeepLabV3+'!AH315</f>
        <v/>
      </c>
      <c r="D315" s="45">
        <f>'YOLO11n-seg'!AH315</f>
        <v/>
      </c>
      <c r="E315" s="46">
        <f>INDEX($B$4:$D$4,MATCH(MAX(B315:D315),B315:D315,0))</f>
        <v/>
      </c>
      <c r="F315" s="45">
        <f>MAX(B315:D315)-MIN(B315:D315)</f>
        <v/>
      </c>
      <c r="G315" s="45">
        <f>'U-Net'!AF315</f>
        <v/>
      </c>
      <c r="H315" s="45">
        <f>'DeepLabV3+'!AF315</f>
        <v/>
      </c>
      <c r="I315" s="45">
        <f>'YOLO11n-seg'!AF315</f>
        <v/>
      </c>
      <c r="J315" s="45">
        <f>'U-Net'!AG315</f>
        <v/>
      </c>
      <c r="K315" s="45">
        <f>'DeepLabV3+'!AG315</f>
        <v/>
      </c>
      <c r="L315" s="45">
        <f>'YOLO11n-seg'!AG315</f>
        <v/>
      </c>
      <c r="M315" s="45">
        <f>'U-Net'!AI315</f>
        <v/>
      </c>
      <c r="N315" s="45">
        <f>'DeepLabV3+'!AI315</f>
        <v/>
      </c>
      <c r="O315" s="45">
        <f>'YOLO11n-seg'!AI315</f>
        <v/>
      </c>
    </row>
    <row r="316" ht="15" customHeight="1" s="30">
      <c r="A316" s="73">
        <f>'U-Net'!A316</f>
        <v/>
      </c>
      <c r="B316" s="45">
        <f>'U-Net'!AH316</f>
        <v/>
      </c>
      <c r="C316" s="45">
        <f>'DeepLabV3+'!AH316</f>
        <v/>
      </c>
      <c r="D316" s="45">
        <f>'YOLO11n-seg'!AH316</f>
        <v/>
      </c>
      <c r="E316" s="46">
        <f>INDEX($B$4:$D$4,MATCH(MAX(B316:D316),B316:D316,0))</f>
        <v/>
      </c>
      <c r="F316" s="45">
        <f>MAX(B316:D316)-MIN(B316:D316)</f>
        <v/>
      </c>
      <c r="G316" s="45">
        <f>'U-Net'!AF316</f>
        <v/>
      </c>
      <c r="H316" s="45">
        <f>'DeepLabV3+'!AF316</f>
        <v/>
      </c>
      <c r="I316" s="45">
        <f>'YOLO11n-seg'!AF316</f>
        <v/>
      </c>
      <c r="J316" s="45">
        <f>'U-Net'!AG316</f>
        <v/>
      </c>
      <c r="K316" s="45">
        <f>'DeepLabV3+'!AG316</f>
        <v/>
      </c>
      <c r="L316" s="45">
        <f>'YOLO11n-seg'!AG316</f>
        <v/>
      </c>
      <c r="M316" s="45">
        <f>'U-Net'!AI316</f>
        <v/>
      </c>
      <c r="N316" s="45">
        <f>'DeepLabV3+'!AI316</f>
        <v/>
      </c>
      <c r="O316" s="45">
        <f>'YOLO11n-seg'!AI316</f>
        <v/>
      </c>
    </row>
    <row r="317" ht="15" customHeight="1" s="30">
      <c r="A317" s="73">
        <f>'U-Net'!A317</f>
        <v/>
      </c>
      <c r="B317" s="45">
        <f>'U-Net'!AH317</f>
        <v/>
      </c>
      <c r="C317" s="45">
        <f>'DeepLabV3+'!AH317</f>
        <v/>
      </c>
      <c r="D317" s="45">
        <f>'YOLO11n-seg'!AH317</f>
        <v/>
      </c>
      <c r="E317" s="46">
        <f>INDEX($B$4:$D$4,MATCH(MAX(B317:D317),B317:D317,0))</f>
        <v/>
      </c>
      <c r="F317" s="45">
        <f>MAX(B317:D317)-MIN(B317:D317)</f>
        <v/>
      </c>
      <c r="G317" s="45">
        <f>'U-Net'!AF317</f>
        <v/>
      </c>
      <c r="H317" s="45">
        <f>'DeepLabV3+'!AF317</f>
        <v/>
      </c>
      <c r="I317" s="45">
        <f>'YOLO11n-seg'!AF317</f>
        <v/>
      </c>
      <c r="J317" s="45">
        <f>'U-Net'!AG317</f>
        <v/>
      </c>
      <c r="K317" s="45">
        <f>'DeepLabV3+'!AG317</f>
        <v/>
      </c>
      <c r="L317" s="45">
        <f>'YOLO11n-seg'!AG317</f>
        <v/>
      </c>
      <c r="M317" s="45">
        <f>'U-Net'!AI317</f>
        <v/>
      </c>
      <c r="N317" s="45">
        <f>'DeepLabV3+'!AI317</f>
        <v/>
      </c>
      <c r="O317" s="45">
        <f>'YOLO11n-seg'!AI317</f>
        <v/>
      </c>
    </row>
    <row r="318" ht="15" customHeight="1" s="30">
      <c r="A318" s="73">
        <f>'U-Net'!A318</f>
        <v/>
      </c>
      <c r="B318" s="45">
        <f>'U-Net'!AH318</f>
        <v/>
      </c>
      <c r="C318" s="45">
        <f>'DeepLabV3+'!AH318</f>
        <v/>
      </c>
      <c r="D318" s="45">
        <f>'YOLO11n-seg'!AH318</f>
        <v/>
      </c>
      <c r="E318" s="46">
        <f>INDEX($B$4:$D$4,MATCH(MAX(B318:D318),B318:D318,0))</f>
        <v/>
      </c>
      <c r="F318" s="45">
        <f>MAX(B318:D318)-MIN(B318:D318)</f>
        <v/>
      </c>
      <c r="G318" s="45">
        <f>'U-Net'!AF318</f>
        <v/>
      </c>
      <c r="H318" s="45">
        <f>'DeepLabV3+'!AF318</f>
        <v/>
      </c>
      <c r="I318" s="45">
        <f>'YOLO11n-seg'!AF318</f>
        <v/>
      </c>
      <c r="J318" s="45">
        <f>'U-Net'!AG318</f>
        <v/>
      </c>
      <c r="K318" s="45">
        <f>'DeepLabV3+'!AG318</f>
        <v/>
      </c>
      <c r="L318" s="45">
        <f>'YOLO11n-seg'!AG318</f>
        <v/>
      </c>
      <c r="M318" s="45">
        <f>'U-Net'!AI318</f>
        <v/>
      </c>
      <c r="N318" s="45">
        <f>'DeepLabV3+'!AI318</f>
        <v/>
      </c>
      <c r="O318" s="45">
        <f>'YOLO11n-seg'!AI318</f>
        <v/>
      </c>
    </row>
    <row r="319" ht="15" customHeight="1" s="30">
      <c r="A319" s="73">
        <f>'U-Net'!A319</f>
        <v/>
      </c>
      <c r="B319" s="45">
        <f>'U-Net'!AH319</f>
        <v/>
      </c>
      <c r="C319" s="45">
        <f>'DeepLabV3+'!AH319</f>
        <v/>
      </c>
      <c r="D319" s="45">
        <f>'YOLO11n-seg'!AH319</f>
        <v/>
      </c>
      <c r="E319" s="46">
        <f>INDEX($B$4:$D$4,MATCH(MAX(B319:D319),B319:D319,0))</f>
        <v/>
      </c>
      <c r="F319" s="45">
        <f>MAX(B319:D319)-MIN(B319:D319)</f>
        <v/>
      </c>
      <c r="G319" s="45">
        <f>'U-Net'!AF319</f>
        <v/>
      </c>
      <c r="H319" s="45">
        <f>'DeepLabV3+'!AF319</f>
        <v/>
      </c>
      <c r="I319" s="45">
        <f>'YOLO11n-seg'!AF319</f>
        <v/>
      </c>
      <c r="J319" s="45">
        <f>'U-Net'!AG319</f>
        <v/>
      </c>
      <c r="K319" s="45">
        <f>'DeepLabV3+'!AG319</f>
        <v/>
      </c>
      <c r="L319" s="45">
        <f>'YOLO11n-seg'!AG319</f>
        <v/>
      </c>
      <c r="M319" s="45">
        <f>'U-Net'!AI319</f>
        <v/>
      </c>
      <c r="N319" s="45">
        <f>'DeepLabV3+'!AI319</f>
        <v/>
      </c>
      <c r="O319" s="45">
        <f>'YOLO11n-seg'!AI319</f>
        <v/>
      </c>
    </row>
    <row r="320" ht="15" customHeight="1" s="30">
      <c r="A320" s="73">
        <f>'U-Net'!A320</f>
        <v/>
      </c>
      <c r="B320" s="45">
        <f>'U-Net'!AH320</f>
        <v/>
      </c>
      <c r="C320" s="45">
        <f>'DeepLabV3+'!AH320</f>
        <v/>
      </c>
      <c r="D320" s="45">
        <f>'YOLO11n-seg'!AH320</f>
        <v/>
      </c>
      <c r="E320" s="46">
        <f>INDEX($B$4:$D$4,MATCH(MAX(B320:D320),B320:D320,0))</f>
        <v/>
      </c>
      <c r="F320" s="45">
        <f>MAX(B320:D320)-MIN(B320:D320)</f>
        <v/>
      </c>
      <c r="G320" s="45">
        <f>'U-Net'!AF320</f>
        <v/>
      </c>
      <c r="H320" s="45">
        <f>'DeepLabV3+'!AF320</f>
        <v/>
      </c>
      <c r="I320" s="45">
        <f>'YOLO11n-seg'!AF320</f>
        <v/>
      </c>
      <c r="J320" s="45">
        <f>'U-Net'!AG320</f>
        <v/>
      </c>
      <c r="K320" s="45">
        <f>'DeepLabV3+'!AG320</f>
        <v/>
      </c>
      <c r="L320" s="45">
        <f>'YOLO11n-seg'!AG320</f>
        <v/>
      </c>
      <c r="M320" s="45">
        <f>'U-Net'!AI320</f>
        <v/>
      </c>
      <c r="N320" s="45">
        <f>'DeepLabV3+'!AI320</f>
        <v/>
      </c>
      <c r="O320" s="45">
        <f>'YOLO11n-seg'!AI320</f>
        <v/>
      </c>
    </row>
    <row r="321" ht="15" customHeight="1" s="30">
      <c r="A321" s="73">
        <f>'U-Net'!A321</f>
        <v/>
      </c>
      <c r="B321" s="45">
        <f>'U-Net'!AH321</f>
        <v/>
      </c>
      <c r="C321" s="45">
        <f>'DeepLabV3+'!AH321</f>
        <v/>
      </c>
      <c r="D321" s="45">
        <f>'YOLO11n-seg'!AH321</f>
        <v/>
      </c>
      <c r="E321" s="46">
        <f>INDEX($B$4:$D$4,MATCH(MAX(B321:D321),B321:D321,0))</f>
        <v/>
      </c>
      <c r="F321" s="45">
        <f>MAX(B321:D321)-MIN(B321:D321)</f>
        <v/>
      </c>
      <c r="G321" s="45">
        <f>'U-Net'!AF321</f>
        <v/>
      </c>
      <c r="H321" s="45">
        <f>'DeepLabV3+'!AF321</f>
        <v/>
      </c>
      <c r="I321" s="45">
        <f>'YOLO11n-seg'!AF321</f>
        <v/>
      </c>
      <c r="J321" s="45">
        <f>'U-Net'!AG321</f>
        <v/>
      </c>
      <c r="K321" s="45">
        <f>'DeepLabV3+'!AG321</f>
        <v/>
      </c>
      <c r="L321" s="45">
        <f>'YOLO11n-seg'!AG321</f>
        <v/>
      </c>
      <c r="M321" s="45">
        <f>'U-Net'!AI321</f>
        <v/>
      </c>
      <c r="N321" s="45">
        <f>'DeepLabV3+'!AI321</f>
        <v/>
      </c>
      <c r="O321" s="45">
        <f>'YOLO11n-seg'!AI321</f>
        <v/>
      </c>
    </row>
    <row r="322" ht="15" customHeight="1" s="30">
      <c r="A322" s="73">
        <f>'U-Net'!A322</f>
        <v/>
      </c>
      <c r="B322" s="45">
        <f>'U-Net'!AH322</f>
        <v/>
      </c>
      <c r="C322" s="45">
        <f>'DeepLabV3+'!AH322</f>
        <v/>
      </c>
      <c r="D322" s="45">
        <f>'YOLO11n-seg'!AH322</f>
        <v/>
      </c>
      <c r="E322" s="46">
        <f>INDEX($B$4:$D$4,MATCH(MAX(B322:D322),B322:D322,0))</f>
        <v/>
      </c>
      <c r="F322" s="45">
        <f>MAX(B322:D322)-MIN(B322:D322)</f>
        <v/>
      </c>
      <c r="G322" s="45">
        <f>'U-Net'!AF322</f>
        <v/>
      </c>
      <c r="H322" s="45">
        <f>'DeepLabV3+'!AF322</f>
        <v/>
      </c>
      <c r="I322" s="45">
        <f>'YOLO11n-seg'!AF322</f>
        <v/>
      </c>
      <c r="J322" s="45">
        <f>'U-Net'!AG322</f>
        <v/>
      </c>
      <c r="K322" s="45">
        <f>'DeepLabV3+'!AG322</f>
        <v/>
      </c>
      <c r="L322" s="45">
        <f>'YOLO11n-seg'!AG322</f>
        <v/>
      </c>
      <c r="M322" s="45">
        <f>'U-Net'!AI322</f>
        <v/>
      </c>
      <c r="N322" s="45">
        <f>'DeepLabV3+'!AI322</f>
        <v/>
      </c>
      <c r="O322" s="45">
        <f>'YOLO11n-seg'!AI322</f>
        <v/>
      </c>
    </row>
    <row r="323" ht="15" customHeight="1" s="30">
      <c r="A323" s="73">
        <f>'U-Net'!A323</f>
        <v/>
      </c>
      <c r="B323" s="45">
        <f>'U-Net'!AH323</f>
        <v/>
      </c>
      <c r="C323" s="45">
        <f>'DeepLabV3+'!AH323</f>
        <v/>
      </c>
      <c r="D323" s="45">
        <f>'YOLO11n-seg'!AH323</f>
        <v/>
      </c>
      <c r="E323" s="46">
        <f>INDEX($B$4:$D$4,MATCH(MAX(B323:D323),B323:D323,0))</f>
        <v/>
      </c>
      <c r="F323" s="45">
        <f>MAX(B323:D323)-MIN(B323:D323)</f>
        <v/>
      </c>
      <c r="G323" s="45">
        <f>'U-Net'!AF323</f>
        <v/>
      </c>
      <c r="H323" s="45">
        <f>'DeepLabV3+'!AF323</f>
        <v/>
      </c>
      <c r="I323" s="45">
        <f>'YOLO11n-seg'!AF323</f>
        <v/>
      </c>
      <c r="J323" s="45">
        <f>'U-Net'!AG323</f>
        <v/>
      </c>
      <c r="K323" s="45">
        <f>'DeepLabV3+'!AG323</f>
        <v/>
      </c>
      <c r="L323" s="45">
        <f>'YOLO11n-seg'!AG323</f>
        <v/>
      </c>
      <c r="M323" s="45">
        <f>'U-Net'!AI323</f>
        <v/>
      </c>
      <c r="N323" s="45">
        <f>'DeepLabV3+'!AI323</f>
        <v/>
      </c>
      <c r="O323" s="45">
        <f>'YOLO11n-seg'!AI323</f>
        <v/>
      </c>
    </row>
    <row r="324" ht="15" customHeight="1" s="30">
      <c r="A324" s="73">
        <f>'U-Net'!A324</f>
        <v/>
      </c>
      <c r="B324" s="45">
        <f>'U-Net'!AH324</f>
        <v/>
      </c>
      <c r="C324" s="45">
        <f>'DeepLabV3+'!AH324</f>
        <v/>
      </c>
      <c r="D324" s="45">
        <f>'YOLO11n-seg'!AH324</f>
        <v/>
      </c>
      <c r="E324" s="46">
        <f>INDEX($B$4:$D$4,MATCH(MAX(B324:D324),B324:D324,0))</f>
        <v/>
      </c>
      <c r="F324" s="45">
        <f>MAX(B324:D324)-MIN(B324:D324)</f>
        <v/>
      </c>
      <c r="G324" s="45">
        <f>'U-Net'!AF324</f>
        <v/>
      </c>
      <c r="H324" s="45">
        <f>'DeepLabV3+'!AF324</f>
        <v/>
      </c>
      <c r="I324" s="45">
        <f>'YOLO11n-seg'!AF324</f>
        <v/>
      </c>
      <c r="J324" s="45">
        <f>'U-Net'!AG324</f>
        <v/>
      </c>
      <c r="K324" s="45">
        <f>'DeepLabV3+'!AG324</f>
        <v/>
      </c>
      <c r="L324" s="45">
        <f>'YOLO11n-seg'!AG324</f>
        <v/>
      </c>
      <c r="M324" s="45">
        <f>'U-Net'!AI324</f>
        <v/>
      </c>
      <c r="N324" s="45">
        <f>'DeepLabV3+'!AI324</f>
        <v/>
      </c>
      <c r="O324" s="45">
        <f>'YOLO11n-seg'!AI324</f>
        <v/>
      </c>
    </row>
    <row r="325" ht="15" customHeight="1" s="30">
      <c r="A325" s="73">
        <f>'U-Net'!A325</f>
        <v/>
      </c>
      <c r="B325" s="45">
        <f>'U-Net'!AH325</f>
        <v/>
      </c>
      <c r="C325" s="45">
        <f>'DeepLabV3+'!AH325</f>
        <v/>
      </c>
      <c r="D325" s="45">
        <f>'YOLO11n-seg'!AH325</f>
        <v/>
      </c>
      <c r="E325" s="46">
        <f>INDEX($B$4:$D$4,MATCH(MAX(B325:D325),B325:D325,0))</f>
        <v/>
      </c>
      <c r="F325" s="45">
        <f>MAX(B325:D325)-MIN(B325:D325)</f>
        <v/>
      </c>
      <c r="G325" s="45">
        <f>'U-Net'!AF325</f>
        <v/>
      </c>
      <c r="H325" s="45">
        <f>'DeepLabV3+'!AF325</f>
        <v/>
      </c>
      <c r="I325" s="45">
        <f>'YOLO11n-seg'!AF325</f>
        <v/>
      </c>
      <c r="J325" s="45">
        <f>'U-Net'!AG325</f>
        <v/>
      </c>
      <c r="K325" s="45">
        <f>'DeepLabV3+'!AG325</f>
        <v/>
      </c>
      <c r="L325" s="45">
        <f>'YOLO11n-seg'!AG325</f>
        <v/>
      </c>
      <c r="M325" s="45">
        <f>'U-Net'!AI325</f>
        <v/>
      </c>
      <c r="N325" s="45">
        <f>'DeepLabV3+'!AI325</f>
        <v/>
      </c>
      <c r="O325" s="45">
        <f>'YOLO11n-seg'!AI325</f>
        <v/>
      </c>
    </row>
    <row r="326" ht="15" customHeight="1" s="30">
      <c r="A326" s="73">
        <f>'U-Net'!A326</f>
        <v/>
      </c>
      <c r="B326" s="45">
        <f>'U-Net'!AH326</f>
        <v/>
      </c>
      <c r="C326" s="45">
        <f>'DeepLabV3+'!AH326</f>
        <v/>
      </c>
      <c r="D326" s="45">
        <f>'YOLO11n-seg'!AH326</f>
        <v/>
      </c>
      <c r="E326" s="46">
        <f>INDEX($B$4:$D$4,MATCH(MAX(B326:D326),B326:D326,0))</f>
        <v/>
      </c>
      <c r="F326" s="45">
        <f>MAX(B326:D326)-MIN(B326:D326)</f>
        <v/>
      </c>
      <c r="G326" s="45">
        <f>'U-Net'!AF326</f>
        <v/>
      </c>
      <c r="H326" s="45">
        <f>'DeepLabV3+'!AF326</f>
        <v/>
      </c>
      <c r="I326" s="45">
        <f>'YOLO11n-seg'!AF326</f>
        <v/>
      </c>
      <c r="J326" s="45">
        <f>'U-Net'!AG326</f>
        <v/>
      </c>
      <c r="K326" s="45">
        <f>'DeepLabV3+'!AG326</f>
        <v/>
      </c>
      <c r="L326" s="45">
        <f>'YOLO11n-seg'!AG326</f>
        <v/>
      </c>
      <c r="M326" s="45">
        <f>'U-Net'!AI326</f>
        <v/>
      </c>
      <c r="N326" s="45">
        <f>'DeepLabV3+'!AI326</f>
        <v/>
      </c>
      <c r="O326" s="45">
        <f>'YOLO11n-seg'!AI326</f>
        <v/>
      </c>
    </row>
    <row r="327" ht="15" customHeight="1" s="30">
      <c r="A327" s="73">
        <f>'U-Net'!A327</f>
        <v/>
      </c>
      <c r="B327" s="45">
        <f>'U-Net'!AH327</f>
        <v/>
      </c>
      <c r="C327" s="45">
        <f>'DeepLabV3+'!AH327</f>
        <v/>
      </c>
      <c r="D327" s="45">
        <f>'YOLO11n-seg'!AH327</f>
        <v/>
      </c>
      <c r="E327" s="46">
        <f>INDEX($B$4:$D$4,MATCH(MAX(B327:D327),B327:D327,0))</f>
        <v/>
      </c>
      <c r="F327" s="45">
        <f>MAX(B327:D327)-MIN(B327:D327)</f>
        <v/>
      </c>
      <c r="G327" s="45">
        <f>'U-Net'!AF327</f>
        <v/>
      </c>
      <c r="H327" s="45">
        <f>'DeepLabV3+'!AF327</f>
        <v/>
      </c>
      <c r="I327" s="45">
        <f>'YOLO11n-seg'!AF327</f>
        <v/>
      </c>
      <c r="J327" s="45">
        <f>'U-Net'!AG327</f>
        <v/>
      </c>
      <c r="K327" s="45">
        <f>'DeepLabV3+'!AG327</f>
        <v/>
      </c>
      <c r="L327" s="45">
        <f>'YOLO11n-seg'!AG327</f>
        <v/>
      </c>
      <c r="M327" s="45">
        <f>'U-Net'!AI327</f>
        <v/>
      </c>
      <c r="N327" s="45">
        <f>'DeepLabV3+'!AI327</f>
        <v/>
      </c>
      <c r="O327" s="45">
        <f>'YOLO11n-seg'!AI327</f>
        <v/>
      </c>
    </row>
    <row r="328" ht="15" customHeight="1" s="30">
      <c r="A328" s="73">
        <f>'U-Net'!A328</f>
        <v/>
      </c>
      <c r="B328" s="45">
        <f>'U-Net'!AH328</f>
        <v/>
      </c>
      <c r="C328" s="45">
        <f>'DeepLabV3+'!AH328</f>
        <v/>
      </c>
      <c r="D328" s="45">
        <f>'YOLO11n-seg'!AH328</f>
        <v/>
      </c>
      <c r="E328" s="46">
        <f>INDEX($B$4:$D$4,MATCH(MAX(B328:D328),B328:D328,0))</f>
        <v/>
      </c>
      <c r="F328" s="45">
        <f>MAX(B328:D328)-MIN(B328:D328)</f>
        <v/>
      </c>
      <c r="G328" s="45">
        <f>'U-Net'!AF328</f>
        <v/>
      </c>
      <c r="H328" s="45">
        <f>'DeepLabV3+'!AF328</f>
        <v/>
      </c>
      <c r="I328" s="45">
        <f>'YOLO11n-seg'!AF328</f>
        <v/>
      </c>
      <c r="J328" s="45">
        <f>'U-Net'!AG328</f>
        <v/>
      </c>
      <c r="K328" s="45">
        <f>'DeepLabV3+'!AG328</f>
        <v/>
      </c>
      <c r="L328" s="45">
        <f>'YOLO11n-seg'!AG328</f>
        <v/>
      </c>
      <c r="M328" s="45">
        <f>'U-Net'!AI328</f>
        <v/>
      </c>
      <c r="N328" s="45">
        <f>'DeepLabV3+'!AI328</f>
        <v/>
      </c>
      <c r="O328" s="45">
        <f>'YOLO11n-seg'!AI328</f>
        <v/>
      </c>
    </row>
    <row r="329" ht="15" customHeight="1" s="30">
      <c r="A329" s="73">
        <f>'U-Net'!A329</f>
        <v/>
      </c>
      <c r="B329" s="45">
        <f>'U-Net'!AH329</f>
        <v/>
      </c>
      <c r="C329" s="45">
        <f>'DeepLabV3+'!AH329</f>
        <v/>
      </c>
      <c r="D329" s="45">
        <f>'YOLO11n-seg'!AH329</f>
        <v/>
      </c>
      <c r="E329" s="46">
        <f>INDEX($B$4:$D$4,MATCH(MAX(B329:D329),B329:D329,0))</f>
        <v/>
      </c>
      <c r="F329" s="45">
        <f>MAX(B329:D329)-MIN(B329:D329)</f>
        <v/>
      </c>
      <c r="G329" s="45">
        <f>'U-Net'!AF329</f>
        <v/>
      </c>
      <c r="H329" s="45">
        <f>'DeepLabV3+'!AF329</f>
        <v/>
      </c>
      <c r="I329" s="45">
        <f>'YOLO11n-seg'!AF329</f>
        <v/>
      </c>
      <c r="J329" s="45">
        <f>'U-Net'!AG329</f>
        <v/>
      </c>
      <c r="K329" s="45">
        <f>'DeepLabV3+'!AG329</f>
        <v/>
      </c>
      <c r="L329" s="45">
        <f>'YOLO11n-seg'!AG329</f>
        <v/>
      </c>
      <c r="M329" s="45">
        <f>'U-Net'!AI329</f>
        <v/>
      </c>
      <c r="N329" s="45">
        <f>'DeepLabV3+'!AI329</f>
        <v/>
      </c>
      <c r="O329" s="45">
        <f>'YOLO11n-seg'!AI329</f>
        <v/>
      </c>
    </row>
    <row r="330" ht="15" customHeight="1" s="30">
      <c r="A330" s="73">
        <f>'U-Net'!A330</f>
        <v/>
      </c>
      <c r="B330" s="45">
        <f>'U-Net'!AH330</f>
        <v/>
      </c>
      <c r="C330" s="45">
        <f>'DeepLabV3+'!AH330</f>
        <v/>
      </c>
      <c r="D330" s="45">
        <f>'YOLO11n-seg'!AH330</f>
        <v/>
      </c>
      <c r="E330" s="46">
        <f>INDEX($B$4:$D$4,MATCH(MAX(B330:D330),B330:D330,0))</f>
        <v/>
      </c>
      <c r="F330" s="45">
        <f>MAX(B330:D330)-MIN(B330:D330)</f>
        <v/>
      </c>
      <c r="G330" s="45">
        <f>'U-Net'!AF330</f>
        <v/>
      </c>
      <c r="H330" s="45">
        <f>'DeepLabV3+'!AF330</f>
        <v/>
      </c>
      <c r="I330" s="45">
        <f>'YOLO11n-seg'!AF330</f>
        <v/>
      </c>
      <c r="J330" s="45">
        <f>'U-Net'!AG330</f>
        <v/>
      </c>
      <c r="K330" s="45">
        <f>'DeepLabV3+'!AG330</f>
        <v/>
      </c>
      <c r="L330" s="45">
        <f>'YOLO11n-seg'!AG330</f>
        <v/>
      </c>
      <c r="M330" s="45">
        <f>'U-Net'!AI330</f>
        <v/>
      </c>
      <c r="N330" s="45">
        <f>'DeepLabV3+'!AI330</f>
        <v/>
      </c>
      <c r="O330" s="45">
        <f>'YOLO11n-seg'!AI330</f>
        <v/>
      </c>
    </row>
    <row r="331" ht="15" customHeight="1" s="30">
      <c r="A331" s="73">
        <f>'U-Net'!A331</f>
        <v/>
      </c>
      <c r="B331" s="45">
        <f>'U-Net'!AH331</f>
        <v/>
      </c>
      <c r="C331" s="45">
        <f>'DeepLabV3+'!AH331</f>
        <v/>
      </c>
      <c r="D331" s="45">
        <f>'YOLO11n-seg'!AH331</f>
        <v/>
      </c>
      <c r="E331" s="46">
        <f>INDEX($B$4:$D$4,MATCH(MAX(B331:D331),B331:D331,0))</f>
        <v/>
      </c>
      <c r="F331" s="45">
        <f>MAX(B331:D331)-MIN(B331:D331)</f>
        <v/>
      </c>
      <c r="G331" s="45">
        <f>'U-Net'!AF331</f>
        <v/>
      </c>
      <c r="H331" s="45">
        <f>'DeepLabV3+'!AF331</f>
        <v/>
      </c>
      <c r="I331" s="45">
        <f>'YOLO11n-seg'!AF331</f>
        <v/>
      </c>
      <c r="J331" s="45">
        <f>'U-Net'!AG331</f>
        <v/>
      </c>
      <c r="K331" s="45">
        <f>'DeepLabV3+'!AG331</f>
        <v/>
      </c>
      <c r="L331" s="45">
        <f>'YOLO11n-seg'!AG331</f>
        <v/>
      </c>
      <c r="M331" s="45">
        <f>'U-Net'!AI331</f>
        <v/>
      </c>
      <c r="N331" s="45">
        <f>'DeepLabV3+'!AI331</f>
        <v/>
      </c>
      <c r="O331" s="45">
        <f>'YOLO11n-seg'!AI331</f>
        <v/>
      </c>
    </row>
    <row r="332" ht="15" customHeight="1" s="30">
      <c r="A332" s="73">
        <f>'U-Net'!A332</f>
        <v/>
      </c>
      <c r="B332" s="45">
        <f>'U-Net'!AH332</f>
        <v/>
      </c>
      <c r="C332" s="45">
        <f>'DeepLabV3+'!AH332</f>
        <v/>
      </c>
      <c r="D332" s="45">
        <f>'YOLO11n-seg'!AH332</f>
        <v/>
      </c>
      <c r="E332" s="46">
        <f>INDEX($B$4:$D$4,MATCH(MAX(B332:D332),B332:D332,0))</f>
        <v/>
      </c>
      <c r="F332" s="45">
        <f>MAX(B332:D332)-MIN(B332:D332)</f>
        <v/>
      </c>
      <c r="G332" s="45">
        <f>'U-Net'!AF332</f>
        <v/>
      </c>
      <c r="H332" s="45">
        <f>'DeepLabV3+'!AF332</f>
        <v/>
      </c>
      <c r="I332" s="45">
        <f>'YOLO11n-seg'!AF332</f>
        <v/>
      </c>
      <c r="J332" s="45">
        <f>'U-Net'!AG332</f>
        <v/>
      </c>
      <c r="K332" s="45">
        <f>'DeepLabV3+'!AG332</f>
        <v/>
      </c>
      <c r="L332" s="45">
        <f>'YOLO11n-seg'!AG332</f>
        <v/>
      </c>
      <c r="M332" s="45">
        <f>'U-Net'!AI332</f>
        <v/>
      </c>
      <c r="N332" s="45">
        <f>'DeepLabV3+'!AI332</f>
        <v/>
      </c>
      <c r="O332" s="45">
        <f>'YOLO11n-seg'!AI332</f>
        <v/>
      </c>
    </row>
    <row r="333" ht="15" customHeight="1" s="30">
      <c r="A333" s="73">
        <f>'U-Net'!A333</f>
        <v/>
      </c>
      <c r="B333" s="45">
        <f>'U-Net'!AH333</f>
        <v/>
      </c>
      <c r="C333" s="45">
        <f>'DeepLabV3+'!AH333</f>
        <v/>
      </c>
      <c r="D333" s="45">
        <f>'YOLO11n-seg'!AH333</f>
        <v/>
      </c>
      <c r="E333" s="46">
        <f>INDEX($B$4:$D$4,MATCH(MAX(B333:D333),B333:D333,0))</f>
        <v/>
      </c>
      <c r="F333" s="45">
        <f>MAX(B333:D333)-MIN(B333:D333)</f>
        <v/>
      </c>
      <c r="G333" s="45">
        <f>'U-Net'!AF333</f>
        <v/>
      </c>
      <c r="H333" s="45">
        <f>'DeepLabV3+'!AF333</f>
        <v/>
      </c>
      <c r="I333" s="45">
        <f>'YOLO11n-seg'!AF333</f>
        <v/>
      </c>
      <c r="J333" s="45">
        <f>'U-Net'!AG333</f>
        <v/>
      </c>
      <c r="K333" s="45">
        <f>'DeepLabV3+'!AG333</f>
        <v/>
      </c>
      <c r="L333" s="45">
        <f>'YOLO11n-seg'!AG333</f>
        <v/>
      </c>
      <c r="M333" s="45">
        <f>'U-Net'!AI333</f>
        <v/>
      </c>
      <c r="N333" s="45">
        <f>'DeepLabV3+'!AI333</f>
        <v/>
      </c>
      <c r="O333" s="45">
        <f>'YOLO11n-seg'!AI333</f>
        <v/>
      </c>
    </row>
    <row r="334" ht="15" customHeight="1" s="30">
      <c r="A334" s="73">
        <f>'U-Net'!A334</f>
        <v/>
      </c>
      <c r="B334" s="45">
        <f>'U-Net'!AH334</f>
        <v/>
      </c>
      <c r="C334" s="45">
        <f>'DeepLabV3+'!AH334</f>
        <v/>
      </c>
      <c r="D334" s="45">
        <f>'YOLO11n-seg'!AH334</f>
        <v/>
      </c>
      <c r="E334" s="46">
        <f>INDEX($B$4:$D$4,MATCH(MAX(B334:D334),B334:D334,0))</f>
        <v/>
      </c>
      <c r="F334" s="45">
        <f>MAX(B334:D334)-MIN(B334:D334)</f>
        <v/>
      </c>
      <c r="G334" s="45">
        <f>'U-Net'!AF334</f>
        <v/>
      </c>
      <c r="H334" s="45">
        <f>'DeepLabV3+'!AF334</f>
        <v/>
      </c>
      <c r="I334" s="45">
        <f>'YOLO11n-seg'!AF334</f>
        <v/>
      </c>
      <c r="J334" s="45">
        <f>'U-Net'!AG334</f>
        <v/>
      </c>
      <c r="K334" s="45">
        <f>'DeepLabV3+'!AG334</f>
        <v/>
      </c>
      <c r="L334" s="45">
        <f>'YOLO11n-seg'!AG334</f>
        <v/>
      </c>
      <c r="M334" s="45">
        <f>'U-Net'!AI334</f>
        <v/>
      </c>
      <c r="N334" s="45">
        <f>'DeepLabV3+'!AI334</f>
        <v/>
      </c>
      <c r="O334" s="45">
        <f>'YOLO11n-seg'!AI334</f>
        <v/>
      </c>
    </row>
    <row r="335" ht="15" customHeight="1" s="30">
      <c r="A335" s="73">
        <f>'U-Net'!A335</f>
        <v/>
      </c>
      <c r="B335" s="45">
        <f>'U-Net'!AH335</f>
        <v/>
      </c>
      <c r="C335" s="45">
        <f>'DeepLabV3+'!AH335</f>
        <v/>
      </c>
      <c r="D335" s="45">
        <f>'YOLO11n-seg'!AH335</f>
        <v/>
      </c>
      <c r="E335" s="46">
        <f>INDEX($B$4:$D$4,MATCH(MAX(B335:D335),B335:D335,0))</f>
        <v/>
      </c>
      <c r="F335" s="45">
        <f>MAX(B335:D335)-MIN(B335:D335)</f>
        <v/>
      </c>
      <c r="G335" s="45">
        <f>'U-Net'!AF335</f>
        <v/>
      </c>
      <c r="H335" s="45">
        <f>'DeepLabV3+'!AF335</f>
        <v/>
      </c>
      <c r="I335" s="45">
        <f>'YOLO11n-seg'!AF335</f>
        <v/>
      </c>
      <c r="J335" s="45">
        <f>'U-Net'!AG335</f>
        <v/>
      </c>
      <c r="K335" s="45">
        <f>'DeepLabV3+'!AG335</f>
        <v/>
      </c>
      <c r="L335" s="45">
        <f>'YOLO11n-seg'!AG335</f>
        <v/>
      </c>
      <c r="M335" s="45">
        <f>'U-Net'!AI335</f>
        <v/>
      </c>
      <c r="N335" s="45">
        <f>'DeepLabV3+'!AI335</f>
        <v/>
      </c>
      <c r="O335" s="45">
        <f>'YOLO11n-seg'!AI335</f>
        <v/>
      </c>
    </row>
    <row r="336" ht="15" customHeight="1" s="30">
      <c r="A336" s="73">
        <f>'U-Net'!A336</f>
        <v/>
      </c>
      <c r="B336" s="45">
        <f>'U-Net'!AH336</f>
        <v/>
      </c>
      <c r="C336" s="45">
        <f>'DeepLabV3+'!AH336</f>
        <v/>
      </c>
      <c r="D336" s="45">
        <f>'YOLO11n-seg'!AH336</f>
        <v/>
      </c>
      <c r="E336" s="46">
        <f>INDEX($B$4:$D$4,MATCH(MAX(B336:D336),B336:D336,0))</f>
        <v/>
      </c>
      <c r="F336" s="45">
        <f>MAX(B336:D336)-MIN(B336:D336)</f>
        <v/>
      </c>
      <c r="G336" s="45">
        <f>'U-Net'!AF336</f>
        <v/>
      </c>
      <c r="H336" s="45">
        <f>'DeepLabV3+'!AF336</f>
        <v/>
      </c>
      <c r="I336" s="45">
        <f>'YOLO11n-seg'!AF336</f>
        <v/>
      </c>
      <c r="J336" s="45">
        <f>'U-Net'!AG336</f>
        <v/>
      </c>
      <c r="K336" s="45">
        <f>'DeepLabV3+'!AG336</f>
        <v/>
      </c>
      <c r="L336" s="45">
        <f>'YOLO11n-seg'!AG336</f>
        <v/>
      </c>
      <c r="M336" s="45">
        <f>'U-Net'!AI336</f>
        <v/>
      </c>
      <c r="N336" s="45">
        <f>'DeepLabV3+'!AI336</f>
        <v/>
      </c>
      <c r="O336" s="45">
        <f>'YOLO11n-seg'!AI336</f>
        <v/>
      </c>
    </row>
    <row r="337" ht="15" customHeight="1" s="30">
      <c r="A337" s="73">
        <f>'U-Net'!A337</f>
        <v/>
      </c>
      <c r="B337" s="45">
        <f>'U-Net'!AH337</f>
        <v/>
      </c>
      <c r="C337" s="45">
        <f>'DeepLabV3+'!AH337</f>
        <v/>
      </c>
      <c r="D337" s="45">
        <f>'YOLO11n-seg'!AH337</f>
        <v/>
      </c>
      <c r="E337" s="46">
        <f>INDEX($B$4:$D$4,MATCH(MAX(B337:D337),B337:D337,0))</f>
        <v/>
      </c>
      <c r="F337" s="45">
        <f>MAX(B337:D337)-MIN(B337:D337)</f>
        <v/>
      </c>
      <c r="G337" s="45">
        <f>'U-Net'!AF337</f>
        <v/>
      </c>
      <c r="H337" s="45">
        <f>'DeepLabV3+'!AF337</f>
        <v/>
      </c>
      <c r="I337" s="45">
        <f>'YOLO11n-seg'!AF337</f>
        <v/>
      </c>
      <c r="J337" s="45">
        <f>'U-Net'!AG337</f>
        <v/>
      </c>
      <c r="K337" s="45">
        <f>'DeepLabV3+'!AG337</f>
        <v/>
      </c>
      <c r="L337" s="45">
        <f>'YOLO11n-seg'!AG337</f>
        <v/>
      </c>
      <c r="M337" s="45">
        <f>'U-Net'!AI337</f>
        <v/>
      </c>
      <c r="N337" s="45">
        <f>'DeepLabV3+'!AI337</f>
        <v/>
      </c>
      <c r="O337" s="45">
        <f>'YOLO11n-seg'!AI337</f>
        <v/>
      </c>
    </row>
    <row r="338" ht="15" customHeight="1" s="30">
      <c r="A338" s="73">
        <f>'U-Net'!A338</f>
        <v/>
      </c>
      <c r="B338" s="45">
        <f>'U-Net'!AH338</f>
        <v/>
      </c>
      <c r="C338" s="45">
        <f>'DeepLabV3+'!AH338</f>
        <v/>
      </c>
      <c r="D338" s="45">
        <f>'YOLO11n-seg'!AH338</f>
        <v/>
      </c>
      <c r="E338" s="46">
        <f>INDEX($B$4:$D$4,MATCH(MAX(B338:D338),B338:D338,0))</f>
        <v/>
      </c>
      <c r="F338" s="45">
        <f>MAX(B338:D338)-MIN(B338:D338)</f>
        <v/>
      </c>
      <c r="G338" s="45">
        <f>'U-Net'!AF338</f>
        <v/>
      </c>
      <c r="H338" s="45">
        <f>'DeepLabV3+'!AF338</f>
        <v/>
      </c>
      <c r="I338" s="45">
        <f>'YOLO11n-seg'!AF338</f>
        <v/>
      </c>
      <c r="J338" s="45">
        <f>'U-Net'!AG338</f>
        <v/>
      </c>
      <c r="K338" s="45">
        <f>'DeepLabV3+'!AG338</f>
        <v/>
      </c>
      <c r="L338" s="45">
        <f>'YOLO11n-seg'!AG338</f>
        <v/>
      </c>
      <c r="M338" s="45">
        <f>'U-Net'!AI338</f>
        <v/>
      </c>
      <c r="N338" s="45">
        <f>'DeepLabV3+'!AI338</f>
        <v/>
      </c>
      <c r="O338" s="45">
        <f>'YOLO11n-seg'!AI338</f>
        <v/>
      </c>
    </row>
    <row r="339" ht="15" customHeight="1" s="30">
      <c r="A339" s="73">
        <f>'U-Net'!A339</f>
        <v/>
      </c>
      <c r="B339" s="45">
        <f>'U-Net'!AH339</f>
        <v/>
      </c>
      <c r="C339" s="45">
        <f>'DeepLabV3+'!AH339</f>
        <v/>
      </c>
      <c r="D339" s="45">
        <f>'YOLO11n-seg'!AH339</f>
        <v/>
      </c>
      <c r="E339" s="46">
        <f>INDEX($B$4:$D$4,MATCH(MAX(B339:D339),B339:D339,0))</f>
        <v/>
      </c>
      <c r="F339" s="45">
        <f>MAX(B339:D339)-MIN(B339:D339)</f>
        <v/>
      </c>
      <c r="G339" s="45">
        <f>'U-Net'!AF339</f>
        <v/>
      </c>
      <c r="H339" s="45">
        <f>'DeepLabV3+'!AF339</f>
        <v/>
      </c>
      <c r="I339" s="45">
        <f>'YOLO11n-seg'!AF339</f>
        <v/>
      </c>
      <c r="J339" s="45">
        <f>'U-Net'!AG339</f>
        <v/>
      </c>
      <c r="K339" s="45">
        <f>'DeepLabV3+'!AG339</f>
        <v/>
      </c>
      <c r="L339" s="45">
        <f>'YOLO11n-seg'!AG339</f>
        <v/>
      </c>
      <c r="M339" s="45">
        <f>'U-Net'!AI339</f>
        <v/>
      </c>
      <c r="N339" s="45">
        <f>'DeepLabV3+'!AI339</f>
        <v/>
      </c>
      <c r="O339" s="45">
        <f>'YOLO11n-seg'!AI339</f>
        <v/>
      </c>
    </row>
    <row r="340" ht="15" customHeight="1" s="30">
      <c r="A340" s="73">
        <f>'U-Net'!A340</f>
        <v/>
      </c>
      <c r="B340" s="45">
        <f>'U-Net'!AH340</f>
        <v/>
      </c>
      <c r="C340" s="45">
        <f>'DeepLabV3+'!AH340</f>
        <v/>
      </c>
      <c r="D340" s="45">
        <f>'YOLO11n-seg'!AH340</f>
        <v/>
      </c>
      <c r="E340" s="46">
        <f>INDEX($B$4:$D$4,MATCH(MAX(B340:D340),B340:D340,0))</f>
        <v/>
      </c>
      <c r="F340" s="45">
        <f>MAX(B340:D340)-MIN(B340:D340)</f>
        <v/>
      </c>
      <c r="G340" s="45">
        <f>'U-Net'!AF340</f>
        <v/>
      </c>
      <c r="H340" s="45">
        <f>'DeepLabV3+'!AF340</f>
        <v/>
      </c>
      <c r="I340" s="45">
        <f>'YOLO11n-seg'!AF340</f>
        <v/>
      </c>
      <c r="J340" s="45">
        <f>'U-Net'!AG340</f>
        <v/>
      </c>
      <c r="K340" s="45">
        <f>'DeepLabV3+'!AG340</f>
        <v/>
      </c>
      <c r="L340" s="45">
        <f>'YOLO11n-seg'!AG340</f>
        <v/>
      </c>
      <c r="M340" s="45">
        <f>'U-Net'!AI340</f>
        <v/>
      </c>
      <c r="N340" s="45">
        <f>'DeepLabV3+'!AI340</f>
        <v/>
      </c>
      <c r="O340" s="45">
        <f>'YOLO11n-seg'!AI340</f>
        <v/>
      </c>
    </row>
    <row r="341" ht="15" customHeight="1" s="30">
      <c r="A341" s="73">
        <f>'U-Net'!A341</f>
        <v/>
      </c>
      <c r="B341" s="45">
        <f>'U-Net'!AH341</f>
        <v/>
      </c>
      <c r="C341" s="45">
        <f>'DeepLabV3+'!AH341</f>
        <v/>
      </c>
      <c r="D341" s="45">
        <f>'YOLO11n-seg'!AH341</f>
        <v/>
      </c>
      <c r="E341" s="46">
        <f>INDEX($B$4:$D$4,MATCH(MAX(B341:D341),B341:D341,0))</f>
        <v/>
      </c>
      <c r="F341" s="45">
        <f>MAX(B341:D341)-MIN(B341:D341)</f>
        <v/>
      </c>
      <c r="G341" s="45">
        <f>'U-Net'!AF341</f>
        <v/>
      </c>
      <c r="H341" s="45">
        <f>'DeepLabV3+'!AF341</f>
        <v/>
      </c>
      <c r="I341" s="45">
        <f>'YOLO11n-seg'!AF341</f>
        <v/>
      </c>
      <c r="J341" s="45">
        <f>'U-Net'!AG341</f>
        <v/>
      </c>
      <c r="K341" s="45">
        <f>'DeepLabV3+'!AG341</f>
        <v/>
      </c>
      <c r="L341" s="45">
        <f>'YOLO11n-seg'!AG341</f>
        <v/>
      </c>
      <c r="M341" s="45">
        <f>'U-Net'!AI341</f>
        <v/>
      </c>
      <c r="N341" s="45">
        <f>'DeepLabV3+'!AI341</f>
        <v/>
      </c>
      <c r="O341" s="45">
        <f>'YOLO11n-seg'!AI341</f>
        <v/>
      </c>
    </row>
    <row r="342" ht="15" customHeight="1" s="30">
      <c r="A342" s="73">
        <f>'U-Net'!A342</f>
        <v/>
      </c>
      <c r="B342" s="45">
        <f>'U-Net'!AH342</f>
        <v/>
      </c>
      <c r="C342" s="45">
        <f>'DeepLabV3+'!AH342</f>
        <v/>
      </c>
      <c r="D342" s="45">
        <f>'YOLO11n-seg'!AH342</f>
        <v/>
      </c>
      <c r="E342" s="46">
        <f>INDEX($B$4:$D$4,MATCH(MAX(B342:D342),B342:D342,0))</f>
        <v/>
      </c>
      <c r="F342" s="45">
        <f>MAX(B342:D342)-MIN(B342:D342)</f>
        <v/>
      </c>
      <c r="G342" s="45">
        <f>'U-Net'!AF342</f>
        <v/>
      </c>
      <c r="H342" s="45">
        <f>'DeepLabV3+'!AF342</f>
        <v/>
      </c>
      <c r="I342" s="45">
        <f>'YOLO11n-seg'!AF342</f>
        <v/>
      </c>
      <c r="J342" s="45">
        <f>'U-Net'!AG342</f>
        <v/>
      </c>
      <c r="K342" s="45">
        <f>'DeepLabV3+'!AG342</f>
        <v/>
      </c>
      <c r="L342" s="45">
        <f>'YOLO11n-seg'!AG342</f>
        <v/>
      </c>
      <c r="M342" s="45">
        <f>'U-Net'!AI342</f>
        <v/>
      </c>
      <c r="N342" s="45">
        <f>'DeepLabV3+'!AI342</f>
        <v/>
      </c>
      <c r="O342" s="45">
        <f>'YOLO11n-seg'!AI342</f>
        <v/>
      </c>
    </row>
    <row r="343" ht="15" customHeight="1" s="30">
      <c r="A343" s="73">
        <f>'U-Net'!A343</f>
        <v/>
      </c>
      <c r="B343" s="45">
        <f>'U-Net'!AH343</f>
        <v/>
      </c>
      <c r="C343" s="45">
        <f>'DeepLabV3+'!AH343</f>
        <v/>
      </c>
      <c r="D343" s="45">
        <f>'YOLO11n-seg'!AH343</f>
        <v/>
      </c>
      <c r="E343" s="46">
        <f>INDEX($B$4:$D$4,MATCH(MAX(B343:D343),B343:D343,0))</f>
        <v/>
      </c>
      <c r="F343" s="45">
        <f>MAX(B343:D343)-MIN(B343:D343)</f>
        <v/>
      </c>
      <c r="G343" s="45">
        <f>'U-Net'!AF343</f>
        <v/>
      </c>
      <c r="H343" s="45">
        <f>'DeepLabV3+'!AF343</f>
        <v/>
      </c>
      <c r="I343" s="45">
        <f>'YOLO11n-seg'!AF343</f>
        <v/>
      </c>
      <c r="J343" s="45">
        <f>'U-Net'!AG343</f>
        <v/>
      </c>
      <c r="K343" s="45">
        <f>'DeepLabV3+'!AG343</f>
        <v/>
      </c>
      <c r="L343" s="45">
        <f>'YOLO11n-seg'!AG343</f>
        <v/>
      </c>
      <c r="M343" s="45">
        <f>'U-Net'!AI343</f>
        <v/>
      </c>
      <c r="N343" s="45">
        <f>'DeepLabV3+'!AI343</f>
        <v/>
      </c>
      <c r="O343" s="45">
        <f>'YOLO11n-seg'!AI343</f>
        <v/>
      </c>
    </row>
    <row r="344" ht="15" customHeight="1" s="30">
      <c r="A344" s="73">
        <f>'U-Net'!A344</f>
        <v/>
      </c>
      <c r="B344" s="45">
        <f>'U-Net'!AH344</f>
        <v/>
      </c>
      <c r="C344" s="45">
        <f>'DeepLabV3+'!AH344</f>
        <v/>
      </c>
      <c r="D344" s="45">
        <f>'YOLO11n-seg'!AH344</f>
        <v/>
      </c>
      <c r="E344" s="46">
        <f>INDEX($B$4:$D$4,MATCH(MAX(B344:D344),B344:D344,0))</f>
        <v/>
      </c>
      <c r="F344" s="45">
        <f>MAX(B344:D344)-MIN(B344:D344)</f>
        <v/>
      </c>
      <c r="G344" s="45">
        <f>'U-Net'!AF344</f>
        <v/>
      </c>
      <c r="H344" s="45">
        <f>'DeepLabV3+'!AF344</f>
        <v/>
      </c>
      <c r="I344" s="45">
        <f>'YOLO11n-seg'!AF344</f>
        <v/>
      </c>
      <c r="J344" s="45">
        <f>'U-Net'!AG344</f>
        <v/>
      </c>
      <c r="K344" s="45">
        <f>'DeepLabV3+'!AG344</f>
        <v/>
      </c>
      <c r="L344" s="45">
        <f>'YOLO11n-seg'!AG344</f>
        <v/>
      </c>
      <c r="M344" s="45">
        <f>'U-Net'!AI344</f>
        <v/>
      </c>
      <c r="N344" s="45">
        <f>'DeepLabV3+'!AI344</f>
        <v/>
      </c>
      <c r="O344" s="45">
        <f>'YOLO11n-seg'!AI344</f>
        <v/>
      </c>
    </row>
    <row r="345" ht="15" customHeight="1" s="30">
      <c r="A345" s="73">
        <f>'U-Net'!A345</f>
        <v/>
      </c>
      <c r="B345" s="45">
        <f>'U-Net'!AH345</f>
        <v/>
      </c>
      <c r="C345" s="45">
        <f>'DeepLabV3+'!AH345</f>
        <v/>
      </c>
      <c r="D345" s="45">
        <f>'YOLO11n-seg'!AH345</f>
        <v/>
      </c>
      <c r="E345" s="46">
        <f>INDEX($B$4:$D$4,MATCH(MAX(B345:D345),B345:D345,0))</f>
        <v/>
      </c>
      <c r="F345" s="45">
        <f>MAX(B345:D345)-MIN(B345:D345)</f>
        <v/>
      </c>
      <c r="G345" s="45">
        <f>'U-Net'!AF345</f>
        <v/>
      </c>
      <c r="H345" s="45">
        <f>'DeepLabV3+'!AF345</f>
        <v/>
      </c>
      <c r="I345" s="45">
        <f>'YOLO11n-seg'!AF345</f>
        <v/>
      </c>
      <c r="J345" s="45">
        <f>'U-Net'!AG345</f>
        <v/>
      </c>
      <c r="K345" s="45">
        <f>'DeepLabV3+'!AG345</f>
        <v/>
      </c>
      <c r="L345" s="45">
        <f>'YOLO11n-seg'!AG345</f>
        <v/>
      </c>
      <c r="M345" s="45">
        <f>'U-Net'!AI345</f>
        <v/>
      </c>
      <c r="N345" s="45">
        <f>'DeepLabV3+'!AI345</f>
        <v/>
      </c>
      <c r="O345" s="45">
        <f>'YOLO11n-seg'!AI345</f>
        <v/>
      </c>
    </row>
    <row r="346" ht="15" customHeight="1" s="30">
      <c r="A346" s="73">
        <f>'U-Net'!A346</f>
        <v/>
      </c>
      <c r="B346" s="45">
        <f>'U-Net'!AH346</f>
        <v/>
      </c>
      <c r="C346" s="45">
        <f>'DeepLabV3+'!AH346</f>
        <v/>
      </c>
      <c r="D346" s="45">
        <f>'YOLO11n-seg'!AH346</f>
        <v/>
      </c>
      <c r="E346" s="46">
        <f>INDEX($B$4:$D$4,MATCH(MAX(B346:D346),B346:D346,0))</f>
        <v/>
      </c>
      <c r="F346" s="45">
        <f>MAX(B346:D346)-MIN(B346:D346)</f>
        <v/>
      </c>
      <c r="G346" s="45">
        <f>'U-Net'!AF346</f>
        <v/>
      </c>
      <c r="H346" s="45">
        <f>'DeepLabV3+'!AF346</f>
        <v/>
      </c>
      <c r="I346" s="45">
        <f>'YOLO11n-seg'!AF346</f>
        <v/>
      </c>
      <c r="J346" s="45">
        <f>'U-Net'!AG346</f>
        <v/>
      </c>
      <c r="K346" s="45">
        <f>'DeepLabV3+'!AG346</f>
        <v/>
      </c>
      <c r="L346" s="45">
        <f>'YOLO11n-seg'!AG346</f>
        <v/>
      </c>
      <c r="M346" s="45">
        <f>'U-Net'!AI346</f>
        <v/>
      </c>
      <c r="N346" s="45">
        <f>'DeepLabV3+'!AI346</f>
        <v/>
      </c>
      <c r="O346" s="45">
        <f>'YOLO11n-seg'!AI346</f>
        <v/>
      </c>
    </row>
    <row r="347" ht="15" customHeight="1" s="30">
      <c r="A347" s="73">
        <f>'U-Net'!A347</f>
        <v/>
      </c>
      <c r="B347" s="45">
        <f>'U-Net'!AH347</f>
        <v/>
      </c>
      <c r="C347" s="45">
        <f>'DeepLabV3+'!AH347</f>
        <v/>
      </c>
      <c r="D347" s="45">
        <f>'YOLO11n-seg'!AH347</f>
        <v/>
      </c>
      <c r="E347" s="46">
        <f>INDEX($B$4:$D$4,MATCH(MAX(B347:D347),B347:D347,0))</f>
        <v/>
      </c>
      <c r="F347" s="45">
        <f>MAX(B347:D347)-MIN(B347:D347)</f>
        <v/>
      </c>
      <c r="G347" s="45">
        <f>'U-Net'!AF347</f>
        <v/>
      </c>
      <c r="H347" s="45">
        <f>'DeepLabV3+'!AF347</f>
        <v/>
      </c>
      <c r="I347" s="45">
        <f>'YOLO11n-seg'!AF347</f>
        <v/>
      </c>
      <c r="J347" s="45">
        <f>'U-Net'!AG347</f>
        <v/>
      </c>
      <c r="K347" s="45">
        <f>'DeepLabV3+'!AG347</f>
        <v/>
      </c>
      <c r="L347" s="45">
        <f>'YOLO11n-seg'!AG347</f>
        <v/>
      </c>
      <c r="M347" s="45">
        <f>'U-Net'!AI347</f>
        <v/>
      </c>
      <c r="N347" s="45">
        <f>'DeepLabV3+'!AI347</f>
        <v/>
      </c>
      <c r="O347" s="45">
        <f>'YOLO11n-seg'!AI347</f>
        <v/>
      </c>
    </row>
    <row r="348" ht="15" customHeight="1" s="30">
      <c r="A348" s="73">
        <f>'U-Net'!A348</f>
        <v/>
      </c>
      <c r="B348" s="45">
        <f>'U-Net'!AH348</f>
        <v/>
      </c>
      <c r="C348" s="45">
        <f>'DeepLabV3+'!AH348</f>
        <v/>
      </c>
      <c r="D348" s="45">
        <f>'YOLO11n-seg'!AH348</f>
        <v/>
      </c>
      <c r="E348" s="46">
        <f>INDEX($B$4:$D$4,MATCH(MAX(B348:D348),B348:D348,0))</f>
        <v/>
      </c>
      <c r="F348" s="45">
        <f>MAX(B348:D348)-MIN(B348:D348)</f>
        <v/>
      </c>
      <c r="G348" s="45">
        <f>'U-Net'!AF348</f>
        <v/>
      </c>
      <c r="H348" s="45">
        <f>'DeepLabV3+'!AF348</f>
        <v/>
      </c>
      <c r="I348" s="45">
        <f>'YOLO11n-seg'!AF348</f>
        <v/>
      </c>
      <c r="J348" s="45">
        <f>'U-Net'!AG348</f>
        <v/>
      </c>
      <c r="K348" s="45">
        <f>'DeepLabV3+'!AG348</f>
        <v/>
      </c>
      <c r="L348" s="45">
        <f>'YOLO11n-seg'!AG348</f>
        <v/>
      </c>
      <c r="M348" s="45">
        <f>'U-Net'!AI348</f>
        <v/>
      </c>
      <c r="N348" s="45">
        <f>'DeepLabV3+'!AI348</f>
        <v/>
      </c>
      <c r="O348" s="45">
        <f>'YOLO11n-seg'!AI348</f>
        <v/>
      </c>
    </row>
    <row r="349" ht="15" customHeight="1" s="30">
      <c r="A349" s="73">
        <f>'U-Net'!A349</f>
        <v/>
      </c>
      <c r="B349" s="45">
        <f>'U-Net'!AH349</f>
        <v/>
      </c>
      <c r="C349" s="45">
        <f>'DeepLabV3+'!AH349</f>
        <v/>
      </c>
      <c r="D349" s="45">
        <f>'YOLO11n-seg'!AH349</f>
        <v/>
      </c>
      <c r="E349" s="46">
        <f>INDEX($B$4:$D$4,MATCH(MAX(B349:D349),B349:D349,0))</f>
        <v/>
      </c>
      <c r="F349" s="45">
        <f>MAX(B349:D349)-MIN(B349:D349)</f>
        <v/>
      </c>
      <c r="G349" s="45">
        <f>'U-Net'!AF349</f>
        <v/>
      </c>
      <c r="H349" s="45">
        <f>'DeepLabV3+'!AF349</f>
        <v/>
      </c>
      <c r="I349" s="45">
        <f>'YOLO11n-seg'!AF349</f>
        <v/>
      </c>
      <c r="J349" s="45">
        <f>'U-Net'!AG349</f>
        <v/>
      </c>
      <c r="K349" s="45">
        <f>'DeepLabV3+'!AG349</f>
        <v/>
      </c>
      <c r="L349" s="45">
        <f>'YOLO11n-seg'!AG349</f>
        <v/>
      </c>
      <c r="M349" s="45">
        <f>'U-Net'!AI349</f>
        <v/>
      </c>
      <c r="N349" s="45">
        <f>'DeepLabV3+'!AI349</f>
        <v/>
      </c>
      <c r="O349" s="45">
        <f>'YOLO11n-seg'!AI349</f>
        <v/>
      </c>
    </row>
    <row r="350" ht="15" customHeight="1" s="30">
      <c r="A350" s="73">
        <f>'U-Net'!A350</f>
        <v/>
      </c>
      <c r="B350" s="45">
        <f>'U-Net'!AH350</f>
        <v/>
      </c>
      <c r="C350" s="45">
        <f>'DeepLabV3+'!AH350</f>
        <v/>
      </c>
      <c r="D350" s="45">
        <f>'YOLO11n-seg'!AH350</f>
        <v/>
      </c>
      <c r="E350" s="46">
        <f>INDEX($B$4:$D$4,MATCH(MAX(B350:D350),B350:D350,0))</f>
        <v/>
      </c>
      <c r="F350" s="45">
        <f>MAX(B350:D350)-MIN(B350:D350)</f>
        <v/>
      </c>
      <c r="G350" s="45">
        <f>'U-Net'!AF350</f>
        <v/>
      </c>
      <c r="H350" s="45">
        <f>'DeepLabV3+'!AF350</f>
        <v/>
      </c>
      <c r="I350" s="45">
        <f>'YOLO11n-seg'!AF350</f>
        <v/>
      </c>
      <c r="J350" s="45">
        <f>'U-Net'!AG350</f>
        <v/>
      </c>
      <c r="K350" s="45">
        <f>'DeepLabV3+'!AG350</f>
        <v/>
      </c>
      <c r="L350" s="45">
        <f>'YOLO11n-seg'!AG350</f>
        <v/>
      </c>
      <c r="M350" s="45">
        <f>'U-Net'!AI350</f>
        <v/>
      </c>
      <c r="N350" s="45">
        <f>'DeepLabV3+'!AI350</f>
        <v/>
      </c>
      <c r="O350" s="45">
        <f>'YOLO11n-seg'!AI350</f>
        <v/>
      </c>
    </row>
    <row r="351" ht="15" customHeight="1" s="30">
      <c r="A351" s="73">
        <f>'U-Net'!A351</f>
        <v/>
      </c>
      <c r="B351" s="45">
        <f>'U-Net'!AH351</f>
        <v/>
      </c>
      <c r="C351" s="45">
        <f>'DeepLabV3+'!AH351</f>
        <v/>
      </c>
      <c r="D351" s="45">
        <f>'YOLO11n-seg'!AH351</f>
        <v/>
      </c>
      <c r="E351" s="46">
        <f>INDEX($B$4:$D$4,MATCH(MAX(B351:D351),B351:D351,0))</f>
        <v/>
      </c>
      <c r="F351" s="45">
        <f>MAX(B351:D351)-MIN(B351:D351)</f>
        <v/>
      </c>
      <c r="G351" s="45">
        <f>'U-Net'!AF351</f>
        <v/>
      </c>
      <c r="H351" s="45">
        <f>'DeepLabV3+'!AF351</f>
        <v/>
      </c>
      <c r="I351" s="45">
        <f>'YOLO11n-seg'!AF351</f>
        <v/>
      </c>
      <c r="J351" s="45">
        <f>'U-Net'!AG351</f>
        <v/>
      </c>
      <c r="K351" s="45">
        <f>'DeepLabV3+'!AG351</f>
        <v/>
      </c>
      <c r="L351" s="45">
        <f>'YOLO11n-seg'!AG351</f>
        <v/>
      </c>
      <c r="M351" s="45">
        <f>'U-Net'!AI351</f>
        <v/>
      </c>
      <c r="N351" s="45">
        <f>'DeepLabV3+'!AI351</f>
        <v/>
      </c>
      <c r="O351" s="45">
        <f>'YOLO11n-seg'!AI351</f>
        <v/>
      </c>
    </row>
    <row r="352" ht="15" customHeight="1" s="30">
      <c r="A352" s="73">
        <f>'U-Net'!A352</f>
        <v/>
      </c>
      <c r="B352" s="45">
        <f>'U-Net'!AH352</f>
        <v/>
      </c>
      <c r="C352" s="45">
        <f>'DeepLabV3+'!AH352</f>
        <v/>
      </c>
      <c r="D352" s="45">
        <f>'YOLO11n-seg'!AH352</f>
        <v/>
      </c>
      <c r="E352" s="46">
        <f>INDEX($B$4:$D$4,MATCH(MAX(B352:D352),B352:D352,0))</f>
        <v/>
      </c>
      <c r="F352" s="45">
        <f>MAX(B352:D352)-MIN(B352:D352)</f>
        <v/>
      </c>
      <c r="G352" s="45">
        <f>'U-Net'!AF352</f>
        <v/>
      </c>
      <c r="H352" s="45">
        <f>'DeepLabV3+'!AF352</f>
        <v/>
      </c>
      <c r="I352" s="45">
        <f>'YOLO11n-seg'!AF352</f>
        <v/>
      </c>
      <c r="J352" s="45">
        <f>'U-Net'!AG352</f>
        <v/>
      </c>
      <c r="K352" s="45">
        <f>'DeepLabV3+'!AG352</f>
        <v/>
      </c>
      <c r="L352" s="45">
        <f>'YOLO11n-seg'!AG352</f>
        <v/>
      </c>
      <c r="M352" s="45">
        <f>'U-Net'!AI352</f>
        <v/>
      </c>
      <c r="N352" s="45">
        <f>'DeepLabV3+'!AI352</f>
        <v/>
      </c>
      <c r="O352" s="45">
        <f>'YOLO11n-seg'!AI352</f>
        <v/>
      </c>
    </row>
    <row r="353" ht="15" customHeight="1" s="30">
      <c r="A353" s="73">
        <f>'U-Net'!A353</f>
        <v/>
      </c>
      <c r="B353" s="45">
        <f>'U-Net'!AH353</f>
        <v/>
      </c>
      <c r="C353" s="45">
        <f>'DeepLabV3+'!AH353</f>
        <v/>
      </c>
      <c r="D353" s="45">
        <f>'YOLO11n-seg'!AH353</f>
        <v/>
      </c>
      <c r="E353" s="46">
        <f>INDEX($B$4:$D$4,MATCH(MAX(B353:D353),B353:D353,0))</f>
        <v/>
      </c>
      <c r="F353" s="45">
        <f>MAX(B353:D353)-MIN(B353:D353)</f>
        <v/>
      </c>
      <c r="G353" s="45">
        <f>'U-Net'!AF353</f>
        <v/>
      </c>
      <c r="H353" s="45">
        <f>'DeepLabV3+'!AF353</f>
        <v/>
      </c>
      <c r="I353" s="45">
        <f>'YOLO11n-seg'!AF353</f>
        <v/>
      </c>
      <c r="J353" s="45">
        <f>'U-Net'!AG353</f>
        <v/>
      </c>
      <c r="K353" s="45">
        <f>'DeepLabV3+'!AG353</f>
        <v/>
      </c>
      <c r="L353" s="45">
        <f>'YOLO11n-seg'!AG353</f>
        <v/>
      </c>
      <c r="M353" s="45">
        <f>'U-Net'!AI353</f>
        <v/>
      </c>
      <c r="N353" s="45">
        <f>'DeepLabV3+'!AI353</f>
        <v/>
      </c>
      <c r="O353" s="45">
        <f>'YOLO11n-seg'!AI353</f>
        <v/>
      </c>
    </row>
    <row r="354" ht="15" customHeight="1" s="30">
      <c r="A354" s="73">
        <f>'U-Net'!A354</f>
        <v/>
      </c>
      <c r="B354" s="45">
        <f>'U-Net'!AH354</f>
        <v/>
      </c>
      <c r="C354" s="45">
        <f>'DeepLabV3+'!AH354</f>
        <v/>
      </c>
      <c r="D354" s="45">
        <f>'YOLO11n-seg'!AH354</f>
        <v/>
      </c>
      <c r="E354" s="46">
        <f>INDEX($B$4:$D$4,MATCH(MAX(B354:D354),B354:D354,0))</f>
        <v/>
      </c>
      <c r="F354" s="45">
        <f>MAX(B354:D354)-MIN(B354:D354)</f>
        <v/>
      </c>
      <c r="G354" s="45">
        <f>'U-Net'!AF354</f>
        <v/>
      </c>
      <c r="H354" s="45">
        <f>'DeepLabV3+'!AF354</f>
        <v/>
      </c>
      <c r="I354" s="45">
        <f>'YOLO11n-seg'!AF354</f>
        <v/>
      </c>
      <c r="J354" s="45">
        <f>'U-Net'!AG354</f>
        <v/>
      </c>
      <c r="K354" s="45">
        <f>'DeepLabV3+'!AG354</f>
        <v/>
      </c>
      <c r="L354" s="45">
        <f>'YOLO11n-seg'!AG354</f>
        <v/>
      </c>
      <c r="M354" s="45">
        <f>'U-Net'!AI354</f>
        <v/>
      </c>
      <c r="N354" s="45">
        <f>'DeepLabV3+'!AI354</f>
        <v/>
      </c>
      <c r="O354" s="45">
        <f>'YOLO11n-seg'!AI354</f>
        <v/>
      </c>
    </row>
    <row r="355" ht="15" customHeight="1" s="30">
      <c r="A355" s="73">
        <f>'U-Net'!A355</f>
        <v/>
      </c>
      <c r="B355" s="45">
        <f>'U-Net'!AH355</f>
        <v/>
      </c>
      <c r="C355" s="45">
        <f>'DeepLabV3+'!AH355</f>
        <v/>
      </c>
      <c r="D355" s="45">
        <f>'YOLO11n-seg'!AH355</f>
        <v/>
      </c>
      <c r="E355" s="46">
        <f>INDEX($B$4:$D$4,MATCH(MAX(B355:D355),B355:D355,0))</f>
        <v/>
      </c>
      <c r="F355" s="45">
        <f>MAX(B355:D355)-MIN(B355:D355)</f>
        <v/>
      </c>
      <c r="G355" s="45">
        <f>'U-Net'!AF355</f>
        <v/>
      </c>
      <c r="H355" s="45">
        <f>'DeepLabV3+'!AF355</f>
        <v/>
      </c>
      <c r="I355" s="45">
        <f>'YOLO11n-seg'!AF355</f>
        <v/>
      </c>
      <c r="J355" s="45">
        <f>'U-Net'!AG355</f>
        <v/>
      </c>
      <c r="K355" s="45">
        <f>'DeepLabV3+'!AG355</f>
        <v/>
      </c>
      <c r="L355" s="45">
        <f>'YOLO11n-seg'!AG355</f>
        <v/>
      </c>
      <c r="M355" s="45">
        <f>'U-Net'!AI355</f>
        <v/>
      </c>
      <c r="N355" s="45">
        <f>'DeepLabV3+'!AI355</f>
        <v/>
      </c>
      <c r="O355" s="45">
        <f>'YOLO11n-seg'!AI355</f>
        <v/>
      </c>
    </row>
    <row r="356" ht="15" customHeight="1" s="30">
      <c r="A356" s="73">
        <f>'U-Net'!A356</f>
        <v/>
      </c>
      <c r="B356" s="45">
        <f>'U-Net'!AH356</f>
        <v/>
      </c>
      <c r="C356" s="45">
        <f>'DeepLabV3+'!AH356</f>
        <v/>
      </c>
      <c r="D356" s="45">
        <f>'YOLO11n-seg'!AH356</f>
        <v/>
      </c>
      <c r="E356" s="46">
        <f>INDEX($B$4:$D$4,MATCH(MAX(B356:D356),B356:D356,0))</f>
        <v/>
      </c>
      <c r="F356" s="45">
        <f>MAX(B356:D356)-MIN(B356:D356)</f>
        <v/>
      </c>
      <c r="G356" s="45">
        <f>'U-Net'!AF356</f>
        <v/>
      </c>
      <c r="H356" s="45">
        <f>'DeepLabV3+'!AF356</f>
        <v/>
      </c>
      <c r="I356" s="45">
        <f>'YOLO11n-seg'!AF356</f>
        <v/>
      </c>
      <c r="J356" s="45">
        <f>'U-Net'!AG356</f>
        <v/>
      </c>
      <c r="K356" s="45">
        <f>'DeepLabV3+'!AG356</f>
        <v/>
      </c>
      <c r="L356" s="45">
        <f>'YOLO11n-seg'!AG356</f>
        <v/>
      </c>
      <c r="M356" s="45">
        <f>'U-Net'!AI356</f>
        <v/>
      </c>
      <c r="N356" s="45">
        <f>'DeepLabV3+'!AI356</f>
        <v/>
      </c>
      <c r="O356" s="45">
        <f>'YOLO11n-seg'!AI356</f>
        <v/>
      </c>
    </row>
    <row r="357" ht="15" customHeight="1" s="30">
      <c r="A357" s="73">
        <f>'U-Net'!A357</f>
        <v/>
      </c>
      <c r="B357" s="45">
        <f>'U-Net'!AH357</f>
        <v/>
      </c>
      <c r="C357" s="45">
        <f>'DeepLabV3+'!AH357</f>
        <v/>
      </c>
      <c r="D357" s="45">
        <f>'YOLO11n-seg'!AH357</f>
        <v/>
      </c>
      <c r="E357" s="46">
        <f>INDEX($B$4:$D$4,MATCH(MAX(B357:D357),B357:D357,0))</f>
        <v/>
      </c>
      <c r="F357" s="45">
        <f>MAX(B357:D357)-MIN(B357:D357)</f>
        <v/>
      </c>
      <c r="G357" s="45">
        <f>'U-Net'!AF357</f>
        <v/>
      </c>
      <c r="H357" s="45">
        <f>'DeepLabV3+'!AF357</f>
        <v/>
      </c>
      <c r="I357" s="45">
        <f>'YOLO11n-seg'!AF357</f>
        <v/>
      </c>
      <c r="J357" s="45">
        <f>'U-Net'!AG357</f>
        <v/>
      </c>
      <c r="K357" s="45">
        <f>'DeepLabV3+'!AG357</f>
        <v/>
      </c>
      <c r="L357" s="45">
        <f>'YOLO11n-seg'!AG357</f>
        <v/>
      </c>
      <c r="M357" s="45">
        <f>'U-Net'!AI357</f>
        <v/>
      </c>
      <c r="N357" s="45">
        <f>'DeepLabV3+'!AI357</f>
        <v/>
      </c>
      <c r="O357" s="45">
        <f>'YOLO11n-seg'!AI357</f>
        <v/>
      </c>
    </row>
    <row r="358" ht="15" customHeight="1" s="30">
      <c r="A358" s="73">
        <f>'U-Net'!A358</f>
        <v/>
      </c>
      <c r="B358" s="45">
        <f>'U-Net'!AH358</f>
        <v/>
      </c>
      <c r="C358" s="45">
        <f>'DeepLabV3+'!AH358</f>
        <v/>
      </c>
      <c r="D358" s="45">
        <f>'YOLO11n-seg'!AH358</f>
        <v/>
      </c>
      <c r="E358" s="46">
        <f>INDEX($B$4:$D$4,MATCH(MAX(B358:D358),B358:D358,0))</f>
        <v/>
      </c>
      <c r="F358" s="45">
        <f>MAX(B358:D358)-MIN(B358:D358)</f>
        <v/>
      </c>
      <c r="G358" s="45">
        <f>'U-Net'!AF358</f>
        <v/>
      </c>
      <c r="H358" s="45">
        <f>'DeepLabV3+'!AF358</f>
        <v/>
      </c>
      <c r="I358" s="45">
        <f>'YOLO11n-seg'!AF358</f>
        <v/>
      </c>
      <c r="J358" s="45">
        <f>'U-Net'!AG358</f>
        <v/>
      </c>
      <c r="K358" s="45">
        <f>'DeepLabV3+'!AG358</f>
        <v/>
      </c>
      <c r="L358" s="45">
        <f>'YOLO11n-seg'!AG358</f>
        <v/>
      </c>
      <c r="M358" s="45">
        <f>'U-Net'!AI358</f>
        <v/>
      </c>
      <c r="N358" s="45">
        <f>'DeepLabV3+'!AI358</f>
        <v/>
      </c>
      <c r="O358" s="45">
        <f>'YOLO11n-seg'!AI358</f>
        <v/>
      </c>
    </row>
    <row r="359" ht="15" customHeight="1" s="30">
      <c r="A359" s="73">
        <f>'U-Net'!A359</f>
        <v/>
      </c>
      <c r="B359" s="45">
        <f>'U-Net'!AH359</f>
        <v/>
      </c>
      <c r="C359" s="45">
        <f>'DeepLabV3+'!AH359</f>
        <v/>
      </c>
      <c r="D359" s="45">
        <f>'YOLO11n-seg'!AH359</f>
        <v/>
      </c>
      <c r="E359" s="46">
        <f>INDEX($B$4:$D$4,MATCH(MAX(B359:D359),B359:D359,0))</f>
        <v/>
      </c>
      <c r="F359" s="45">
        <f>MAX(B359:D359)-MIN(B359:D359)</f>
        <v/>
      </c>
      <c r="G359" s="45">
        <f>'U-Net'!AF359</f>
        <v/>
      </c>
      <c r="H359" s="45">
        <f>'DeepLabV3+'!AF359</f>
        <v/>
      </c>
      <c r="I359" s="45">
        <f>'YOLO11n-seg'!AF359</f>
        <v/>
      </c>
      <c r="J359" s="45">
        <f>'U-Net'!AG359</f>
        <v/>
      </c>
      <c r="K359" s="45">
        <f>'DeepLabV3+'!AG359</f>
        <v/>
      </c>
      <c r="L359" s="45">
        <f>'YOLO11n-seg'!AG359</f>
        <v/>
      </c>
      <c r="M359" s="45">
        <f>'U-Net'!AI359</f>
        <v/>
      </c>
      <c r="N359" s="45">
        <f>'DeepLabV3+'!AI359</f>
        <v/>
      </c>
      <c r="O359" s="45">
        <f>'YOLO11n-seg'!AI359</f>
        <v/>
      </c>
    </row>
    <row r="360" ht="15" customHeight="1" s="30">
      <c r="A360" s="73">
        <f>'U-Net'!A360</f>
        <v/>
      </c>
      <c r="B360" s="45">
        <f>'U-Net'!AH360</f>
        <v/>
      </c>
      <c r="C360" s="45">
        <f>'DeepLabV3+'!AH360</f>
        <v/>
      </c>
      <c r="D360" s="45">
        <f>'YOLO11n-seg'!AH360</f>
        <v/>
      </c>
      <c r="E360" s="46">
        <f>INDEX($B$4:$D$4,MATCH(MAX(B360:D360),B360:D360,0))</f>
        <v/>
      </c>
      <c r="F360" s="45">
        <f>MAX(B360:D360)-MIN(B360:D360)</f>
        <v/>
      </c>
      <c r="G360" s="45">
        <f>'U-Net'!AF360</f>
        <v/>
      </c>
      <c r="H360" s="45">
        <f>'DeepLabV3+'!AF360</f>
        <v/>
      </c>
      <c r="I360" s="45">
        <f>'YOLO11n-seg'!AF360</f>
        <v/>
      </c>
      <c r="J360" s="45">
        <f>'U-Net'!AG360</f>
        <v/>
      </c>
      <c r="K360" s="45">
        <f>'DeepLabV3+'!AG360</f>
        <v/>
      </c>
      <c r="L360" s="45">
        <f>'YOLO11n-seg'!AG360</f>
        <v/>
      </c>
      <c r="M360" s="45">
        <f>'U-Net'!AI360</f>
        <v/>
      </c>
      <c r="N360" s="45">
        <f>'DeepLabV3+'!AI360</f>
        <v/>
      </c>
      <c r="O360" s="45">
        <f>'YOLO11n-seg'!AI360</f>
        <v/>
      </c>
    </row>
    <row r="361" ht="15" customHeight="1" s="30">
      <c r="A361" s="73">
        <f>'U-Net'!A361</f>
        <v/>
      </c>
      <c r="B361" s="45">
        <f>'U-Net'!AH361</f>
        <v/>
      </c>
      <c r="C361" s="45">
        <f>'DeepLabV3+'!AH361</f>
        <v/>
      </c>
      <c r="D361" s="45">
        <f>'YOLO11n-seg'!AH361</f>
        <v/>
      </c>
      <c r="E361" s="46">
        <f>INDEX($B$4:$D$4,MATCH(MAX(B361:D361),B361:D361,0))</f>
        <v/>
      </c>
      <c r="F361" s="45">
        <f>MAX(B361:D361)-MIN(B361:D361)</f>
        <v/>
      </c>
      <c r="G361" s="45">
        <f>'U-Net'!AF361</f>
        <v/>
      </c>
      <c r="H361" s="45">
        <f>'DeepLabV3+'!AF361</f>
        <v/>
      </c>
      <c r="I361" s="45">
        <f>'YOLO11n-seg'!AF361</f>
        <v/>
      </c>
      <c r="J361" s="45">
        <f>'U-Net'!AG361</f>
        <v/>
      </c>
      <c r="K361" s="45">
        <f>'DeepLabV3+'!AG361</f>
        <v/>
      </c>
      <c r="L361" s="45">
        <f>'YOLO11n-seg'!AG361</f>
        <v/>
      </c>
      <c r="M361" s="45">
        <f>'U-Net'!AI361</f>
        <v/>
      </c>
      <c r="N361" s="45">
        <f>'DeepLabV3+'!AI361</f>
        <v/>
      </c>
      <c r="O361" s="45">
        <f>'YOLO11n-seg'!AI361</f>
        <v/>
      </c>
    </row>
    <row r="362" ht="15" customHeight="1" s="30">
      <c r="A362" s="73">
        <f>'U-Net'!A362</f>
        <v/>
      </c>
      <c r="B362" s="45">
        <f>'U-Net'!AH362</f>
        <v/>
      </c>
      <c r="C362" s="45">
        <f>'DeepLabV3+'!AH362</f>
        <v/>
      </c>
      <c r="D362" s="45">
        <f>'YOLO11n-seg'!AH362</f>
        <v/>
      </c>
      <c r="E362" s="46">
        <f>INDEX($B$4:$D$4,MATCH(MAX(B362:D362),B362:D362,0))</f>
        <v/>
      </c>
      <c r="F362" s="45">
        <f>MAX(B362:D362)-MIN(B362:D362)</f>
        <v/>
      </c>
      <c r="G362" s="45">
        <f>'U-Net'!AF362</f>
        <v/>
      </c>
      <c r="H362" s="45">
        <f>'DeepLabV3+'!AF362</f>
        <v/>
      </c>
      <c r="I362" s="45">
        <f>'YOLO11n-seg'!AF362</f>
        <v/>
      </c>
      <c r="J362" s="45">
        <f>'U-Net'!AG362</f>
        <v/>
      </c>
      <c r="K362" s="45">
        <f>'DeepLabV3+'!AG362</f>
        <v/>
      </c>
      <c r="L362" s="45">
        <f>'YOLO11n-seg'!AG362</f>
        <v/>
      </c>
      <c r="M362" s="45">
        <f>'U-Net'!AI362</f>
        <v/>
      </c>
      <c r="N362" s="45">
        <f>'DeepLabV3+'!AI362</f>
        <v/>
      </c>
      <c r="O362" s="45">
        <f>'YOLO11n-seg'!AI362</f>
        <v/>
      </c>
    </row>
    <row r="363" ht="15" customHeight="1" s="30">
      <c r="A363" s="73">
        <f>'U-Net'!A363</f>
        <v/>
      </c>
      <c r="B363" s="45">
        <f>'U-Net'!AH363</f>
        <v/>
      </c>
      <c r="C363" s="45">
        <f>'DeepLabV3+'!AH363</f>
        <v/>
      </c>
      <c r="D363" s="45">
        <f>'YOLO11n-seg'!AH363</f>
        <v/>
      </c>
      <c r="E363" s="46">
        <f>INDEX($B$4:$D$4,MATCH(MAX(B363:D363),B363:D363,0))</f>
        <v/>
      </c>
      <c r="F363" s="45">
        <f>MAX(B363:D363)-MIN(B363:D363)</f>
        <v/>
      </c>
      <c r="G363" s="45">
        <f>'U-Net'!AF363</f>
        <v/>
      </c>
      <c r="H363" s="45">
        <f>'DeepLabV3+'!AF363</f>
        <v/>
      </c>
      <c r="I363" s="45">
        <f>'YOLO11n-seg'!AF363</f>
        <v/>
      </c>
      <c r="J363" s="45">
        <f>'U-Net'!AG363</f>
        <v/>
      </c>
      <c r="K363" s="45">
        <f>'DeepLabV3+'!AG363</f>
        <v/>
      </c>
      <c r="L363" s="45">
        <f>'YOLO11n-seg'!AG363</f>
        <v/>
      </c>
      <c r="M363" s="45">
        <f>'U-Net'!AI363</f>
        <v/>
      </c>
      <c r="N363" s="45">
        <f>'DeepLabV3+'!AI363</f>
        <v/>
      </c>
      <c r="O363" s="45">
        <f>'YOLO11n-seg'!AI363</f>
        <v/>
      </c>
    </row>
    <row r="364" ht="15" customHeight="1" s="30">
      <c r="A364" s="73">
        <f>'U-Net'!A364</f>
        <v/>
      </c>
      <c r="B364" s="45">
        <f>'U-Net'!AH364</f>
        <v/>
      </c>
      <c r="C364" s="45">
        <f>'DeepLabV3+'!AH364</f>
        <v/>
      </c>
      <c r="D364" s="45">
        <f>'YOLO11n-seg'!AH364</f>
        <v/>
      </c>
      <c r="E364" s="46">
        <f>INDEX($B$4:$D$4,MATCH(MAX(B364:D364),B364:D364,0))</f>
        <v/>
      </c>
      <c r="F364" s="45">
        <f>MAX(B364:D364)-MIN(B364:D364)</f>
        <v/>
      </c>
      <c r="G364" s="45">
        <f>'U-Net'!AF364</f>
        <v/>
      </c>
      <c r="H364" s="45">
        <f>'DeepLabV3+'!AF364</f>
        <v/>
      </c>
      <c r="I364" s="45">
        <f>'YOLO11n-seg'!AF364</f>
        <v/>
      </c>
      <c r="J364" s="45">
        <f>'U-Net'!AG364</f>
        <v/>
      </c>
      <c r="K364" s="45">
        <f>'DeepLabV3+'!AG364</f>
        <v/>
      </c>
      <c r="L364" s="45">
        <f>'YOLO11n-seg'!AG364</f>
        <v/>
      </c>
      <c r="M364" s="45">
        <f>'U-Net'!AI364</f>
        <v/>
      </c>
      <c r="N364" s="45">
        <f>'DeepLabV3+'!AI364</f>
        <v/>
      </c>
      <c r="O364" s="45">
        <f>'YOLO11n-seg'!AI364</f>
        <v/>
      </c>
    </row>
    <row r="365" ht="15" customHeight="1" s="30">
      <c r="A365" s="73">
        <f>'U-Net'!A365</f>
        <v/>
      </c>
      <c r="B365" s="45">
        <f>'U-Net'!AH365</f>
        <v/>
      </c>
      <c r="C365" s="45">
        <f>'DeepLabV3+'!AH365</f>
        <v/>
      </c>
      <c r="D365" s="45">
        <f>'YOLO11n-seg'!AH365</f>
        <v/>
      </c>
      <c r="E365" s="46">
        <f>INDEX($B$4:$D$4,MATCH(MAX(B365:D365),B365:D365,0))</f>
        <v/>
      </c>
      <c r="F365" s="45">
        <f>MAX(B365:D365)-MIN(B365:D365)</f>
        <v/>
      </c>
      <c r="G365" s="45">
        <f>'U-Net'!AF365</f>
        <v/>
      </c>
      <c r="H365" s="45">
        <f>'DeepLabV3+'!AF365</f>
        <v/>
      </c>
      <c r="I365" s="45">
        <f>'YOLO11n-seg'!AF365</f>
        <v/>
      </c>
      <c r="J365" s="45">
        <f>'U-Net'!AG365</f>
        <v/>
      </c>
      <c r="K365" s="45">
        <f>'DeepLabV3+'!AG365</f>
        <v/>
      </c>
      <c r="L365" s="45">
        <f>'YOLO11n-seg'!AG365</f>
        <v/>
      </c>
      <c r="M365" s="45">
        <f>'U-Net'!AI365</f>
        <v/>
      </c>
      <c r="N365" s="45">
        <f>'DeepLabV3+'!AI365</f>
        <v/>
      </c>
      <c r="O365" s="45">
        <f>'YOLO11n-seg'!AI365</f>
        <v/>
      </c>
    </row>
    <row r="366" ht="15" customHeight="1" s="30">
      <c r="A366" s="73">
        <f>'U-Net'!A366</f>
        <v/>
      </c>
      <c r="B366" s="45">
        <f>'U-Net'!AH366</f>
        <v/>
      </c>
      <c r="C366" s="45">
        <f>'DeepLabV3+'!AH366</f>
        <v/>
      </c>
      <c r="D366" s="45">
        <f>'YOLO11n-seg'!AH366</f>
        <v/>
      </c>
      <c r="E366" s="46">
        <f>INDEX($B$4:$D$4,MATCH(MAX(B366:D366),B366:D366,0))</f>
        <v/>
      </c>
      <c r="F366" s="45">
        <f>MAX(B366:D366)-MIN(B366:D366)</f>
        <v/>
      </c>
      <c r="G366" s="45">
        <f>'U-Net'!AF366</f>
        <v/>
      </c>
      <c r="H366" s="45">
        <f>'DeepLabV3+'!AF366</f>
        <v/>
      </c>
      <c r="I366" s="45">
        <f>'YOLO11n-seg'!AF366</f>
        <v/>
      </c>
      <c r="J366" s="45">
        <f>'U-Net'!AG366</f>
        <v/>
      </c>
      <c r="K366" s="45">
        <f>'DeepLabV3+'!AG366</f>
        <v/>
      </c>
      <c r="L366" s="45">
        <f>'YOLO11n-seg'!AG366</f>
        <v/>
      </c>
      <c r="M366" s="45">
        <f>'U-Net'!AI366</f>
        <v/>
      </c>
      <c r="N366" s="45">
        <f>'DeepLabV3+'!AI366</f>
        <v/>
      </c>
      <c r="O366" s="45">
        <f>'YOLO11n-seg'!AI366</f>
        <v/>
      </c>
    </row>
    <row r="367" ht="15" customHeight="1" s="30">
      <c r="A367" s="73">
        <f>'U-Net'!A367</f>
        <v/>
      </c>
      <c r="B367" s="45">
        <f>'U-Net'!AH367</f>
        <v/>
      </c>
      <c r="C367" s="45">
        <f>'DeepLabV3+'!AH367</f>
        <v/>
      </c>
      <c r="D367" s="45">
        <f>'YOLO11n-seg'!AH367</f>
        <v/>
      </c>
      <c r="E367" s="46">
        <f>INDEX($B$4:$D$4,MATCH(MAX(B367:D367),B367:D367,0))</f>
        <v/>
      </c>
      <c r="F367" s="45">
        <f>MAX(B367:D367)-MIN(B367:D367)</f>
        <v/>
      </c>
      <c r="G367" s="45">
        <f>'U-Net'!AF367</f>
        <v/>
      </c>
      <c r="H367" s="45">
        <f>'DeepLabV3+'!AF367</f>
        <v/>
      </c>
      <c r="I367" s="45">
        <f>'YOLO11n-seg'!AF367</f>
        <v/>
      </c>
      <c r="J367" s="45">
        <f>'U-Net'!AG367</f>
        <v/>
      </c>
      <c r="K367" s="45">
        <f>'DeepLabV3+'!AG367</f>
        <v/>
      </c>
      <c r="L367" s="45">
        <f>'YOLO11n-seg'!AG367</f>
        <v/>
      </c>
      <c r="M367" s="45">
        <f>'U-Net'!AI367</f>
        <v/>
      </c>
      <c r="N367" s="45">
        <f>'DeepLabV3+'!AI367</f>
        <v/>
      </c>
      <c r="O367" s="45">
        <f>'YOLO11n-seg'!AI367</f>
        <v/>
      </c>
    </row>
    <row r="368" ht="15" customHeight="1" s="30">
      <c r="A368" s="73">
        <f>'U-Net'!A368</f>
        <v/>
      </c>
      <c r="B368" s="45">
        <f>'U-Net'!AH368</f>
        <v/>
      </c>
      <c r="C368" s="45">
        <f>'DeepLabV3+'!AH368</f>
        <v/>
      </c>
      <c r="D368" s="45">
        <f>'YOLO11n-seg'!AH368</f>
        <v/>
      </c>
      <c r="E368" s="46">
        <f>INDEX($B$4:$D$4,MATCH(MAX(B368:D368),B368:D368,0))</f>
        <v/>
      </c>
      <c r="F368" s="45">
        <f>MAX(B368:D368)-MIN(B368:D368)</f>
        <v/>
      </c>
      <c r="G368" s="45">
        <f>'U-Net'!AF368</f>
        <v/>
      </c>
      <c r="H368" s="45">
        <f>'DeepLabV3+'!AF368</f>
        <v/>
      </c>
      <c r="I368" s="45">
        <f>'YOLO11n-seg'!AF368</f>
        <v/>
      </c>
      <c r="J368" s="45">
        <f>'U-Net'!AG368</f>
        <v/>
      </c>
      <c r="K368" s="45">
        <f>'DeepLabV3+'!AG368</f>
        <v/>
      </c>
      <c r="L368" s="45">
        <f>'YOLO11n-seg'!AG368</f>
        <v/>
      </c>
      <c r="M368" s="45">
        <f>'U-Net'!AI368</f>
        <v/>
      </c>
      <c r="N368" s="45">
        <f>'DeepLabV3+'!AI368</f>
        <v/>
      </c>
      <c r="O368" s="45">
        <f>'YOLO11n-seg'!AI368</f>
        <v/>
      </c>
    </row>
    <row r="369" ht="15" customHeight="1" s="30">
      <c r="A369" s="73">
        <f>'U-Net'!A369</f>
        <v/>
      </c>
      <c r="B369" s="45">
        <f>'U-Net'!AH369</f>
        <v/>
      </c>
      <c r="C369" s="45">
        <f>'DeepLabV3+'!AH369</f>
        <v/>
      </c>
      <c r="D369" s="45">
        <f>'YOLO11n-seg'!AH369</f>
        <v/>
      </c>
      <c r="E369" s="46">
        <f>INDEX($B$4:$D$4,MATCH(MAX(B369:D369),B369:D369,0))</f>
        <v/>
      </c>
      <c r="F369" s="45">
        <f>MAX(B369:D369)-MIN(B369:D369)</f>
        <v/>
      </c>
      <c r="G369" s="45">
        <f>'U-Net'!AF369</f>
        <v/>
      </c>
      <c r="H369" s="45">
        <f>'DeepLabV3+'!AF369</f>
        <v/>
      </c>
      <c r="I369" s="45">
        <f>'YOLO11n-seg'!AF369</f>
        <v/>
      </c>
      <c r="J369" s="45">
        <f>'U-Net'!AG369</f>
        <v/>
      </c>
      <c r="K369" s="45">
        <f>'DeepLabV3+'!AG369</f>
        <v/>
      </c>
      <c r="L369" s="45">
        <f>'YOLO11n-seg'!AG369</f>
        <v/>
      </c>
      <c r="M369" s="45">
        <f>'U-Net'!AI369</f>
        <v/>
      </c>
      <c r="N369" s="45">
        <f>'DeepLabV3+'!AI369</f>
        <v/>
      </c>
      <c r="O369" s="45">
        <f>'YOLO11n-seg'!AI369</f>
        <v/>
      </c>
    </row>
    <row r="370" ht="15" customHeight="1" s="30">
      <c r="A370" s="73">
        <f>'U-Net'!A370</f>
        <v/>
      </c>
      <c r="B370" s="45">
        <f>'U-Net'!AH370</f>
        <v/>
      </c>
      <c r="C370" s="45">
        <f>'DeepLabV3+'!AH370</f>
        <v/>
      </c>
      <c r="D370" s="45">
        <f>'YOLO11n-seg'!AH370</f>
        <v/>
      </c>
      <c r="E370" s="46">
        <f>INDEX($B$4:$D$4,MATCH(MAX(B370:D370),B370:D370,0))</f>
        <v/>
      </c>
      <c r="F370" s="45">
        <f>MAX(B370:D370)-MIN(B370:D370)</f>
        <v/>
      </c>
      <c r="G370" s="45">
        <f>'U-Net'!AF370</f>
        <v/>
      </c>
      <c r="H370" s="45">
        <f>'DeepLabV3+'!AF370</f>
        <v/>
      </c>
      <c r="I370" s="45">
        <f>'YOLO11n-seg'!AF370</f>
        <v/>
      </c>
      <c r="J370" s="45">
        <f>'U-Net'!AG370</f>
        <v/>
      </c>
      <c r="K370" s="45">
        <f>'DeepLabV3+'!AG370</f>
        <v/>
      </c>
      <c r="L370" s="45">
        <f>'YOLO11n-seg'!AG370</f>
        <v/>
      </c>
      <c r="M370" s="45">
        <f>'U-Net'!AI370</f>
        <v/>
      </c>
      <c r="N370" s="45">
        <f>'DeepLabV3+'!AI370</f>
        <v/>
      </c>
      <c r="O370" s="45">
        <f>'YOLO11n-seg'!AI370</f>
        <v/>
      </c>
    </row>
    <row r="371" ht="15" customHeight="1" s="30">
      <c r="A371" s="73">
        <f>'U-Net'!A371</f>
        <v/>
      </c>
      <c r="B371" s="45">
        <f>'U-Net'!AH371</f>
        <v/>
      </c>
      <c r="C371" s="45">
        <f>'DeepLabV3+'!AH371</f>
        <v/>
      </c>
      <c r="D371" s="45">
        <f>'YOLO11n-seg'!AH371</f>
        <v/>
      </c>
      <c r="E371" s="46">
        <f>INDEX($B$4:$D$4,MATCH(MAX(B371:D371),B371:D371,0))</f>
        <v/>
      </c>
      <c r="F371" s="45">
        <f>MAX(B371:D371)-MIN(B371:D371)</f>
        <v/>
      </c>
      <c r="G371" s="45">
        <f>'U-Net'!AF371</f>
        <v/>
      </c>
      <c r="H371" s="45">
        <f>'DeepLabV3+'!AF371</f>
        <v/>
      </c>
      <c r="I371" s="45">
        <f>'YOLO11n-seg'!AF371</f>
        <v/>
      </c>
      <c r="J371" s="45">
        <f>'U-Net'!AG371</f>
        <v/>
      </c>
      <c r="K371" s="45">
        <f>'DeepLabV3+'!AG371</f>
        <v/>
      </c>
      <c r="L371" s="45">
        <f>'YOLO11n-seg'!AG371</f>
        <v/>
      </c>
      <c r="M371" s="45">
        <f>'U-Net'!AI371</f>
        <v/>
      </c>
      <c r="N371" s="45">
        <f>'DeepLabV3+'!AI371</f>
        <v/>
      </c>
      <c r="O371" s="45">
        <f>'YOLO11n-seg'!AI371</f>
        <v/>
      </c>
    </row>
    <row r="372" ht="15" customHeight="1" s="30">
      <c r="A372" s="73">
        <f>'U-Net'!A372</f>
        <v/>
      </c>
      <c r="B372" s="45">
        <f>'U-Net'!AH372</f>
        <v/>
      </c>
      <c r="C372" s="45">
        <f>'DeepLabV3+'!AH372</f>
        <v/>
      </c>
      <c r="D372" s="45">
        <f>'YOLO11n-seg'!AH372</f>
        <v/>
      </c>
      <c r="E372" s="46">
        <f>INDEX($B$4:$D$4,MATCH(MAX(B372:D372),B372:D372,0))</f>
        <v/>
      </c>
      <c r="F372" s="45">
        <f>MAX(B372:D372)-MIN(B372:D372)</f>
        <v/>
      </c>
      <c r="G372" s="45">
        <f>'U-Net'!AF372</f>
        <v/>
      </c>
      <c r="H372" s="45">
        <f>'DeepLabV3+'!AF372</f>
        <v/>
      </c>
      <c r="I372" s="45">
        <f>'YOLO11n-seg'!AF372</f>
        <v/>
      </c>
      <c r="J372" s="45">
        <f>'U-Net'!AG372</f>
        <v/>
      </c>
      <c r="K372" s="45">
        <f>'DeepLabV3+'!AG372</f>
        <v/>
      </c>
      <c r="L372" s="45">
        <f>'YOLO11n-seg'!AG372</f>
        <v/>
      </c>
      <c r="M372" s="45">
        <f>'U-Net'!AI372</f>
        <v/>
      </c>
      <c r="N372" s="45">
        <f>'DeepLabV3+'!AI372</f>
        <v/>
      </c>
      <c r="O372" s="45">
        <f>'YOLO11n-seg'!AI372</f>
        <v/>
      </c>
    </row>
    <row r="373" ht="15" customHeight="1" s="30">
      <c r="A373" s="73">
        <f>'U-Net'!A373</f>
        <v/>
      </c>
      <c r="B373" s="45">
        <f>'U-Net'!AH373</f>
        <v/>
      </c>
      <c r="C373" s="45">
        <f>'DeepLabV3+'!AH373</f>
        <v/>
      </c>
      <c r="D373" s="45">
        <f>'YOLO11n-seg'!AH373</f>
        <v/>
      </c>
      <c r="E373" s="46">
        <f>INDEX($B$4:$D$4,MATCH(MAX(B373:D373),B373:D373,0))</f>
        <v/>
      </c>
      <c r="F373" s="45">
        <f>MAX(B373:D373)-MIN(B373:D373)</f>
        <v/>
      </c>
      <c r="G373" s="45">
        <f>'U-Net'!AF373</f>
        <v/>
      </c>
      <c r="H373" s="45">
        <f>'DeepLabV3+'!AF373</f>
        <v/>
      </c>
      <c r="I373" s="45">
        <f>'YOLO11n-seg'!AF373</f>
        <v/>
      </c>
      <c r="J373" s="45">
        <f>'U-Net'!AG373</f>
        <v/>
      </c>
      <c r="K373" s="45">
        <f>'DeepLabV3+'!AG373</f>
        <v/>
      </c>
      <c r="L373" s="45">
        <f>'YOLO11n-seg'!AG373</f>
        <v/>
      </c>
      <c r="M373" s="45">
        <f>'U-Net'!AI373</f>
        <v/>
      </c>
      <c r="N373" s="45">
        <f>'DeepLabV3+'!AI373</f>
        <v/>
      </c>
      <c r="O373" s="45">
        <f>'YOLO11n-seg'!AI373</f>
        <v/>
      </c>
    </row>
    <row r="374" ht="15" customHeight="1" s="30">
      <c r="A374" s="73">
        <f>'U-Net'!A374</f>
        <v/>
      </c>
      <c r="B374" s="45">
        <f>'U-Net'!AH374</f>
        <v/>
      </c>
      <c r="C374" s="45">
        <f>'DeepLabV3+'!AH374</f>
        <v/>
      </c>
      <c r="D374" s="45">
        <f>'YOLO11n-seg'!AH374</f>
        <v/>
      </c>
      <c r="E374" s="46">
        <f>INDEX($B$4:$D$4,MATCH(MAX(B374:D374),B374:D374,0))</f>
        <v/>
      </c>
      <c r="F374" s="45">
        <f>MAX(B374:D374)-MIN(B374:D374)</f>
        <v/>
      </c>
      <c r="G374" s="45">
        <f>'U-Net'!AF374</f>
        <v/>
      </c>
      <c r="H374" s="45">
        <f>'DeepLabV3+'!AF374</f>
        <v/>
      </c>
      <c r="I374" s="45">
        <f>'YOLO11n-seg'!AF374</f>
        <v/>
      </c>
      <c r="J374" s="45">
        <f>'U-Net'!AG374</f>
        <v/>
      </c>
      <c r="K374" s="45">
        <f>'DeepLabV3+'!AG374</f>
        <v/>
      </c>
      <c r="L374" s="45">
        <f>'YOLO11n-seg'!AG374</f>
        <v/>
      </c>
      <c r="M374" s="45">
        <f>'U-Net'!AI374</f>
        <v/>
      </c>
      <c r="N374" s="45">
        <f>'DeepLabV3+'!AI374</f>
        <v/>
      </c>
      <c r="O374" s="45">
        <f>'YOLO11n-seg'!AI374</f>
        <v/>
      </c>
    </row>
    <row r="375" ht="15" customHeight="1" s="30">
      <c r="A375" s="73">
        <f>'U-Net'!A375</f>
        <v/>
      </c>
      <c r="B375" s="45">
        <f>'U-Net'!AH375</f>
        <v/>
      </c>
      <c r="C375" s="45">
        <f>'DeepLabV3+'!AH375</f>
        <v/>
      </c>
      <c r="D375" s="45">
        <f>'YOLO11n-seg'!AH375</f>
        <v/>
      </c>
      <c r="E375" s="46">
        <f>INDEX($B$4:$D$4,MATCH(MAX(B375:D375),B375:D375,0))</f>
        <v/>
      </c>
      <c r="F375" s="45">
        <f>MAX(B375:D375)-MIN(B375:D375)</f>
        <v/>
      </c>
      <c r="G375" s="45">
        <f>'U-Net'!AF375</f>
        <v/>
      </c>
      <c r="H375" s="45">
        <f>'DeepLabV3+'!AF375</f>
        <v/>
      </c>
      <c r="I375" s="45">
        <f>'YOLO11n-seg'!AF375</f>
        <v/>
      </c>
      <c r="J375" s="45">
        <f>'U-Net'!AG375</f>
        <v/>
      </c>
      <c r="K375" s="45">
        <f>'DeepLabV3+'!AG375</f>
        <v/>
      </c>
      <c r="L375" s="45">
        <f>'YOLO11n-seg'!AG375</f>
        <v/>
      </c>
      <c r="M375" s="45">
        <f>'U-Net'!AI375</f>
        <v/>
      </c>
      <c r="N375" s="45">
        <f>'DeepLabV3+'!AI375</f>
        <v/>
      </c>
      <c r="O375" s="45">
        <f>'YOLO11n-seg'!AI375</f>
        <v/>
      </c>
    </row>
    <row r="376" ht="15" customHeight="1" s="30">
      <c r="A376" s="73">
        <f>'U-Net'!A376</f>
        <v/>
      </c>
      <c r="B376" s="45">
        <f>'U-Net'!AH376</f>
        <v/>
      </c>
      <c r="C376" s="45">
        <f>'DeepLabV3+'!AH376</f>
        <v/>
      </c>
      <c r="D376" s="45">
        <f>'YOLO11n-seg'!AH376</f>
        <v/>
      </c>
      <c r="E376" s="46">
        <f>INDEX($B$4:$D$4,MATCH(MAX(B376:D376),B376:D376,0))</f>
        <v/>
      </c>
      <c r="F376" s="45">
        <f>MAX(B376:D376)-MIN(B376:D376)</f>
        <v/>
      </c>
      <c r="G376" s="45">
        <f>'U-Net'!AF376</f>
        <v/>
      </c>
      <c r="H376" s="45">
        <f>'DeepLabV3+'!AF376</f>
        <v/>
      </c>
      <c r="I376" s="45">
        <f>'YOLO11n-seg'!AF376</f>
        <v/>
      </c>
      <c r="J376" s="45">
        <f>'U-Net'!AG376</f>
        <v/>
      </c>
      <c r="K376" s="45">
        <f>'DeepLabV3+'!AG376</f>
        <v/>
      </c>
      <c r="L376" s="45">
        <f>'YOLO11n-seg'!AG376</f>
        <v/>
      </c>
      <c r="M376" s="45">
        <f>'U-Net'!AI376</f>
        <v/>
      </c>
      <c r="N376" s="45">
        <f>'DeepLabV3+'!AI376</f>
        <v/>
      </c>
      <c r="O376" s="45">
        <f>'YOLO11n-seg'!AI376</f>
        <v/>
      </c>
    </row>
    <row r="377" ht="15" customHeight="1" s="30">
      <c r="A377" s="73">
        <f>'U-Net'!A377</f>
        <v/>
      </c>
      <c r="B377" s="45">
        <f>'U-Net'!AH377</f>
        <v/>
      </c>
      <c r="C377" s="45">
        <f>'DeepLabV3+'!AH377</f>
        <v/>
      </c>
      <c r="D377" s="45">
        <f>'YOLO11n-seg'!AH377</f>
        <v/>
      </c>
      <c r="E377" s="46">
        <f>INDEX($B$4:$D$4,MATCH(MAX(B377:D377),B377:D377,0))</f>
        <v/>
      </c>
      <c r="F377" s="45">
        <f>MAX(B377:D377)-MIN(B377:D377)</f>
        <v/>
      </c>
      <c r="G377" s="45">
        <f>'U-Net'!AF377</f>
        <v/>
      </c>
      <c r="H377" s="45">
        <f>'DeepLabV3+'!AF377</f>
        <v/>
      </c>
      <c r="I377" s="45">
        <f>'YOLO11n-seg'!AF377</f>
        <v/>
      </c>
      <c r="J377" s="45">
        <f>'U-Net'!AG377</f>
        <v/>
      </c>
      <c r="K377" s="45">
        <f>'DeepLabV3+'!AG377</f>
        <v/>
      </c>
      <c r="L377" s="45">
        <f>'YOLO11n-seg'!AG377</f>
        <v/>
      </c>
      <c r="M377" s="45">
        <f>'U-Net'!AI377</f>
        <v/>
      </c>
      <c r="N377" s="45">
        <f>'DeepLabV3+'!AI377</f>
        <v/>
      </c>
      <c r="O377" s="45">
        <f>'YOLO11n-seg'!AI377</f>
        <v/>
      </c>
    </row>
    <row r="378" ht="15" customHeight="1" s="30">
      <c r="A378" s="73">
        <f>'U-Net'!A378</f>
        <v/>
      </c>
      <c r="B378" s="45">
        <f>'U-Net'!AH378</f>
        <v/>
      </c>
      <c r="C378" s="45">
        <f>'DeepLabV3+'!AH378</f>
        <v/>
      </c>
      <c r="D378" s="45">
        <f>'YOLO11n-seg'!AH378</f>
        <v/>
      </c>
      <c r="E378" s="46">
        <f>INDEX($B$4:$D$4,MATCH(MAX(B378:D378),B378:D378,0))</f>
        <v/>
      </c>
      <c r="F378" s="45">
        <f>MAX(B378:D378)-MIN(B378:D378)</f>
        <v/>
      </c>
      <c r="G378" s="45">
        <f>'U-Net'!AF378</f>
        <v/>
      </c>
      <c r="H378" s="45">
        <f>'DeepLabV3+'!AF378</f>
        <v/>
      </c>
      <c r="I378" s="45">
        <f>'YOLO11n-seg'!AF378</f>
        <v/>
      </c>
      <c r="J378" s="45">
        <f>'U-Net'!AG378</f>
        <v/>
      </c>
      <c r="K378" s="45">
        <f>'DeepLabV3+'!AG378</f>
        <v/>
      </c>
      <c r="L378" s="45">
        <f>'YOLO11n-seg'!AG378</f>
        <v/>
      </c>
      <c r="M378" s="45">
        <f>'U-Net'!AI378</f>
        <v/>
      </c>
      <c r="N378" s="45">
        <f>'DeepLabV3+'!AI378</f>
        <v/>
      </c>
      <c r="O378" s="45">
        <f>'YOLO11n-seg'!AI378</f>
        <v/>
      </c>
    </row>
    <row r="379" ht="15" customHeight="1" s="30">
      <c r="A379" s="73">
        <f>'U-Net'!A379</f>
        <v/>
      </c>
      <c r="B379" s="45">
        <f>'U-Net'!AH379</f>
        <v/>
      </c>
      <c r="C379" s="45">
        <f>'DeepLabV3+'!AH379</f>
        <v/>
      </c>
      <c r="D379" s="45">
        <f>'YOLO11n-seg'!AH379</f>
        <v/>
      </c>
      <c r="E379" s="46">
        <f>INDEX($B$4:$D$4,MATCH(MAX(B379:D379),B379:D379,0))</f>
        <v/>
      </c>
      <c r="F379" s="45">
        <f>MAX(B379:D379)-MIN(B379:D379)</f>
        <v/>
      </c>
      <c r="G379" s="45">
        <f>'U-Net'!AF379</f>
        <v/>
      </c>
      <c r="H379" s="45">
        <f>'DeepLabV3+'!AF379</f>
        <v/>
      </c>
      <c r="I379" s="45">
        <f>'YOLO11n-seg'!AF379</f>
        <v/>
      </c>
      <c r="J379" s="45">
        <f>'U-Net'!AG379</f>
        <v/>
      </c>
      <c r="K379" s="45">
        <f>'DeepLabV3+'!AG379</f>
        <v/>
      </c>
      <c r="L379" s="45">
        <f>'YOLO11n-seg'!AG379</f>
        <v/>
      </c>
      <c r="M379" s="45">
        <f>'U-Net'!AI379</f>
        <v/>
      </c>
      <c r="N379" s="45">
        <f>'DeepLabV3+'!AI379</f>
        <v/>
      </c>
      <c r="O379" s="45">
        <f>'YOLO11n-seg'!AI379</f>
        <v/>
      </c>
    </row>
    <row r="380" ht="15" customHeight="1" s="30">
      <c r="A380" s="73">
        <f>'U-Net'!A380</f>
        <v/>
      </c>
      <c r="B380" s="45">
        <f>'U-Net'!AH380</f>
        <v/>
      </c>
      <c r="C380" s="45">
        <f>'DeepLabV3+'!AH380</f>
        <v/>
      </c>
      <c r="D380" s="45">
        <f>'YOLO11n-seg'!AH380</f>
        <v/>
      </c>
      <c r="E380" s="46">
        <f>INDEX($B$4:$D$4,MATCH(MAX(B380:D380),B380:D380,0))</f>
        <v/>
      </c>
      <c r="F380" s="45">
        <f>MAX(B380:D380)-MIN(B380:D380)</f>
        <v/>
      </c>
      <c r="G380" s="45">
        <f>'U-Net'!AF380</f>
        <v/>
      </c>
      <c r="H380" s="45">
        <f>'DeepLabV3+'!AF380</f>
        <v/>
      </c>
      <c r="I380" s="45">
        <f>'YOLO11n-seg'!AF380</f>
        <v/>
      </c>
      <c r="J380" s="45">
        <f>'U-Net'!AG380</f>
        <v/>
      </c>
      <c r="K380" s="45">
        <f>'DeepLabV3+'!AG380</f>
        <v/>
      </c>
      <c r="L380" s="45">
        <f>'YOLO11n-seg'!AG380</f>
        <v/>
      </c>
      <c r="M380" s="45">
        <f>'U-Net'!AI380</f>
        <v/>
      </c>
      <c r="N380" s="45">
        <f>'DeepLabV3+'!AI380</f>
        <v/>
      </c>
      <c r="O380" s="45">
        <f>'YOLO11n-seg'!AI380</f>
        <v/>
      </c>
    </row>
    <row r="381" ht="15" customHeight="1" s="30">
      <c r="A381" s="73">
        <f>'U-Net'!A381</f>
        <v/>
      </c>
      <c r="B381" s="45">
        <f>'U-Net'!AH381</f>
        <v/>
      </c>
      <c r="C381" s="45">
        <f>'DeepLabV3+'!AH381</f>
        <v/>
      </c>
      <c r="D381" s="45">
        <f>'YOLO11n-seg'!AH381</f>
        <v/>
      </c>
      <c r="E381" s="46">
        <f>INDEX($B$4:$D$4,MATCH(MAX(B381:D381),B381:D381,0))</f>
        <v/>
      </c>
      <c r="F381" s="45">
        <f>MAX(B381:D381)-MIN(B381:D381)</f>
        <v/>
      </c>
      <c r="G381" s="45">
        <f>'U-Net'!AF381</f>
        <v/>
      </c>
      <c r="H381" s="45">
        <f>'DeepLabV3+'!AF381</f>
        <v/>
      </c>
      <c r="I381" s="45">
        <f>'YOLO11n-seg'!AF381</f>
        <v/>
      </c>
      <c r="J381" s="45">
        <f>'U-Net'!AG381</f>
        <v/>
      </c>
      <c r="K381" s="45">
        <f>'DeepLabV3+'!AG381</f>
        <v/>
      </c>
      <c r="L381" s="45">
        <f>'YOLO11n-seg'!AG381</f>
        <v/>
      </c>
      <c r="M381" s="45">
        <f>'U-Net'!AI381</f>
        <v/>
      </c>
      <c r="N381" s="45">
        <f>'DeepLabV3+'!AI381</f>
        <v/>
      </c>
      <c r="O381" s="45">
        <f>'YOLO11n-seg'!AI381</f>
        <v/>
      </c>
    </row>
    <row r="382" ht="15" customHeight="1" s="30">
      <c r="A382" s="73">
        <f>'U-Net'!A382</f>
        <v/>
      </c>
      <c r="B382" s="45">
        <f>'U-Net'!AH382</f>
        <v/>
      </c>
      <c r="C382" s="45">
        <f>'DeepLabV3+'!AH382</f>
        <v/>
      </c>
      <c r="D382" s="45">
        <f>'YOLO11n-seg'!AH382</f>
        <v/>
      </c>
      <c r="E382" s="46">
        <f>INDEX($B$4:$D$4,MATCH(MAX(B382:D382),B382:D382,0))</f>
        <v/>
      </c>
      <c r="F382" s="45">
        <f>MAX(B382:D382)-MIN(B382:D382)</f>
        <v/>
      </c>
      <c r="G382" s="45">
        <f>'U-Net'!AF382</f>
        <v/>
      </c>
      <c r="H382" s="45">
        <f>'DeepLabV3+'!AF382</f>
        <v/>
      </c>
      <c r="I382" s="45">
        <f>'YOLO11n-seg'!AF382</f>
        <v/>
      </c>
      <c r="J382" s="45">
        <f>'U-Net'!AG382</f>
        <v/>
      </c>
      <c r="K382" s="45">
        <f>'DeepLabV3+'!AG382</f>
        <v/>
      </c>
      <c r="L382" s="45">
        <f>'YOLO11n-seg'!AG382</f>
        <v/>
      </c>
      <c r="M382" s="45">
        <f>'U-Net'!AI382</f>
        <v/>
      </c>
      <c r="N382" s="45">
        <f>'DeepLabV3+'!AI382</f>
        <v/>
      </c>
      <c r="O382" s="45">
        <f>'YOLO11n-seg'!AI382</f>
        <v/>
      </c>
    </row>
    <row r="383" ht="15" customHeight="1" s="30">
      <c r="A383" s="73">
        <f>'U-Net'!A383</f>
        <v/>
      </c>
      <c r="B383" s="45">
        <f>'U-Net'!AH383</f>
        <v/>
      </c>
      <c r="C383" s="45">
        <f>'DeepLabV3+'!AH383</f>
        <v/>
      </c>
      <c r="D383" s="45">
        <f>'YOLO11n-seg'!AH383</f>
        <v/>
      </c>
      <c r="E383" s="46">
        <f>INDEX($B$4:$D$4,MATCH(MAX(B383:D383),B383:D383,0))</f>
        <v/>
      </c>
      <c r="F383" s="45">
        <f>MAX(B383:D383)-MIN(B383:D383)</f>
        <v/>
      </c>
      <c r="G383" s="45">
        <f>'U-Net'!AF383</f>
        <v/>
      </c>
      <c r="H383" s="45">
        <f>'DeepLabV3+'!AF383</f>
        <v/>
      </c>
      <c r="I383" s="45">
        <f>'YOLO11n-seg'!AF383</f>
        <v/>
      </c>
      <c r="J383" s="45">
        <f>'U-Net'!AG383</f>
        <v/>
      </c>
      <c r="K383" s="45">
        <f>'DeepLabV3+'!AG383</f>
        <v/>
      </c>
      <c r="L383" s="45">
        <f>'YOLO11n-seg'!AG383</f>
        <v/>
      </c>
      <c r="M383" s="45">
        <f>'U-Net'!AI383</f>
        <v/>
      </c>
      <c r="N383" s="45">
        <f>'DeepLabV3+'!AI383</f>
        <v/>
      </c>
      <c r="O383" s="45">
        <f>'YOLO11n-seg'!AI383</f>
        <v/>
      </c>
    </row>
    <row r="384" ht="15" customHeight="1" s="30">
      <c r="A384" s="73">
        <f>'U-Net'!A384</f>
        <v/>
      </c>
      <c r="B384" s="45">
        <f>'U-Net'!AH384</f>
        <v/>
      </c>
      <c r="C384" s="45">
        <f>'DeepLabV3+'!AH384</f>
        <v/>
      </c>
      <c r="D384" s="45">
        <f>'YOLO11n-seg'!AH384</f>
        <v/>
      </c>
      <c r="E384" s="46">
        <f>INDEX($B$4:$D$4,MATCH(MAX(B384:D384),B384:D384,0))</f>
        <v/>
      </c>
      <c r="F384" s="45">
        <f>MAX(B384:D384)-MIN(B384:D384)</f>
        <v/>
      </c>
      <c r="G384" s="45">
        <f>'U-Net'!AF384</f>
        <v/>
      </c>
      <c r="H384" s="45">
        <f>'DeepLabV3+'!AF384</f>
        <v/>
      </c>
      <c r="I384" s="45">
        <f>'YOLO11n-seg'!AF384</f>
        <v/>
      </c>
      <c r="J384" s="45">
        <f>'U-Net'!AG384</f>
        <v/>
      </c>
      <c r="K384" s="45">
        <f>'DeepLabV3+'!AG384</f>
        <v/>
      </c>
      <c r="L384" s="45">
        <f>'YOLO11n-seg'!AG384</f>
        <v/>
      </c>
      <c r="M384" s="45">
        <f>'U-Net'!AI384</f>
        <v/>
      </c>
      <c r="N384" s="45">
        <f>'DeepLabV3+'!AI384</f>
        <v/>
      </c>
      <c r="O384" s="45">
        <f>'YOLO11n-seg'!AI384</f>
        <v/>
      </c>
    </row>
    <row r="385" ht="15" customHeight="1" s="30">
      <c r="A385" s="73">
        <f>'U-Net'!A385</f>
        <v/>
      </c>
      <c r="B385" s="45">
        <f>'U-Net'!AH385</f>
        <v/>
      </c>
      <c r="C385" s="45">
        <f>'DeepLabV3+'!AH385</f>
        <v/>
      </c>
      <c r="D385" s="45">
        <f>'YOLO11n-seg'!AH385</f>
        <v/>
      </c>
      <c r="E385" s="46">
        <f>INDEX($B$4:$D$4,MATCH(MAX(B385:D385),B385:D385,0))</f>
        <v/>
      </c>
      <c r="F385" s="45">
        <f>MAX(B385:D385)-MIN(B385:D385)</f>
        <v/>
      </c>
      <c r="G385" s="45">
        <f>'U-Net'!AF385</f>
        <v/>
      </c>
      <c r="H385" s="45">
        <f>'DeepLabV3+'!AF385</f>
        <v/>
      </c>
      <c r="I385" s="45">
        <f>'YOLO11n-seg'!AF385</f>
        <v/>
      </c>
      <c r="J385" s="45">
        <f>'U-Net'!AG385</f>
        <v/>
      </c>
      <c r="K385" s="45">
        <f>'DeepLabV3+'!AG385</f>
        <v/>
      </c>
      <c r="L385" s="45">
        <f>'YOLO11n-seg'!AG385</f>
        <v/>
      </c>
      <c r="M385" s="45">
        <f>'U-Net'!AI385</f>
        <v/>
      </c>
      <c r="N385" s="45">
        <f>'DeepLabV3+'!AI385</f>
        <v/>
      </c>
      <c r="O385" s="45">
        <f>'YOLO11n-seg'!AI385</f>
        <v/>
      </c>
    </row>
    <row r="386" ht="15" customHeight="1" s="30">
      <c r="A386" s="73">
        <f>'U-Net'!A386</f>
        <v/>
      </c>
      <c r="B386" s="45">
        <f>'U-Net'!AH386</f>
        <v/>
      </c>
      <c r="C386" s="45">
        <f>'DeepLabV3+'!AH386</f>
        <v/>
      </c>
      <c r="D386" s="45">
        <f>'YOLO11n-seg'!AH386</f>
        <v/>
      </c>
      <c r="E386" s="46">
        <f>INDEX($B$4:$D$4,MATCH(MAX(B386:D386),B386:D386,0))</f>
        <v/>
      </c>
      <c r="F386" s="45">
        <f>MAX(B386:D386)-MIN(B386:D386)</f>
        <v/>
      </c>
      <c r="G386" s="45">
        <f>'U-Net'!AF386</f>
        <v/>
      </c>
      <c r="H386" s="45">
        <f>'DeepLabV3+'!AF386</f>
        <v/>
      </c>
      <c r="I386" s="45">
        <f>'YOLO11n-seg'!AF386</f>
        <v/>
      </c>
      <c r="J386" s="45">
        <f>'U-Net'!AG386</f>
        <v/>
      </c>
      <c r="K386" s="45">
        <f>'DeepLabV3+'!AG386</f>
        <v/>
      </c>
      <c r="L386" s="45">
        <f>'YOLO11n-seg'!AG386</f>
        <v/>
      </c>
      <c r="M386" s="45">
        <f>'U-Net'!AI386</f>
        <v/>
      </c>
      <c r="N386" s="45">
        <f>'DeepLabV3+'!AI386</f>
        <v/>
      </c>
      <c r="O386" s="45">
        <f>'YOLO11n-seg'!AI386</f>
        <v/>
      </c>
    </row>
    <row r="387" ht="15" customHeight="1" s="30">
      <c r="A387" s="73">
        <f>'U-Net'!A387</f>
        <v/>
      </c>
      <c r="B387" s="45">
        <f>'U-Net'!AH387</f>
        <v/>
      </c>
      <c r="C387" s="45">
        <f>'DeepLabV3+'!AH387</f>
        <v/>
      </c>
      <c r="D387" s="45">
        <f>'YOLO11n-seg'!AH387</f>
        <v/>
      </c>
      <c r="E387" s="46">
        <f>INDEX($B$4:$D$4,MATCH(MAX(B387:D387),B387:D387,0))</f>
        <v/>
      </c>
      <c r="F387" s="45">
        <f>MAX(B387:D387)-MIN(B387:D387)</f>
        <v/>
      </c>
      <c r="G387" s="45">
        <f>'U-Net'!AF387</f>
        <v/>
      </c>
      <c r="H387" s="45">
        <f>'DeepLabV3+'!AF387</f>
        <v/>
      </c>
      <c r="I387" s="45">
        <f>'YOLO11n-seg'!AF387</f>
        <v/>
      </c>
      <c r="J387" s="45">
        <f>'U-Net'!AG387</f>
        <v/>
      </c>
      <c r="K387" s="45">
        <f>'DeepLabV3+'!AG387</f>
        <v/>
      </c>
      <c r="L387" s="45">
        <f>'YOLO11n-seg'!AG387</f>
        <v/>
      </c>
      <c r="M387" s="45">
        <f>'U-Net'!AI387</f>
        <v/>
      </c>
      <c r="N387" s="45">
        <f>'DeepLabV3+'!AI387</f>
        <v/>
      </c>
      <c r="O387" s="45">
        <f>'YOLO11n-seg'!AI387</f>
        <v/>
      </c>
    </row>
    <row r="388" ht="15" customHeight="1" s="30">
      <c r="A388" s="73">
        <f>'U-Net'!A388</f>
        <v/>
      </c>
      <c r="B388" s="45">
        <f>'U-Net'!AH388</f>
        <v/>
      </c>
      <c r="C388" s="45">
        <f>'DeepLabV3+'!AH388</f>
        <v/>
      </c>
      <c r="D388" s="45">
        <f>'YOLO11n-seg'!AH388</f>
        <v/>
      </c>
      <c r="E388" s="46">
        <f>INDEX($B$4:$D$4,MATCH(MAX(B388:D388),B388:D388,0))</f>
        <v/>
      </c>
      <c r="F388" s="45">
        <f>MAX(B388:D388)-MIN(B388:D388)</f>
        <v/>
      </c>
      <c r="G388" s="45">
        <f>'U-Net'!AF388</f>
        <v/>
      </c>
      <c r="H388" s="45">
        <f>'DeepLabV3+'!AF388</f>
        <v/>
      </c>
      <c r="I388" s="45">
        <f>'YOLO11n-seg'!AF388</f>
        <v/>
      </c>
      <c r="J388" s="45">
        <f>'U-Net'!AG388</f>
        <v/>
      </c>
      <c r="K388" s="45">
        <f>'DeepLabV3+'!AG388</f>
        <v/>
      </c>
      <c r="L388" s="45">
        <f>'YOLO11n-seg'!AG388</f>
        <v/>
      </c>
      <c r="M388" s="45">
        <f>'U-Net'!AI388</f>
        <v/>
      </c>
      <c r="N388" s="45">
        <f>'DeepLabV3+'!AI388</f>
        <v/>
      </c>
      <c r="O388" s="45">
        <f>'YOLO11n-seg'!AI388</f>
        <v/>
      </c>
    </row>
    <row r="389" ht="15" customHeight="1" s="30">
      <c r="A389" s="73">
        <f>'U-Net'!A389</f>
        <v/>
      </c>
      <c r="B389" s="45">
        <f>'U-Net'!AH389</f>
        <v/>
      </c>
      <c r="C389" s="45">
        <f>'DeepLabV3+'!AH389</f>
        <v/>
      </c>
      <c r="D389" s="45">
        <f>'YOLO11n-seg'!AH389</f>
        <v/>
      </c>
      <c r="E389" s="46">
        <f>INDEX($B$4:$D$4,MATCH(MAX(B389:D389),B389:D389,0))</f>
        <v/>
      </c>
      <c r="F389" s="45">
        <f>MAX(B389:D389)-MIN(B389:D389)</f>
        <v/>
      </c>
      <c r="G389" s="45">
        <f>'U-Net'!AF389</f>
        <v/>
      </c>
      <c r="H389" s="45">
        <f>'DeepLabV3+'!AF389</f>
        <v/>
      </c>
      <c r="I389" s="45">
        <f>'YOLO11n-seg'!AF389</f>
        <v/>
      </c>
      <c r="J389" s="45">
        <f>'U-Net'!AG389</f>
        <v/>
      </c>
      <c r="K389" s="45">
        <f>'DeepLabV3+'!AG389</f>
        <v/>
      </c>
      <c r="L389" s="45">
        <f>'YOLO11n-seg'!AG389</f>
        <v/>
      </c>
      <c r="M389" s="45">
        <f>'U-Net'!AI389</f>
        <v/>
      </c>
      <c r="N389" s="45">
        <f>'DeepLabV3+'!AI389</f>
        <v/>
      </c>
      <c r="O389" s="45">
        <f>'YOLO11n-seg'!AI389</f>
        <v/>
      </c>
    </row>
    <row r="390" ht="15" customHeight="1" s="30">
      <c r="A390" s="73">
        <f>'U-Net'!A390</f>
        <v/>
      </c>
      <c r="B390" s="45">
        <f>'U-Net'!AH390</f>
        <v/>
      </c>
      <c r="C390" s="45">
        <f>'DeepLabV3+'!AH390</f>
        <v/>
      </c>
      <c r="D390" s="45">
        <f>'YOLO11n-seg'!AH390</f>
        <v/>
      </c>
      <c r="E390" s="46">
        <f>INDEX($B$4:$D$4,MATCH(MAX(B390:D390),B390:D390,0))</f>
        <v/>
      </c>
      <c r="F390" s="45">
        <f>MAX(B390:D390)-MIN(B390:D390)</f>
        <v/>
      </c>
      <c r="G390" s="45">
        <f>'U-Net'!AF390</f>
        <v/>
      </c>
      <c r="H390" s="45">
        <f>'DeepLabV3+'!AF390</f>
        <v/>
      </c>
      <c r="I390" s="45">
        <f>'YOLO11n-seg'!AF390</f>
        <v/>
      </c>
      <c r="J390" s="45">
        <f>'U-Net'!AG390</f>
        <v/>
      </c>
      <c r="K390" s="45">
        <f>'DeepLabV3+'!AG390</f>
        <v/>
      </c>
      <c r="L390" s="45">
        <f>'YOLO11n-seg'!AG390</f>
        <v/>
      </c>
      <c r="M390" s="45">
        <f>'U-Net'!AI390</f>
        <v/>
      </c>
      <c r="N390" s="45">
        <f>'DeepLabV3+'!AI390</f>
        <v/>
      </c>
      <c r="O390" s="45">
        <f>'YOLO11n-seg'!AI390</f>
        <v/>
      </c>
    </row>
    <row r="391" ht="15" customHeight="1" s="30">
      <c r="A391" s="73">
        <f>'U-Net'!A391</f>
        <v/>
      </c>
      <c r="B391" s="45">
        <f>'U-Net'!AH391</f>
        <v/>
      </c>
      <c r="C391" s="45">
        <f>'DeepLabV3+'!AH391</f>
        <v/>
      </c>
      <c r="D391" s="45">
        <f>'YOLO11n-seg'!AH391</f>
        <v/>
      </c>
      <c r="E391" s="46">
        <f>INDEX($B$4:$D$4,MATCH(MAX(B391:D391),B391:D391,0))</f>
        <v/>
      </c>
      <c r="F391" s="45">
        <f>MAX(B391:D391)-MIN(B391:D391)</f>
        <v/>
      </c>
      <c r="G391" s="45">
        <f>'U-Net'!AF391</f>
        <v/>
      </c>
      <c r="H391" s="45">
        <f>'DeepLabV3+'!AF391</f>
        <v/>
      </c>
      <c r="I391" s="45">
        <f>'YOLO11n-seg'!AF391</f>
        <v/>
      </c>
      <c r="J391" s="45">
        <f>'U-Net'!AG391</f>
        <v/>
      </c>
      <c r="K391" s="45">
        <f>'DeepLabV3+'!AG391</f>
        <v/>
      </c>
      <c r="L391" s="45">
        <f>'YOLO11n-seg'!AG391</f>
        <v/>
      </c>
      <c r="M391" s="45">
        <f>'U-Net'!AI391</f>
        <v/>
      </c>
      <c r="N391" s="45">
        <f>'DeepLabV3+'!AI391</f>
        <v/>
      </c>
      <c r="O391" s="45">
        <f>'YOLO11n-seg'!AI391</f>
        <v/>
      </c>
    </row>
    <row r="392" ht="15" customHeight="1" s="30">
      <c r="A392" s="73">
        <f>'U-Net'!A392</f>
        <v/>
      </c>
      <c r="B392" s="45">
        <f>'U-Net'!AH392</f>
        <v/>
      </c>
      <c r="C392" s="45">
        <f>'DeepLabV3+'!AH392</f>
        <v/>
      </c>
      <c r="D392" s="45">
        <f>'YOLO11n-seg'!AH392</f>
        <v/>
      </c>
      <c r="E392" s="46">
        <f>INDEX($B$4:$D$4,MATCH(MAX(B392:D392),B392:D392,0))</f>
        <v/>
      </c>
      <c r="F392" s="45">
        <f>MAX(B392:D392)-MIN(B392:D392)</f>
        <v/>
      </c>
      <c r="G392" s="45">
        <f>'U-Net'!AF392</f>
        <v/>
      </c>
      <c r="H392" s="45">
        <f>'DeepLabV3+'!AF392</f>
        <v/>
      </c>
      <c r="I392" s="45">
        <f>'YOLO11n-seg'!AF392</f>
        <v/>
      </c>
      <c r="J392" s="45">
        <f>'U-Net'!AG392</f>
        <v/>
      </c>
      <c r="K392" s="45">
        <f>'DeepLabV3+'!AG392</f>
        <v/>
      </c>
      <c r="L392" s="45">
        <f>'YOLO11n-seg'!AG392</f>
        <v/>
      </c>
      <c r="M392" s="45">
        <f>'U-Net'!AI392</f>
        <v/>
      </c>
      <c r="N392" s="45">
        <f>'DeepLabV3+'!AI392</f>
        <v/>
      </c>
      <c r="O392" s="45">
        <f>'YOLO11n-seg'!AI392</f>
        <v/>
      </c>
    </row>
    <row r="393" ht="15" customHeight="1" s="30">
      <c r="A393" s="73">
        <f>'U-Net'!A393</f>
        <v/>
      </c>
      <c r="B393" s="45">
        <f>'U-Net'!AH393</f>
        <v/>
      </c>
      <c r="C393" s="45">
        <f>'DeepLabV3+'!AH393</f>
        <v/>
      </c>
      <c r="D393" s="45">
        <f>'YOLO11n-seg'!AH393</f>
        <v/>
      </c>
      <c r="E393" s="46">
        <f>INDEX($B$4:$D$4,MATCH(MAX(B393:D393),B393:D393,0))</f>
        <v/>
      </c>
      <c r="F393" s="45">
        <f>MAX(B393:D393)-MIN(B393:D393)</f>
        <v/>
      </c>
      <c r="G393" s="45">
        <f>'U-Net'!AF393</f>
        <v/>
      </c>
      <c r="H393" s="45">
        <f>'DeepLabV3+'!AF393</f>
        <v/>
      </c>
      <c r="I393" s="45">
        <f>'YOLO11n-seg'!AF393</f>
        <v/>
      </c>
      <c r="J393" s="45">
        <f>'U-Net'!AG393</f>
        <v/>
      </c>
      <c r="K393" s="45">
        <f>'DeepLabV3+'!AG393</f>
        <v/>
      </c>
      <c r="L393" s="45">
        <f>'YOLO11n-seg'!AG393</f>
        <v/>
      </c>
      <c r="M393" s="45">
        <f>'U-Net'!AI393</f>
        <v/>
      </c>
      <c r="N393" s="45">
        <f>'DeepLabV3+'!AI393</f>
        <v/>
      </c>
      <c r="O393" s="45">
        <f>'YOLO11n-seg'!AI393</f>
        <v/>
      </c>
    </row>
    <row r="394" ht="15" customHeight="1" s="30">
      <c r="A394" s="73">
        <f>'U-Net'!A394</f>
        <v/>
      </c>
      <c r="B394" s="45">
        <f>'U-Net'!AH394</f>
        <v/>
      </c>
      <c r="C394" s="45">
        <f>'DeepLabV3+'!AH394</f>
        <v/>
      </c>
      <c r="D394" s="45">
        <f>'YOLO11n-seg'!AH394</f>
        <v/>
      </c>
      <c r="E394" s="46">
        <f>INDEX($B$4:$D$4,MATCH(MAX(B394:D394),B394:D394,0))</f>
        <v/>
      </c>
      <c r="F394" s="45">
        <f>MAX(B394:D394)-MIN(B394:D394)</f>
        <v/>
      </c>
      <c r="G394" s="45">
        <f>'U-Net'!AF394</f>
        <v/>
      </c>
      <c r="H394" s="45">
        <f>'DeepLabV3+'!AF394</f>
        <v/>
      </c>
      <c r="I394" s="45">
        <f>'YOLO11n-seg'!AF394</f>
        <v/>
      </c>
      <c r="J394" s="45">
        <f>'U-Net'!AG394</f>
        <v/>
      </c>
      <c r="K394" s="45">
        <f>'DeepLabV3+'!AG394</f>
        <v/>
      </c>
      <c r="L394" s="45">
        <f>'YOLO11n-seg'!AG394</f>
        <v/>
      </c>
      <c r="M394" s="45">
        <f>'U-Net'!AI394</f>
        <v/>
      </c>
      <c r="N394" s="45">
        <f>'DeepLabV3+'!AI394</f>
        <v/>
      </c>
      <c r="O394" s="45">
        <f>'YOLO11n-seg'!AI394</f>
        <v/>
      </c>
    </row>
    <row r="395" ht="15" customHeight="1" s="30">
      <c r="A395" s="73">
        <f>'U-Net'!A395</f>
        <v/>
      </c>
      <c r="B395" s="45">
        <f>'U-Net'!AH395</f>
        <v/>
      </c>
      <c r="C395" s="45">
        <f>'DeepLabV3+'!AH395</f>
        <v/>
      </c>
      <c r="D395" s="45">
        <f>'YOLO11n-seg'!AH395</f>
        <v/>
      </c>
      <c r="E395" s="46">
        <f>INDEX($B$4:$D$4,MATCH(MAX(B395:D395),B395:D395,0))</f>
        <v/>
      </c>
      <c r="F395" s="45">
        <f>MAX(B395:D395)-MIN(B395:D395)</f>
        <v/>
      </c>
      <c r="G395" s="45">
        <f>'U-Net'!AF395</f>
        <v/>
      </c>
      <c r="H395" s="45">
        <f>'DeepLabV3+'!AF395</f>
        <v/>
      </c>
      <c r="I395" s="45">
        <f>'YOLO11n-seg'!AF395</f>
        <v/>
      </c>
      <c r="J395" s="45">
        <f>'U-Net'!AG395</f>
        <v/>
      </c>
      <c r="K395" s="45">
        <f>'DeepLabV3+'!AG395</f>
        <v/>
      </c>
      <c r="L395" s="45">
        <f>'YOLO11n-seg'!AG395</f>
        <v/>
      </c>
      <c r="M395" s="45">
        <f>'U-Net'!AI395</f>
        <v/>
      </c>
      <c r="N395" s="45">
        <f>'DeepLabV3+'!AI395</f>
        <v/>
      </c>
      <c r="O395" s="45">
        <f>'YOLO11n-seg'!AI395</f>
        <v/>
      </c>
    </row>
    <row r="396" ht="15" customHeight="1" s="30">
      <c r="A396" s="73">
        <f>'U-Net'!A396</f>
        <v/>
      </c>
      <c r="B396" s="45">
        <f>'U-Net'!AH396</f>
        <v/>
      </c>
      <c r="C396" s="45">
        <f>'DeepLabV3+'!AH396</f>
        <v/>
      </c>
      <c r="D396" s="45">
        <f>'YOLO11n-seg'!AH396</f>
        <v/>
      </c>
      <c r="E396" s="46">
        <f>INDEX($B$4:$D$4,MATCH(MAX(B396:D396),B396:D396,0))</f>
        <v/>
      </c>
      <c r="F396" s="45">
        <f>MAX(B396:D396)-MIN(B396:D396)</f>
        <v/>
      </c>
      <c r="G396" s="45">
        <f>'U-Net'!AF396</f>
        <v/>
      </c>
      <c r="H396" s="45">
        <f>'DeepLabV3+'!AF396</f>
        <v/>
      </c>
      <c r="I396" s="45">
        <f>'YOLO11n-seg'!AF396</f>
        <v/>
      </c>
      <c r="J396" s="45">
        <f>'U-Net'!AG396</f>
        <v/>
      </c>
      <c r="K396" s="45">
        <f>'DeepLabV3+'!AG396</f>
        <v/>
      </c>
      <c r="L396" s="45">
        <f>'YOLO11n-seg'!AG396</f>
        <v/>
      </c>
      <c r="M396" s="45">
        <f>'U-Net'!AI396</f>
        <v/>
      </c>
      <c r="N396" s="45">
        <f>'DeepLabV3+'!AI396</f>
        <v/>
      </c>
      <c r="O396" s="45">
        <f>'YOLO11n-seg'!AI396</f>
        <v/>
      </c>
    </row>
    <row r="397" ht="15" customHeight="1" s="30">
      <c r="A397" s="73">
        <f>'U-Net'!A397</f>
        <v/>
      </c>
      <c r="B397" s="45">
        <f>'U-Net'!AH397</f>
        <v/>
      </c>
      <c r="C397" s="45">
        <f>'DeepLabV3+'!AH397</f>
        <v/>
      </c>
      <c r="D397" s="45">
        <f>'YOLO11n-seg'!AH397</f>
        <v/>
      </c>
      <c r="E397" s="46">
        <f>INDEX($B$4:$D$4,MATCH(MAX(B397:D397),B397:D397,0))</f>
        <v/>
      </c>
      <c r="F397" s="45">
        <f>MAX(B397:D397)-MIN(B397:D397)</f>
        <v/>
      </c>
      <c r="G397" s="45">
        <f>'U-Net'!AF397</f>
        <v/>
      </c>
      <c r="H397" s="45">
        <f>'DeepLabV3+'!AF397</f>
        <v/>
      </c>
      <c r="I397" s="45">
        <f>'YOLO11n-seg'!AF397</f>
        <v/>
      </c>
      <c r="J397" s="45">
        <f>'U-Net'!AG397</f>
        <v/>
      </c>
      <c r="K397" s="45">
        <f>'DeepLabV3+'!AG397</f>
        <v/>
      </c>
      <c r="L397" s="45">
        <f>'YOLO11n-seg'!AG397</f>
        <v/>
      </c>
      <c r="M397" s="45">
        <f>'U-Net'!AI397</f>
        <v/>
      </c>
      <c r="N397" s="45">
        <f>'DeepLabV3+'!AI397</f>
        <v/>
      </c>
      <c r="O397" s="45">
        <f>'YOLO11n-seg'!AI397</f>
        <v/>
      </c>
    </row>
    <row r="398" ht="15" customHeight="1" s="30">
      <c r="A398" s="73">
        <f>'U-Net'!A398</f>
        <v/>
      </c>
      <c r="B398" s="45">
        <f>'U-Net'!AH398</f>
        <v/>
      </c>
      <c r="C398" s="45">
        <f>'DeepLabV3+'!AH398</f>
        <v/>
      </c>
      <c r="D398" s="45">
        <f>'YOLO11n-seg'!AH398</f>
        <v/>
      </c>
      <c r="E398" s="46">
        <f>INDEX($B$4:$D$4,MATCH(MAX(B398:D398),B398:D398,0))</f>
        <v/>
      </c>
      <c r="F398" s="45">
        <f>MAX(B398:D398)-MIN(B398:D398)</f>
        <v/>
      </c>
      <c r="G398" s="45">
        <f>'U-Net'!AF398</f>
        <v/>
      </c>
      <c r="H398" s="45">
        <f>'DeepLabV3+'!AF398</f>
        <v/>
      </c>
      <c r="I398" s="45">
        <f>'YOLO11n-seg'!AF398</f>
        <v/>
      </c>
      <c r="J398" s="45">
        <f>'U-Net'!AG398</f>
        <v/>
      </c>
      <c r="K398" s="45">
        <f>'DeepLabV3+'!AG398</f>
        <v/>
      </c>
      <c r="L398" s="45">
        <f>'YOLO11n-seg'!AG398</f>
        <v/>
      </c>
      <c r="M398" s="45">
        <f>'U-Net'!AI398</f>
        <v/>
      </c>
      <c r="N398" s="45">
        <f>'DeepLabV3+'!AI398</f>
        <v/>
      </c>
      <c r="O398" s="45">
        <f>'YOLO11n-seg'!AI398</f>
        <v/>
      </c>
    </row>
    <row r="399" ht="15" customHeight="1" s="30">
      <c r="A399" s="73">
        <f>'U-Net'!A399</f>
        <v/>
      </c>
      <c r="B399" s="45">
        <f>'U-Net'!AH399</f>
        <v/>
      </c>
      <c r="C399" s="45">
        <f>'DeepLabV3+'!AH399</f>
        <v/>
      </c>
      <c r="D399" s="45">
        <f>'YOLO11n-seg'!AH399</f>
        <v/>
      </c>
      <c r="E399" s="46">
        <f>INDEX($B$4:$D$4,MATCH(MAX(B399:D399),B399:D399,0))</f>
        <v/>
      </c>
      <c r="F399" s="45">
        <f>MAX(B399:D399)-MIN(B399:D399)</f>
        <v/>
      </c>
      <c r="G399" s="45">
        <f>'U-Net'!AF399</f>
        <v/>
      </c>
      <c r="H399" s="45">
        <f>'DeepLabV3+'!AF399</f>
        <v/>
      </c>
      <c r="I399" s="45">
        <f>'YOLO11n-seg'!AF399</f>
        <v/>
      </c>
      <c r="J399" s="45">
        <f>'U-Net'!AG399</f>
        <v/>
      </c>
      <c r="K399" s="45">
        <f>'DeepLabV3+'!AG399</f>
        <v/>
      </c>
      <c r="L399" s="45">
        <f>'YOLO11n-seg'!AG399</f>
        <v/>
      </c>
      <c r="M399" s="45">
        <f>'U-Net'!AI399</f>
        <v/>
      </c>
      <c r="N399" s="45">
        <f>'DeepLabV3+'!AI399</f>
        <v/>
      </c>
      <c r="O399" s="45">
        <f>'YOLO11n-seg'!AI399</f>
        <v/>
      </c>
    </row>
    <row r="400" ht="15" customHeight="1" s="30">
      <c r="A400" s="73">
        <f>'U-Net'!A400</f>
        <v/>
      </c>
      <c r="B400" s="45">
        <f>'U-Net'!AH400</f>
        <v/>
      </c>
      <c r="C400" s="45">
        <f>'DeepLabV3+'!AH400</f>
        <v/>
      </c>
      <c r="D400" s="45">
        <f>'YOLO11n-seg'!AH400</f>
        <v/>
      </c>
      <c r="E400" s="46">
        <f>INDEX($B$4:$D$4,MATCH(MAX(B400:D400),B400:D400,0))</f>
        <v/>
      </c>
      <c r="F400" s="45">
        <f>MAX(B400:D400)-MIN(B400:D400)</f>
        <v/>
      </c>
      <c r="G400" s="45">
        <f>'U-Net'!AF400</f>
        <v/>
      </c>
      <c r="H400" s="45">
        <f>'DeepLabV3+'!AF400</f>
        <v/>
      </c>
      <c r="I400" s="45">
        <f>'YOLO11n-seg'!AF400</f>
        <v/>
      </c>
      <c r="J400" s="45">
        <f>'U-Net'!AG400</f>
        <v/>
      </c>
      <c r="K400" s="45">
        <f>'DeepLabV3+'!AG400</f>
        <v/>
      </c>
      <c r="L400" s="45">
        <f>'YOLO11n-seg'!AG400</f>
        <v/>
      </c>
      <c r="M400" s="45">
        <f>'U-Net'!AI400</f>
        <v/>
      </c>
      <c r="N400" s="45">
        <f>'DeepLabV3+'!AI400</f>
        <v/>
      </c>
      <c r="O400" s="45">
        <f>'YOLO11n-seg'!AI400</f>
        <v/>
      </c>
    </row>
    <row r="401" ht="15" customHeight="1" s="30">
      <c r="A401" s="73">
        <f>'U-Net'!A401</f>
        <v/>
      </c>
      <c r="B401" s="45">
        <f>'U-Net'!AH401</f>
        <v/>
      </c>
      <c r="C401" s="45">
        <f>'DeepLabV3+'!AH401</f>
        <v/>
      </c>
      <c r="D401" s="45">
        <f>'YOLO11n-seg'!AH401</f>
        <v/>
      </c>
      <c r="E401" s="46">
        <f>INDEX($B$4:$D$4,MATCH(MAX(B401:D401),B401:D401,0))</f>
        <v/>
      </c>
      <c r="F401" s="45">
        <f>MAX(B401:D401)-MIN(B401:D401)</f>
        <v/>
      </c>
      <c r="G401" s="45">
        <f>'U-Net'!AF401</f>
        <v/>
      </c>
      <c r="H401" s="45">
        <f>'DeepLabV3+'!AF401</f>
        <v/>
      </c>
      <c r="I401" s="45">
        <f>'YOLO11n-seg'!AF401</f>
        <v/>
      </c>
      <c r="J401" s="45">
        <f>'U-Net'!AG401</f>
        <v/>
      </c>
      <c r="K401" s="45">
        <f>'DeepLabV3+'!AG401</f>
        <v/>
      </c>
      <c r="L401" s="45">
        <f>'YOLO11n-seg'!AG401</f>
        <v/>
      </c>
      <c r="M401" s="45">
        <f>'U-Net'!AI401</f>
        <v/>
      </c>
      <c r="N401" s="45">
        <f>'DeepLabV3+'!AI401</f>
        <v/>
      </c>
      <c r="O401" s="45">
        <f>'YOLO11n-seg'!AI401</f>
        <v/>
      </c>
    </row>
    <row r="402" ht="15" customHeight="1" s="30">
      <c r="A402" s="73">
        <f>'U-Net'!A402</f>
        <v/>
      </c>
      <c r="B402" s="45">
        <f>'U-Net'!AH402</f>
        <v/>
      </c>
      <c r="C402" s="45">
        <f>'DeepLabV3+'!AH402</f>
        <v/>
      </c>
      <c r="D402" s="45">
        <f>'YOLO11n-seg'!AH402</f>
        <v/>
      </c>
      <c r="E402" s="46">
        <f>INDEX($B$4:$D$4,MATCH(MAX(B402:D402),B402:D402,0))</f>
        <v/>
      </c>
      <c r="F402" s="45">
        <f>MAX(B402:D402)-MIN(B402:D402)</f>
        <v/>
      </c>
      <c r="G402" s="45">
        <f>'U-Net'!AF402</f>
        <v/>
      </c>
      <c r="H402" s="45">
        <f>'DeepLabV3+'!AF402</f>
        <v/>
      </c>
      <c r="I402" s="45">
        <f>'YOLO11n-seg'!AF402</f>
        <v/>
      </c>
      <c r="J402" s="45">
        <f>'U-Net'!AG402</f>
        <v/>
      </c>
      <c r="K402" s="45">
        <f>'DeepLabV3+'!AG402</f>
        <v/>
      </c>
      <c r="L402" s="45">
        <f>'YOLO11n-seg'!AG402</f>
        <v/>
      </c>
      <c r="M402" s="45">
        <f>'U-Net'!AI402</f>
        <v/>
      </c>
      <c r="N402" s="45">
        <f>'DeepLabV3+'!AI402</f>
        <v/>
      </c>
      <c r="O402" s="45">
        <f>'YOLO11n-seg'!AI402</f>
        <v/>
      </c>
    </row>
    <row r="403" ht="15" customHeight="1" s="30">
      <c r="A403" s="73">
        <f>'U-Net'!A403</f>
        <v/>
      </c>
      <c r="B403" s="45">
        <f>'U-Net'!AH403</f>
        <v/>
      </c>
      <c r="C403" s="45">
        <f>'DeepLabV3+'!AH403</f>
        <v/>
      </c>
      <c r="D403" s="45">
        <f>'YOLO11n-seg'!AH403</f>
        <v/>
      </c>
      <c r="E403" s="46">
        <f>INDEX($B$4:$D$4,MATCH(MAX(B403:D403),B403:D403,0))</f>
        <v/>
      </c>
      <c r="F403" s="45">
        <f>MAX(B403:D403)-MIN(B403:D403)</f>
        <v/>
      </c>
      <c r="G403" s="45">
        <f>'U-Net'!AF403</f>
        <v/>
      </c>
      <c r="H403" s="45">
        <f>'DeepLabV3+'!AF403</f>
        <v/>
      </c>
      <c r="I403" s="45">
        <f>'YOLO11n-seg'!AF403</f>
        <v/>
      </c>
      <c r="J403" s="45">
        <f>'U-Net'!AG403</f>
        <v/>
      </c>
      <c r="K403" s="45">
        <f>'DeepLabV3+'!AG403</f>
        <v/>
      </c>
      <c r="L403" s="45">
        <f>'YOLO11n-seg'!AG403</f>
        <v/>
      </c>
      <c r="M403" s="45">
        <f>'U-Net'!AI403</f>
        <v/>
      </c>
      <c r="N403" s="45">
        <f>'DeepLabV3+'!AI403</f>
        <v/>
      </c>
      <c r="O403" s="45">
        <f>'YOLO11n-seg'!AI403</f>
        <v/>
      </c>
    </row>
    <row r="404" ht="15" customHeight="1" s="30">
      <c r="A404" s="73">
        <f>'U-Net'!A404</f>
        <v/>
      </c>
      <c r="B404" s="45">
        <f>'U-Net'!AH404</f>
        <v/>
      </c>
      <c r="C404" s="45">
        <f>'DeepLabV3+'!AH404</f>
        <v/>
      </c>
      <c r="D404" s="45">
        <f>'YOLO11n-seg'!AH404</f>
        <v/>
      </c>
      <c r="E404" s="46">
        <f>INDEX($B$4:$D$4,MATCH(MAX(B404:D404),B404:D404,0))</f>
        <v/>
      </c>
      <c r="F404" s="45">
        <f>MAX(B404:D404)-MIN(B404:D404)</f>
        <v/>
      </c>
      <c r="G404" s="45">
        <f>'U-Net'!AF404</f>
        <v/>
      </c>
      <c r="H404" s="45">
        <f>'DeepLabV3+'!AF404</f>
        <v/>
      </c>
      <c r="I404" s="45">
        <f>'YOLO11n-seg'!AF404</f>
        <v/>
      </c>
      <c r="J404" s="45">
        <f>'U-Net'!AG404</f>
        <v/>
      </c>
      <c r="K404" s="45">
        <f>'DeepLabV3+'!AG404</f>
        <v/>
      </c>
      <c r="L404" s="45">
        <f>'YOLO11n-seg'!AG404</f>
        <v/>
      </c>
      <c r="M404" s="45">
        <f>'U-Net'!AI404</f>
        <v/>
      </c>
      <c r="N404" s="45">
        <f>'DeepLabV3+'!AI404</f>
        <v/>
      </c>
      <c r="O404" s="45">
        <f>'YOLO11n-seg'!AI404</f>
        <v/>
      </c>
    </row>
    <row r="405" ht="15" customHeight="1" s="30">
      <c r="A405" s="73">
        <f>'U-Net'!A405</f>
        <v/>
      </c>
      <c r="B405" s="45">
        <f>'U-Net'!AH405</f>
        <v/>
      </c>
      <c r="C405" s="45">
        <f>'DeepLabV3+'!AH405</f>
        <v/>
      </c>
      <c r="D405" s="45">
        <f>'YOLO11n-seg'!AH405</f>
        <v/>
      </c>
      <c r="E405" s="46">
        <f>INDEX($B$4:$D$4,MATCH(MAX(B405:D405),B405:D405,0))</f>
        <v/>
      </c>
      <c r="F405" s="45">
        <f>MAX(B405:D405)-MIN(B405:D405)</f>
        <v/>
      </c>
      <c r="G405" s="45">
        <f>'U-Net'!AF405</f>
        <v/>
      </c>
      <c r="H405" s="45">
        <f>'DeepLabV3+'!AF405</f>
        <v/>
      </c>
      <c r="I405" s="45">
        <f>'YOLO11n-seg'!AF405</f>
        <v/>
      </c>
      <c r="J405" s="45">
        <f>'U-Net'!AG405</f>
        <v/>
      </c>
      <c r="K405" s="45">
        <f>'DeepLabV3+'!AG405</f>
        <v/>
      </c>
      <c r="L405" s="45">
        <f>'YOLO11n-seg'!AG405</f>
        <v/>
      </c>
      <c r="M405" s="45">
        <f>'U-Net'!AI405</f>
        <v/>
      </c>
      <c r="N405" s="45">
        <f>'DeepLabV3+'!AI405</f>
        <v/>
      </c>
      <c r="O405" s="45">
        <f>'YOLO11n-seg'!AI405</f>
        <v/>
      </c>
    </row>
    <row r="406" ht="15" customHeight="1" s="30">
      <c r="A406" s="73">
        <f>'U-Net'!A406</f>
        <v/>
      </c>
      <c r="B406" s="45">
        <f>'U-Net'!AH406</f>
        <v/>
      </c>
      <c r="C406" s="45">
        <f>'DeepLabV3+'!AH406</f>
        <v/>
      </c>
      <c r="D406" s="45">
        <f>'YOLO11n-seg'!AH406</f>
        <v/>
      </c>
      <c r="E406" s="46">
        <f>INDEX($B$4:$D$4,MATCH(MAX(B406:D406),B406:D406,0))</f>
        <v/>
      </c>
      <c r="F406" s="45">
        <f>MAX(B406:D406)-MIN(B406:D406)</f>
        <v/>
      </c>
      <c r="G406" s="45">
        <f>'U-Net'!AF406</f>
        <v/>
      </c>
      <c r="H406" s="45">
        <f>'DeepLabV3+'!AF406</f>
        <v/>
      </c>
      <c r="I406" s="45">
        <f>'YOLO11n-seg'!AF406</f>
        <v/>
      </c>
      <c r="J406" s="45">
        <f>'U-Net'!AG406</f>
        <v/>
      </c>
      <c r="K406" s="45">
        <f>'DeepLabV3+'!AG406</f>
        <v/>
      </c>
      <c r="L406" s="45">
        <f>'YOLO11n-seg'!AG406</f>
        <v/>
      </c>
      <c r="M406" s="45">
        <f>'U-Net'!AI406</f>
        <v/>
      </c>
      <c r="N406" s="45">
        <f>'DeepLabV3+'!AI406</f>
        <v/>
      </c>
      <c r="O406" s="45">
        <f>'YOLO11n-seg'!AI406</f>
        <v/>
      </c>
    </row>
    <row r="407" ht="15" customHeight="1" s="30">
      <c r="A407" s="73">
        <f>'U-Net'!A407</f>
        <v/>
      </c>
      <c r="B407" s="45">
        <f>'U-Net'!AH407</f>
        <v/>
      </c>
      <c r="C407" s="45">
        <f>'DeepLabV3+'!AH407</f>
        <v/>
      </c>
      <c r="D407" s="45">
        <f>'YOLO11n-seg'!AH407</f>
        <v/>
      </c>
      <c r="E407" s="46">
        <f>INDEX($B$4:$D$4,MATCH(MAX(B407:D407),B407:D407,0))</f>
        <v/>
      </c>
      <c r="F407" s="45">
        <f>MAX(B407:D407)-MIN(B407:D407)</f>
        <v/>
      </c>
      <c r="G407" s="45">
        <f>'U-Net'!AF407</f>
        <v/>
      </c>
      <c r="H407" s="45">
        <f>'DeepLabV3+'!AF407</f>
        <v/>
      </c>
      <c r="I407" s="45">
        <f>'YOLO11n-seg'!AF407</f>
        <v/>
      </c>
      <c r="J407" s="45">
        <f>'U-Net'!AG407</f>
        <v/>
      </c>
      <c r="K407" s="45">
        <f>'DeepLabV3+'!AG407</f>
        <v/>
      </c>
      <c r="L407" s="45">
        <f>'YOLO11n-seg'!AG407</f>
        <v/>
      </c>
      <c r="M407" s="45">
        <f>'U-Net'!AI407</f>
        <v/>
      </c>
      <c r="N407" s="45">
        <f>'DeepLabV3+'!AI407</f>
        <v/>
      </c>
      <c r="O407" s="45">
        <f>'YOLO11n-seg'!AI407</f>
        <v/>
      </c>
    </row>
    <row r="408" ht="15" customHeight="1" s="30">
      <c r="A408" s="73">
        <f>'U-Net'!A408</f>
        <v/>
      </c>
      <c r="B408" s="45">
        <f>'U-Net'!AH408</f>
        <v/>
      </c>
      <c r="C408" s="45">
        <f>'DeepLabV3+'!AH408</f>
        <v/>
      </c>
      <c r="D408" s="45">
        <f>'YOLO11n-seg'!AH408</f>
        <v/>
      </c>
      <c r="E408" s="46">
        <f>INDEX($B$4:$D$4,MATCH(MAX(B408:D408),B408:D408,0))</f>
        <v/>
      </c>
      <c r="F408" s="45">
        <f>MAX(B408:D408)-MIN(B408:D408)</f>
        <v/>
      </c>
      <c r="G408" s="45">
        <f>'U-Net'!AF408</f>
        <v/>
      </c>
      <c r="H408" s="45">
        <f>'DeepLabV3+'!AF408</f>
        <v/>
      </c>
      <c r="I408" s="45">
        <f>'YOLO11n-seg'!AF408</f>
        <v/>
      </c>
      <c r="J408" s="45">
        <f>'U-Net'!AG408</f>
        <v/>
      </c>
      <c r="K408" s="45">
        <f>'DeepLabV3+'!AG408</f>
        <v/>
      </c>
      <c r="L408" s="45">
        <f>'YOLO11n-seg'!AG408</f>
        <v/>
      </c>
      <c r="M408" s="45">
        <f>'U-Net'!AI408</f>
        <v/>
      </c>
      <c r="N408" s="45">
        <f>'DeepLabV3+'!AI408</f>
        <v/>
      </c>
      <c r="O408" s="45">
        <f>'YOLO11n-seg'!AI408</f>
        <v/>
      </c>
    </row>
    <row r="409" ht="15" customHeight="1" s="30">
      <c r="A409" s="73">
        <f>'U-Net'!A409</f>
        <v/>
      </c>
      <c r="B409" s="45">
        <f>'U-Net'!AH409</f>
        <v/>
      </c>
      <c r="C409" s="45">
        <f>'DeepLabV3+'!AH409</f>
        <v/>
      </c>
      <c r="D409" s="45">
        <f>'YOLO11n-seg'!AH409</f>
        <v/>
      </c>
      <c r="E409" s="46">
        <f>INDEX($B$4:$D$4,MATCH(MAX(B409:D409),B409:D409,0))</f>
        <v/>
      </c>
      <c r="F409" s="45">
        <f>MAX(B409:D409)-MIN(B409:D409)</f>
        <v/>
      </c>
      <c r="G409" s="45">
        <f>'U-Net'!AF409</f>
        <v/>
      </c>
      <c r="H409" s="45">
        <f>'DeepLabV3+'!AF409</f>
        <v/>
      </c>
      <c r="I409" s="45">
        <f>'YOLO11n-seg'!AF409</f>
        <v/>
      </c>
      <c r="J409" s="45">
        <f>'U-Net'!AG409</f>
        <v/>
      </c>
      <c r="K409" s="45">
        <f>'DeepLabV3+'!AG409</f>
        <v/>
      </c>
      <c r="L409" s="45">
        <f>'YOLO11n-seg'!AG409</f>
        <v/>
      </c>
      <c r="M409" s="45">
        <f>'U-Net'!AI409</f>
        <v/>
      </c>
      <c r="N409" s="45">
        <f>'DeepLabV3+'!AI409</f>
        <v/>
      </c>
      <c r="O409" s="45">
        <f>'YOLO11n-seg'!AI409</f>
        <v/>
      </c>
    </row>
    <row r="410" ht="15" customHeight="1" s="30">
      <c r="A410" s="73">
        <f>'U-Net'!A410</f>
        <v/>
      </c>
      <c r="B410" s="45">
        <f>'U-Net'!AH410</f>
        <v/>
      </c>
      <c r="C410" s="45">
        <f>'DeepLabV3+'!AH410</f>
        <v/>
      </c>
      <c r="D410" s="45">
        <f>'YOLO11n-seg'!AH410</f>
        <v/>
      </c>
      <c r="E410" s="46">
        <f>INDEX($B$4:$D$4,MATCH(MAX(B410:D410),B410:D410,0))</f>
        <v/>
      </c>
      <c r="F410" s="45">
        <f>MAX(B410:D410)-MIN(B410:D410)</f>
        <v/>
      </c>
      <c r="G410" s="45">
        <f>'U-Net'!AF410</f>
        <v/>
      </c>
      <c r="H410" s="45">
        <f>'DeepLabV3+'!AF410</f>
        <v/>
      </c>
      <c r="I410" s="45">
        <f>'YOLO11n-seg'!AF410</f>
        <v/>
      </c>
      <c r="J410" s="45">
        <f>'U-Net'!AG410</f>
        <v/>
      </c>
      <c r="K410" s="45">
        <f>'DeepLabV3+'!AG410</f>
        <v/>
      </c>
      <c r="L410" s="45">
        <f>'YOLO11n-seg'!AG410</f>
        <v/>
      </c>
      <c r="M410" s="45">
        <f>'U-Net'!AI410</f>
        <v/>
      </c>
      <c r="N410" s="45">
        <f>'DeepLabV3+'!AI410</f>
        <v/>
      </c>
      <c r="O410" s="45">
        <f>'YOLO11n-seg'!AI410</f>
        <v/>
      </c>
    </row>
    <row r="411" ht="15" customHeight="1" s="30">
      <c r="A411" s="73">
        <f>'U-Net'!A411</f>
        <v/>
      </c>
      <c r="B411" s="45">
        <f>'U-Net'!AH411</f>
        <v/>
      </c>
      <c r="C411" s="45">
        <f>'DeepLabV3+'!AH411</f>
        <v/>
      </c>
      <c r="D411" s="45">
        <f>'YOLO11n-seg'!AH411</f>
        <v/>
      </c>
      <c r="E411" s="46">
        <f>INDEX($B$4:$D$4,MATCH(MAX(B411:D411),B411:D411,0))</f>
        <v/>
      </c>
      <c r="F411" s="45">
        <f>MAX(B411:D411)-MIN(B411:D411)</f>
        <v/>
      </c>
      <c r="G411" s="45">
        <f>'U-Net'!AF411</f>
        <v/>
      </c>
      <c r="H411" s="45">
        <f>'DeepLabV3+'!AF411</f>
        <v/>
      </c>
      <c r="I411" s="45">
        <f>'YOLO11n-seg'!AF411</f>
        <v/>
      </c>
      <c r="J411" s="45">
        <f>'U-Net'!AG411</f>
        <v/>
      </c>
      <c r="K411" s="45">
        <f>'DeepLabV3+'!AG411</f>
        <v/>
      </c>
      <c r="L411" s="45">
        <f>'YOLO11n-seg'!AG411</f>
        <v/>
      </c>
      <c r="M411" s="45">
        <f>'U-Net'!AI411</f>
        <v/>
      </c>
      <c r="N411" s="45">
        <f>'DeepLabV3+'!AI411</f>
        <v/>
      </c>
      <c r="O411" s="45">
        <f>'YOLO11n-seg'!AI411</f>
        <v/>
      </c>
    </row>
    <row r="412" ht="15" customHeight="1" s="30">
      <c r="A412" s="73">
        <f>'U-Net'!A412</f>
        <v/>
      </c>
      <c r="B412" s="45">
        <f>'U-Net'!AH412</f>
        <v/>
      </c>
      <c r="C412" s="45">
        <f>'DeepLabV3+'!AH412</f>
        <v/>
      </c>
      <c r="D412" s="45">
        <f>'YOLO11n-seg'!AH412</f>
        <v/>
      </c>
      <c r="E412" s="46">
        <f>INDEX($B$4:$D$4,MATCH(MAX(B412:D412),B412:D412,0))</f>
        <v/>
      </c>
      <c r="F412" s="45">
        <f>MAX(B412:D412)-MIN(B412:D412)</f>
        <v/>
      </c>
      <c r="G412" s="45">
        <f>'U-Net'!AF412</f>
        <v/>
      </c>
      <c r="H412" s="45">
        <f>'DeepLabV3+'!AF412</f>
        <v/>
      </c>
      <c r="I412" s="45">
        <f>'YOLO11n-seg'!AF412</f>
        <v/>
      </c>
      <c r="J412" s="45">
        <f>'U-Net'!AG412</f>
        <v/>
      </c>
      <c r="K412" s="45">
        <f>'DeepLabV3+'!AG412</f>
        <v/>
      </c>
      <c r="L412" s="45">
        <f>'YOLO11n-seg'!AG412</f>
        <v/>
      </c>
      <c r="M412" s="45">
        <f>'U-Net'!AI412</f>
        <v/>
      </c>
      <c r="N412" s="45">
        <f>'DeepLabV3+'!AI412</f>
        <v/>
      </c>
      <c r="O412" s="45">
        <f>'YOLO11n-seg'!AI412</f>
        <v/>
      </c>
    </row>
    <row r="413" ht="15" customHeight="1" s="30">
      <c r="A413" s="73">
        <f>'U-Net'!A413</f>
        <v/>
      </c>
      <c r="B413" s="45">
        <f>'U-Net'!AH413</f>
        <v/>
      </c>
      <c r="C413" s="45">
        <f>'DeepLabV3+'!AH413</f>
        <v/>
      </c>
      <c r="D413" s="45">
        <f>'YOLO11n-seg'!AH413</f>
        <v/>
      </c>
      <c r="E413" s="46">
        <f>INDEX($B$4:$D$4,MATCH(MAX(B413:D413),B413:D413,0))</f>
        <v/>
      </c>
      <c r="F413" s="45">
        <f>MAX(B413:D413)-MIN(B413:D413)</f>
        <v/>
      </c>
      <c r="G413" s="45">
        <f>'U-Net'!AF413</f>
        <v/>
      </c>
      <c r="H413" s="45">
        <f>'DeepLabV3+'!AF413</f>
        <v/>
      </c>
      <c r="I413" s="45">
        <f>'YOLO11n-seg'!AF413</f>
        <v/>
      </c>
      <c r="J413" s="45">
        <f>'U-Net'!AG413</f>
        <v/>
      </c>
      <c r="K413" s="45">
        <f>'DeepLabV3+'!AG413</f>
        <v/>
      </c>
      <c r="L413" s="45">
        <f>'YOLO11n-seg'!AG413</f>
        <v/>
      </c>
      <c r="M413" s="45">
        <f>'U-Net'!AI413</f>
        <v/>
      </c>
      <c r="N413" s="45">
        <f>'DeepLabV3+'!AI413</f>
        <v/>
      </c>
      <c r="O413" s="45">
        <f>'YOLO11n-seg'!AI413</f>
        <v/>
      </c>
    </row>
    <row r="414" ht="15" customHeight="1" s="30">
      <c r="A414" s="73">
        <f>'U-Net'!A414</f>
        <v/>
      </c>
      <c r="B414" s="45">
        <f>'U-Net'!AH414</f>
        <v/>
      </c>
      <c r="C414" s="45">
        <f>'DeepLabV3+'!AH414</f>
        <v/>
      </c>
      <c r="D414" s="45">
        <f>'YOLO11n-seg'!AH414</f>
        <v/>
      </c>
      <c r="E414" s="46">
        <f>INDEX($B$4:$D$4,MATCH(MAX(B414:D414),B414:D414,0))</f>
        <v/>
      </c>
      <c r="F414" s="45">
        <f>MAX(B414:D414)-MIN(B414:D414)</f>
        <v/>
      </c>
      <c r="G414" s="45">
        <f>'U-Net'!AF414</f>
        <v/>
      </c>
      <c r="H414" s="45">
        <f>'DeepLabV3+'!AF414</f>
        <v/>
      </c>
      <c r="I414" s="45">
        <f>'YOLO11n-seg'!AF414</f>
        <v/>
      </c>
      <c r="J414" s="45">
        <f>'U-Net'!AG414</f>
        <v/>
      </c>
      <c r="K414" s="45">
        <f>'DeepLabV3+'!AG414</f>
        <v/>
      </c>
      <c r="L414" s="45">
        <f>'YOLO11n-seg'!AG414</f>
        <v/>
      </c>
      <c r="M414" s="45">
        <f>'U-Net'!AI414</f>
        <v/>
      </c>
      <c r="N414" s="45">
        <f>'DeepLabV3+'!AI414</f>
        <v/>
      </c>
      <c r="O414" s="45">
        <f>'YOLO11n-seg'!AI414</f>
        <v/>
      </c>
    </row>
    <row r="415" ht="15" customHeight="1" s="30">
      <c r="A415" s="73">
        <f>'U-Net'!A415</f>
        <v/>
      </c>
      <c r="B415" s="45">
        <f>'U-Net'!AH415</f>
        <v/>
      </c>
      <c r="C415" s="45">
        <f>'DeepLabV3+'!AH415</f>
        <v/>
      </c>
      <c r="D415" s="45">
        <f>'YOLO11n-seg'!AH415</f>
        <v/>
      </c>
      <c r="E415" s="46">
        <f>INDEX($B$4:$D$4,MATCH(MAX(B415:D415),B415:D415,0))</f>
        <v/>
      </c>
      <c r="F415" s="45">
        <f>MAX(B415:D415)-MIN(B415:D415)</f>
        <v/>
      </c>
      <c r="G415" s="45">
        <f>'U-Net'!AF415</f>
        <v/>
      </c>
      <c r="H415" s="45">
        <f>'DeepLabV3+'!AF415</f>
        <v/>
      </c>
      <c r="I415" s="45">
        <f>'YOLO11n-seg'!AF415</f>
        <v/>
      </c>
      <c r="J415" s="45">
        <f>'U-Net'!AG415</f>
        <v/>
      </c>
      <c r="K415" s="45">
        <f>'DeepLabV3+'!AG415</f>
        <v/>
      </c>
      <c r="L415" s="45">
        <f>'YOLO11n-seg'!AG415</f>
        <v/>
      </c>
      <c r="M415" s="45">
        <f>'U-Net'!AI415</f>
        <v/>
      </c>
      <c r="N415" s="45">
        <f>'DeepLabV3+'!AI415</f>
        <v/>
      </c>
      <c r="O415" s="45">
        <f>'YOLO11n-seg'!AI415</f>
        <v/>
      </c>
    </row>
    <row r="416" ht="15" customHeight="1" s="30">
      <c r="A416" s="73">
        <f>'U-Net'!A416</f>
        <v/>
      </c>
      <c r="B416" s="45">
        <f>'U-Net'!AH416</f>
        <v/>
      </c>
      <c r="C416" s="45">
        <f>'DeepLabV3+'!AH416</f>
        <v/>
      </c>
      <c r="D416" s="45">
        <f>'YOLO11n-seg'!AH416</f>
        <v/>
      </c>
      <c r="E416" s="46">
        <f>INDEX($B$4:$D$4,MATCH(MAX(B416:D416),B416:D416,0))</f>
        <v/>
      </c>
      <c r="F416" s="45">
        <f>MAX(B416:D416)-MIN(B416:D416)</f>
        <v/>
      </c>
      <c r="G416" s="45">
        <f>'U-Net'!AF416</f>
        <v/>
      </c>
      <c r="H416" s="45">
        <f>'DeepLabV3+'!AF416</f>
        <v/>
      </c>
      <c r="I416" s="45">
        <f>'YOLO11n-seg'!AF416</f>
        <v/>
      </c>
      <c r="J416" s="45">
        <f>'U-Net'!AG416</f>
        <v/>
      </c>
      <c r="K416" s="45">
        <f>'DeepLabV3+'!AG416</f>
        <v/>
      </c>
      <c r="L416" s="45">
        <f>'YOLO11n-seg'!AG416</f>
        <v/>
      </c>
      <c r="M416" s="45">
        <f>'U-Net'!AI416</f>
        <v/>
      </c>
      <c r="N416" s="45">
        <f>'DeepLabV3+'!AI416</f>
        <v/>
      </c>
      <c r="O416" s="45">
        <f>'YOLO11n-seg'!AI416</f>
        <v/>
      </c>
    </row>
    <row r="417" ht="15" customHeight="1" s="30">
      <c r="A417" s="73">
        <f>'U-Net'!A417</f>
        <v/>
      </c>
      <c r="B417" s="45">
        <f>'U-Net'!AH417</f>
        <v/>
      </c>
      <c r="C417" s="45">
        <f>'DeepLabV3+'!AH417</f>
        <v/>
      </c>
      <c r="D417" s="45">
        <f>'YOLO11n-seg'!AH417</f>
        <v/>
      </c>
      <c r="E417" s="46">
        <f>INDEX($B$4:$D$4,MATCH(MAX(B417:D417),B417:D417,0))</f>
        <v/>
      </c>
      <c r="F417" s="45">
        <f>MAX(B417:D417)-MIN(B417:D417)</f>
        <v/>
      </c>
      <c r="G417" s="45">
        <f>'U-Net'!AF417</f>
        <v/>
      </c>
      <c r="H417" s="45">
        <f>'DeepLabV3+'!AF417</f>
        <v/>
      </c>
      <c r="I417" s="45">
        <f>'YOLO11n-seg'!AF417</f>
        <v/>
      </c>
      <c r="J417" s="45">
        <f>'U-Net'!AG417</f>
        <v/>
      </c>
      <c r="K417" s="45">
        <f>'DeepLabV3+'!AG417</f>
        <v/>
      </c>
      <c r="L417" s="45">
        <f>'YOLO11n-seg'!AG417</f>
        <v/>
      </c>
      <c r="M417" s="45">
        <f>'U-Net'!AI417</f>
        <v/>
      </c>
      <c r="N417" s="45">
        <f>'DeepLabV3+'!AI417</f>
        <v/>
      </c>
      <c r="O417" s="45">
        <f>'YOLO11n-seg'!AI417</f>
        <v/>
      </c>
    </row>
    <row r="418" ht="15" customHeight="1" s="30">
      <c r="A418" s="73">
        <f>'U-Net'!A418</f>
        <v/>
      </c>
      <c r="B418" s="45">
        <f>'U-Net'!AH418</f>
        <v/>
      </c>
      <c r="C418" s="45">
        <f>'DeepLabV3+'!AH418</f>
        <v/>
      </c>
      <c r="D418" s="45">
        <f>'YOLO11n-seg'!AH418</f>
        <v/>
      </c>
      <c r="E418" s="46">
        <f>INDEX($B$4:$D$4,MATCH(MAX(B418:D418),B418:D418,0))</f>
        <v/>
      </c>
      <c r="F418" s="45">
        <f>MAX(B418:D418)-MIN(B418:D418)</f>
        <v/>
      </c>
      <c r="G418" s="45">
        <f>'U-Net'!AF418</f>
        <v/>
      </c>
      <c r="H418" s="45">
        <f>'DeepLabV3+'!AF418</f>
        <v/>
      </c>
      <c r="I418" s="45">
        <f>'YOLO11n-seg'!AF418</f>
        <v/>
      </c>
      <c r="J418" s="45">
        <f>'U-Net'!AG418</f>
        <v/>
      </c>
      <c r="K418" s="45">
        <f>'DeepLabV3+'!AG418</f>
        <v/>
      </c>
      <c r="L418" s="45">
        <f>'YOLO11n-seg'!AG418</f>
        <v/>
      </c>
      <c r="M418" s="45">
        <f>'U-Net'!AI418</f>
        <v/>
      </c>
      <c r="N418" s="45">
        <f>'DeepLabV3+'!AI418</f>
        <v/>
      </c>
      <c r="O418" s="45">
        <f>'YOLO11n-seg'!AI418</f>
        <v/>
      </c>
    </row>
    <row r="419" ht="15" customHeight="1" s="30">
      <c r="A419" s="73">
        <f>'U-Net'!A419</f>
        <v/>
      </c>
      <c r="B419" s="45">
        <f>'U-Net'!AH419</f>
        <v/>
      </c>
      <c r="C419" s="45">
        <f>'DeepLabV3+'!AH419</f>
        <v/>
      </c>
      <c r="D419" s="45">
        <f>'YOLO11n-seg'!AH419</f>
        <v/>
      </c>
      <c r="E419" s="46">
        <f>INDEX($B$4:$D$4,MATCH(MAX(B419:D419),B419:D419,0))</f>
        <v/>
      </c>
      <c r="F419" s="45">
        <f>MAX(B419:D419)-MIN(B419:D419)</f>
        <v/>
      </c>
      <c r="G419" s="45">
        <f>'U-Net'!AF419</f>
        <v/>
      </c>
      <c r="H419" s="45">
        <f>'DeepLabV3+'!AF419</f>
        <v/>
      </c>
      <c r="I419" s="45">
        <f>'YOLO11n-seg'!AF419</f>
        <v/>
      </c>
      <c r="J419" s="45">
        <f>'U-Net'!AG419</f>
        <v/>
      </c>
      <c r="K419" s="45">
        <f>'DeepLabV3+'!AG419</f>
        <v/>
      </c>
      <c r="L419" s="45">
        <f>'YOLO11n-seg'!AG419</f>
        <v/>
      </c>
      <c r="M419" s="45">
        <f>'U-Net'!AI419</f>
        <v/>
      </c>
      <c r="N419" s="45">
        <f>'DeepLabV3+'!AI419</f>
        <v/>
      </c>
      <c r="O419" s="45">
        <f>'YOLO11n-seg'!AI419</f>
        <v/>
      </c>
    </row>
    <row r="420" ht="15" customHeight="1" s="30">
      <c r="A420" s="73">
        <f>'U-Net'!A420</f>
        <v/>
      </c>
      <c r="B420" s="45">
        <f>'U-Net'!AH420</f>
        <v/>
      </c>
      <c r="C420" s="45">
        <f>'DeepLabV3+'!AH420</f>
        <v/>
      </c>
      <c r="D420" s="45">
        <f>'YOLO11n-seg'!AH420</f>
        <v/>
      </c>
      <c r="E420" s="46">
        <f>INDEX($B$4:$D$4,MATCH(MAX(B420:D420),B420:D420,0))</f>
        <v/>
      </c>
      <c r="F420" s="45">
        <f>MAX(B420:D420)-MIN(B420:D420)</f>
        <v/>
      </c>
      <c r="G420" s="45">
        <f>'U-Net'!AF420</f>
        <v/>
      </c>
      <c r="H420" s="45">
        <f>'DeepLabV3+'!AF420</f>
        <v/>
      </c>
      <c r="I420" s="45">
        <f>'YOLO11n-seg'!AF420</f>
        <v/>
      </c>
      <c r="J420" s="45">
        <f>'U-Net'!AG420</f>
        <v/>
      </c>
      <c r="K420" s="45">
        <f>'DeepLabV3+'!AG420</f>
        <v/>
      </c>
      <c r="L420" s="45">
        <f>'YOLO11n-seg'!AG420</f>
        <v/>
      </c>
      <c r="M420" s="45">
        <f>'U-Net'!AI420</f>
        <v/>
      </c>
      <c r="N420" s="45">
        <f>'DeepLabV3+'!AI420</f>
        <v/>
      </c>
      <c r="O420" s="45">
        <f>'YOLO11n-seg'!AI420</f>
        <v/>
      </c>
    </row>
    <row r="421" ht="15" customHeight="1" s="30">
      <c r="A421" s="73">
        <f>'U-Net'!A421</f>
        <v/>
      </c>
      <c r="B421" s="45">
        <f>'U-Net'!AH421</f>
        <v/>
      </c>
      <c r="C421" s="45">
        <f>'DeepLabV3+'!AH421</f>
        <v/>
      </c>
      <c r="D421" s="45">
        <f>'YOLO11n-seg'!AH421</f>
        <v/>
      </c>
      <c r="E421" s="46">
        <f>INDEX($B$4:$D$4,MATCH(MAX(B421:D421),B421:D421,0))</f>
        <v/>
      </c>
      <c r="F421" s="45">
        <f>MAX(B421:D421)-MIN(B421:D421)</f>
        <v/>
      </c>
      <c r="G421" s="45">
        <f>'U-Net'!AF421</f>
        <v/>
      </c>
      <c r="H421" s="45">
        <f>'DeepLabV3+'!AF421</f>
        <v/>
      </c>
      <c r="I421" s="45">
        <f>'YOLO11n-seg'!AF421</f>
        <v/>
      </c>
      <c r="J421" s="45">
        <f>'U-Net'!AG421</f>
        <v/>
      </c>
      <c r="K421" s="45">
        <f>'DeepLabV3+'!AG421</f>
        <v/>
      </c>
      <c r="L421" s="45">
        <f>'YOLO11n-seg'!AG421</f>
        <v/>
      </c>
      <c r="M421" s="45">
        <f>'U-Net'!AI421</f>
        <v/>
      </c>
      <c r="N421" s="45">
        <f>'DeepLabV3+'!AI421</f>
        <v/>
      </c>
      <c r="O421" s="45">
        <f>'YOLO11n-seg'!AI421</f>
        <v/>
      </c>
    </row>
    <row r="422" ht="15" customHeight="1" s="30">
      <c r="A422" s="73">
        <f>'U-Net'!A422</f>
        <v/>
      </c>
      <c r="B422" s="45">
        <f>'U-Net'!AH422</f>
        <v/>
      </c>
      <c r="C422" s="45">
        <f>'DeepLabV3+'!AH422</f>
        <v/>
      </c>
      <c r="D422" s="45">
        <f>'YOLO11n-seg'!AH422</f>
        <v/>
      </c>
      <c r="E422" s="46">
        <f>INDEX($B$4:$D$4,MATCH(MAX(B422:D422),B422:D422,0))</f>
        <v/>
      </c>
      <c r="F422" s="45">
        <f>MAX(B422:D422)-MIN(B422:D422)</f>
        <v/>
      </c>
      <c r="G422" s="45">
        <f>'U-Net'!AF422</f>
        <v/>
      </c>
      <c r="H422" s="45">
        <f>'DeepLabV3+'!AF422</f>
        <v/>
      </c>
      <c r="I422" s="45">
        <f>'YOLO11n-seg'!AF422</f>
        <v/>
      </c>
      <c r="J422" s="45">
        <f>'U-Net'!AG422</f>
        <v/>
      </c>
      <c r="K422" s="45">
        <f>'DeepLabV3+'!AG422</f>
        <v/>
      </c>
      <c r="L422" s="45">
        <f>'YOLO11n-seg'!AG422</f>
        <v/>
      </c>
      <c r="M422" s="45">
        <f>'U-Net'!AI422</f>
        <v/>
      </c>
      <c r="N422" s="45">
        <f>'DeepLabV3+'!AI422</f>
        <v/>
      </c>
      <c r="O422" s="45">
        <f>'YOLO11n-seg'!AI422</f>
        <v/>
      </c>
    </row>
    <row r="423" ht="15" customHeight="1" s="30">
      <c r="A423" s="73">
        <f>'U-Net'!A423</f>
        <v/>
      </c>
      <c r="B423" s="45">
        <f>'U-Net'!AH423</f>
        <v/>
      </c>
      <c r="C423" s="45">
        <f>'DeepLabV3+'!AH423</f>
        <v/>
      </c>
      <c r="D423" s="45">
        <f>'YOLO11n-seg'!AH423</f>
        <v/>
      </c>
      <c r="E423" s="46">
        <f>INDEX($B$4:$D$4,MATCH(MAX(B423:D423),B423:D423,0))</f>
        <v/>
      </c>
      <c r="F423" s="45">
        <f>MAX(B423:D423)-MIN(B423:D423)</f>
        <v/>
      </c>
      <c r="G423" s="45">
        <f>'U-Net'!AF423</f>
        <v/>
      </c>
      <c r="H423" s="45">
        <f>'DeepLabV3+'!AF423</f>
        <v/>
      </c>
      <c r="I423" s="45">
        <f>'YOLO11n-seg'!AF423</f>
        <v/>
      </c>
      <c r="J423" s="45">
        <f>'U-Net'!AG423</f>
        <v/>
      </c>
      <c r="K423" s="45">
        <f>'DeepLabV3+'!AG423</f>
        <v/>
      </c>
      <c r="L423" s="45">
        <f>'YOLO11n-seg'!AG423</f>
        <v/>
      </c>
      <c r="M423" s="45">
        <f>'U-Net'!AI423</f>
        <v/>
      </c>
      <c r="N423" s="45">
        <f>'DeepLabV3+'!AI423</f>
        <v/>
      </c>
      <c r="O423" s="45">
        <f>'YOLO11n-seg'!AI423</f>
        <v/>
      </c>
    </row>
    <row r="424" ht="15" customHeight="1" s="30">
      <c r="A424" s="73">
        <f>'U-Net'!A424</f>
        <v/>
      </c>
      <c r="B424" s="45">
        <f>'U-Net'!AH424</f>
        <v/>
      </c>
      <c r="C424" s="45">
        <f>'DeepLabV3+'!AH424</f>
        <v/>
      </c>
      <c r="D424" s="45">
        <f>'YOLO11n-seg'!AH424</f>
        <v/>
      </c>
      <c r="E424" s="46">
        <f>INDEX($B$4:$D$4,MATCH(MAX(B424:D424),B424:D424,0))</f>
        <v/>
      </c>
      <c r="F424" s="45">
        <f>MAX(B424:D424)-MIN(B424:D424)</f>
        <v/>
      </c>
      <c r="G424" s="45">
        <f>'U-Net'!AF424</f>
        <v/>
      </c>
      <c r="H424" s="45">
        <f>'DeepLabV3+'!AF424</f>
        <v/>
      </c>
      <c r="I424" s="45">
        <f>'YOLO11n-seg'!AF424</f>
        <v/>
      </c>
      <c r="J424" s="45">
        <f>'U-Net'!AG424</f>
        <v/>
      </c>
      <c r="K424" s="45">
        <f>'DeepLabV3+'!AG424</f>
        <v/>
      </c>
      <c r="L424" s="45">
        <f>'YOLO11n-seg'!AG424</f>
        <v/>
      </c>
      <c r="M424" s="45">
        <f>'U-Net'!AI424</f>
        <v/>
      </c>
      <c r="N424" s="45">
        <f>'DeepLabV3+'!AI424</f>
        <v/>
      </c>
      <c r="O424" s="45">
        <f>'YOLO11n-seg'!AI424</f>
        <v/>
      </c>
    </row>
    <row r="425" ht="15" customHeight="1" s="30">
      <c r="A425" s="73">
        <f>'U-Net'!A425</f>
        <v/>
      </c>
      <c r="B425" s="45">
        <f>'U-Net'!AH425</f>
        <v/>
      </c>
      <c r="C425" s="45">
        <f>'DeepLabV3+'!AH425</f>
        <v/>
      </c>
      <c r="D425" s="45">
        <f>'YOLO11n-seg'!AH425</f>
        <v/>
      </c>
      <c r="E425" s="46">
        <f>INDEX($B$4:$D$4,MATCH(MAX(B425:D425),B425:D425,0))</f>
        <v/>
      </c>
      <c r="F425" s="45">
        <f>MAX(B425:D425)-MIN(B425:D425)</f>
        <v/>
      </c>
      <c r="G425" s="45">
        <f>'U-Net'!AF425</f>
        <v/>
      </c>
      <c r="H425" s="45">
        <f>'DeepLabV3+'!AF425</f>
        <v/>
      </c>
      <c r="I425" s="45">
        <f>'YOLO11n-seg'!AF425</f>
        <v/>
      </c>
      <c r="J425" s="45">
        <f>'U-Net'!AG425</f>
        <v/>
      </c>
      <c r="K425" s="45">
        <f>'DeepLabV3+'!AG425</f>
        <v/>
      </c>
      <c r="L425" s="45">
        <f>'YOLO11n-seg'!AG425</f>
        <v/>
      </c>
      <c r="M425" s="45">
        <f>'U-Net'!AI425</f>
        <v/>
      </c>
      <c r="N425" s="45">
        <f>'DeepLabV3+'!AI425</f>
        <v/>
      </c>
      <c r="O425" s="45">
        <f>'YOLO11n-seg'!AI425</f>
        <v/>
      </c>
    </row>
    <row r="426" ht="15" customHeight="1" s="30">
      <c r="A426" s="73">
        <f>'U-Net'!A426</f>
        <v/>
      </c>
      <c r="B426" s="45">
        <f>'U-Net'!AH426</f>
        <v/>
      </c>
      <c r="C426" s="45">
        <f>'DeepLabV3+'!AH426</f>
        <v/>
      </c>
      <c r="D426" s="45">
        <f>'YOLO11n-seg'!AH426</f>
        <v/>
      </c>
      <c r="E426" s="46">
        <f>INDEX($B$4:$D$4,MATCH(MAX(B426:D426),B426:D426,0))</f>
        <v/>
      </c>
      <c r="F426" s="45">
        <f>MAX(B426:D426)-MIN(B426:D426)</f>
        <v/>
      </c>
      <c r="G426" s="45">
        <f>'U-Net'!AF426</f>
        <v/>
      </c>
      <c r="H426" s="45">
        <f>'DeepLabV3+'!AF426</f>
        <v/>
      </c>
      <c r="I426" s="45">
        <f>'YOLO11n-seg'!AF426</f>
        <v/>
      </c>
      <c r="J426" s="45">
        <f>'U-Net'!AG426</f>
        <v/>
      </c>
      <c r="K426" s="45">
        <f>'DeepLabV3+'!AG426</f>
        <v/>
      </c>
      <c r="L426" s="45">
        <f>'YOLO11n-seg'!AG426</f>
        <v/>
      </c>
      <c r="M426" s="45">
        <f>'U-Net'!AI426</f>
        <v/>
      </c>
      <c r="N426" s="45">
        <f>'DeepLabV3+'!AI426</f>
        <v/>
      </c>
      <c r="O426" s="45">
        <f>'YOLO11n-seg'!AI426</f>
        <v/>
      </c>
    </row>
    <row r="427" ht="15" customHeight="1" s="30">
      <c r="A427" s="73">
        <f>'U-Net'!A427</f>
        <v/>
      </c>
      <c r="B427" s="45">
        <f>'U-Net'!AH427</f>
        <v/>
      </c>
      <c r="C427" s="45">
        <f>'DeepLabV3+'!AH427</f>
        <v/>
      </c>
      <c r="D427" s="45">
        <f>'YOLO11n-seg'!AH427</f>
        <v/>
      </c>
      <c r="E427" s="46">
        <f>INDEX($B$4:$D$4,MATCH(MAX(B427:D427),B427:D427,0))</f>
        <v/>
      </c>
      <c r="F427" s="45">
        <f>MAX(B427:D427)-MIN(B427:D427)</f>
        <v/>
      </c>
      <c r="G427" s="45">
        <f>'U-Net'!AF427</f>
        <v/>
      </c>
      <c r="H427" s="45">
        <f>'DeepLabV3+'!AF427</f>
        <v/>
      </c>
      <c r="I427" s="45">
        <f>'YOLO11n-seg'!AF427</f>
        <v/>
      </c>
      <c r="J427" s="45">
        <f>'U-Net'!AG427</f>
        <v/>
      </c>
      <c r="K427" s="45">
        <f>'DeepLabV3+'!AG427</f>
        <v/>
      </c>
      <c r="L427" s="45">
        <f>'YOLO11n-seg'!AG427</f>
        <v/>
      </c>
      <c r="M427" s="45">
        <f>'U-Net'!AI427</f>
        <v/>
      </c>
      <c r="N427" s="45">
        <f>'DeepLabV3+'!AI427</f>
        <v/>
      </c>
      <c r="O427" s="45">
        <f>'YOLO11n-seg'!AI427</f>
        <v/>
      </c>
    </row>
    <row r="428" ht="15" customHeight="1" s="30">
      <c r="A428" s="73">
        <f>'U-Net'!A428</f>
        <v/>
      </c>
      <c r="B428" s="45">
        <f>'U-Net'!AH428</f>
        <v/>
      </c>
      <c r="C428" s="45">
        <f>'DeepLabV3+'!AH428</f>
        <v/>
      </c>
      <c r="D428" s="45">
        <f>'YOLO11n-seg'!AH428</f>
        <v/>
      </c>
      <c r="E428" s="46">
        <f>INDEX($B$4:$D$4,MATCH(MAX(B428:D428),B428:D428,0))</f>
        <v/>
      </c>
      <c r="F428" s="45">
        <f>MAX(B428:D428)-MIN(B428:D428)</f>
        <v/>
      </c>
      <c r="G428" s="45">
        <f>'U-Net'!AF428</f>
        <v/>
      </c>
      <c r="H428" s="45">
        <f>'DeepLabV3+'!AF428</f>
        <v/>
      </c>
      <c r="I428" s="45">
        <f>'YOLO11n-seg'!AF428</f>
        <v/>
      </c>
      <c r="J428" s="45">
        <f>'U-Net'!AG428</f>
        <v/>
      </c>
      <c r="K428" s="45">
        <f>'DeepLabV3+'!AG428</f>
        <v/>
      </c>
      <c r="L428" s="45">
        <f>'YOLO11n-seg'!AG428</f>
        <v/>
      </c>
      <c r="M428" s="45">
        <f>'U-Net'!AI428</f>
        <v/>
      </c>
      <c r="N428" s="45">
        <f>'DeepLabV3+'!AI428</f>
        <v/>
      </c>
      <c r="O428" s="45">
        <f>'YOLO11n-seg'!AI428</f>
        <v/>
      </c>
    </row>
    <row r="429" ht="15" customHeight="1" s="30">
      <c r="A429" s="73">
        <f>'U-Net'!A429</f>
        <v/>
      </c>
      <c r="B429" s="45">
        <f>'U-Net'!AH429</f>
        <v/>
      </c>
      <c r="C429" s="45">
        <f>'DeepLabV3+'!AH429</f>
        <v/>
      </c>
      <c r="D429" s="45">
        <f>'YOLO11n-seg'!AH429</f>
        <v/>
      </c>
      <c r="E429" s="46">
        <f>INDEX($B$4:$D$4,MATCH(MAX(B429:D429),B429:D429,0))</f>
        <v/>
      </c>
      <c r="F429" s="45">
        <f>MAX(B429:D429)-MIN(B429:D429)</f>
        <v/>
      </c>
      <c r="G429" s="45">
        <f>'U-Net'!AF429</f>
        <v/>
      </c>
      <c r="H429" s="45">
        <f>'DeepLabV3+'!AF429</f>
        <v/>
      </c>
      <c r="I429" s="45">
        <f>'YOLO11n-seg'!AF429</f>
        <v/>
      </c>
      <c r="J429" s="45">
        <f>'U-Net'!AG429</f>
        <v/>
      </c>
      <c r="K429" s="45">
        <f>'DeepLabV3+'!AG429</f>
        <v/>
      </c>
      <c r="L429" s="45">
        <f>'YOLO11n-seg'!AG429</f>
        <v/>
      </c>
      <c r="M429" s="45">
        <f>'U-Net'!AI429</f>
        <v/>
      </c>
      <c r="N429" s="45">
        <f>'DeepLabV3+'!AI429</f>
        <v/>
      </c>
      <c r="O429" s="45">
        <f>'YOLO11n-seg'!AI429</f>
        <v/>
      </c>
    </row>
    <row r="430" ht="15" customHeight="1" s="30">
      <c r="A430" s="73">
        <f>'U-Net'!A430</f>
        <v/>
      </c>
      <c r="B430" s="45">
        <f>'U-Net'!AH430</f>
        <v/>
      </c>
      <c r="C430" s="45">
        <f>'DeepLabV3+'!AH430</f>
        <v/>
      </c>
      <c r="D430" s="45">
        <f>'YOLO11n-seg'!AH430</f>
        <v/>
      </c>
      <c r="E430" s="46">
        <f>INDEX($B$4:$D$4,MATCH(MAX(B430:D430),B430:D430,0))</f>
        <v/>
      </c>
      <c r="F430" s="45">
        <f>MAX(B430:D430)-MIN(B430:D430)</f>
        <v/>
      </c>
      <c r="G430" s="45">
        <f>'U-Net'!AF430</f>
        <v/>
      </c>
      <c r="H430" s="45">
        <f>'DeepLabV3+'!AF430</f>
        <v/>
      </c>
      <c r="I430" s="45">
        <f>'YOLO11n-seg'!AF430</f>
        <v/>
      </c>
      <c r="J430" s="45">
        <f>'U-Net'!AG430</f>
        <v/>
      </c>
      <c r="K430" s="45">
        <f>'DeepLabV3+'!AG430</f>
        <v/>
      </c>
      <c r="L430" s="45">
        <f>'YOLO11n-seg'!AG430</f>
        <v/>
      </c>
      <c r="M430" s="45">
        <f>'U-Net'!AI430</f>
        <v/>
      </c>
      <c r="N430" s="45">
        <f>'DeepLabV3+'!AI430</f>
        <v/>
      </c>
      <c r="O430" s="45">
        <f>'YOLO11n-seg'!AI430</f>
        <v/>
      </c>
    </row>
  </sheetData>
  <autoFilter ref="A4:O430"/>
  <mergeCells count="5">
    <mergeCell ref="B3:D3"/>
    <mergeCell ref="M3:O3"/>
    <mergeCell ref="G3:I3"/>
    <mergeCell ref="J3:L3"/>
    <mergeCell ref="E3:F3"/>
  </mergeCells>
  <conditionalFormatting sqref="B5:D430">
    <cfRule type="expression" rank="0" priority="2" equalAverage="0" aboveAverage="0" dxfId="0" text="" percent="0" bottom="0">
      <formula>B5=MAX($B5:$D5)</formula>
    </cfRule>
  </conditionalFormatting>
  <conditionalFormatting sqref="G5:I430">
    <cfRule type="expression" rank="0" priority="3" equalAverage="0" aboveAverage="0" dxfId="0" text="" percent="0" bottom="0">
      <formula>G5=MAX($G5:$I5)</formula>
    </cfRule>
  </conditionalFormatting>
  <conditionalFormatting sqref="J5:L430">
    <cfRule type="expression" rank="0" priority="4" equalAverage="0" aboveAverage="0" dxfId="0" text="" percent="0" bottom="0">
      <formula>J5=MAX($J5:$L5)</formula>
    </cfRule>
  </conditionalFormatting>
  <conditionalFormatting sqref="M5:O430">
    <cfRule type="expression" rank="0" priority="5" equalAverage="0" aboveAverage="0" dxfId="0" text="" percent="0" bottom="0">
      <formula>M5=MAX($M5:$O5)</formula>
    </cfRule>
  </conditionalFormatting>
  <conditionalFormatting sqref="E5:E430">
    <cfRule type="expression" rank="0" priority="6" equalAverage="0" aboveAverage="0" dxfId="11" text="" percent="0" bottom="0">
      <formula>E5="U-Net"</formula>
    </cfRule>
    <cfRule type="expression" rank="0" priority="7" equalAverage="0" aboveAverage="0" dxfId="12" text="" percent="0" bottom="0">
      <formula>E5="DeepLabV3+"</formula>
    </cfRule>
    <cfRule type="expression" rank="0" priority="8" equalAverage="0" aboveAverage="0" dxfId="13" text="" percent="0" bottom="0">
      <formula>E5="YOLO11n-seg"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AJ4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9" min="1" max="1"/>
    <col outlineLevel="1" width="12" customWidth="1" style="29" min="2" max="31"/>
    <col width="13" customWidth="1" style="29" min="32" max="35"/>
    <col width="15" customWidth="1" style="29" min="36" max="36"/>
  </cols>
  <sheetData>
    <row r="1" ht="17.35" customHeight="1" s="30">
      <c r="A1" s="31" t="inlineStr">
        <is>
          <t>U-Net — métricas por imagen de test (426 imágenes)</t>
        </is>
      </c>
    </row>
    <row r="2" ht="15" customHeight="1" s="30">
      <c r="A2" s="32" t="inlineStr">
        <is>
          <t>Celdas vacías: la clase no aparece ni en la referencia ni en la predicción (IoU), no se predice (precisión) o no está en la referencia (recall). Ver la hoja Léeme.</t>
        </is>
      </c>
    </row>
    <row r="3" ht="15" customHeight="1" s="30">
      <c r="A3" s="38" t="n"/>
      <c r="B3" s="41" t="inlineStr">
        <is>
          <t>IoU por clase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40" t="n"/>
      <c r="L3" s="41" t="inlineStr">
        <is>
          <t>Precisión por clase</t>
        </is>
      </c>
      <c r="M3" s="39" t="n"/>
      <c r="N3" s="39" t="n"/>
      <c r="O3" s="39" t="n"/>
      <c r="P3" s="39" t="n"/>
      <c r="Q3" s="39" t="n"/>
      <c r="R3" s="39" t="n"/>
      <c r="S3" s="39" t="n"/>
      <c r="T3" s="39" t="n"/>
      <c r="U3" s="40" t="n"/>
      <c r="V3" s="41" t="inlineStr">
        <is>
          <t>Recall por clase</t>
        </is>
      </c>
      <c r="W3" s="39" t="n"/>
      <c r="X3" s="39" t="n"/>
      <c r="Y3" s="39" t="n"/>
      <c r="Z3" s="39" t="n"/>
      <c r="AA3" s="39" t="n"/>
      <c r="AB3" s="39" t="n"/>
      <c r="AC3" s="39" t="n"/>
      <c r="AD3" s="39" t="n"/>
      <c r="AE3" s="40" t="n"/>
      <c r="AF3" s="38" t="inlineStr">
        <is>
          <t>Resumen de la imagen</t>
        </is>
      </c>
      <c r="AG3" s="39" t="n"/>
      <c r="AH3" s="39" t="n"/>
      <c r="AI3" s="39" t="n"/>
      <c r="AJ3" s="40" t="n"/>
    </row>
    <row r="4" ht="42" customHeight="1" s="30">
      <c r="A4" s="38" t="inlineStr">
        <is>
          <t>Imagen</t>
        </is>
      </c>
      <c r="B4" s="74" t="inlineStr">
        <is>
          <t>IoU
Background</t>
        </is>
      </c>
      <c r="C4" s="74" t="inlineStr">
        <is>
          <t>IoU
Building-flooded</t>
        </is>
      </c>
      <c r="D4" s="74" t="inlineStr">
        <is>
          <t>IoU
Building-non-flooded</t>
        </is>
      </c>
      <c r="E4" s="74" t="inlineStr">
        <is>
          <t>IoU
Road-flooded</t>
        </is>
      </c>
      <c r="F4" s="74" t="inlineStr">
        <is>
          <t>IoU
Road-non-flooded</t>
        </is>
      </c>
      <c r="G4" s="74" t="inlineStr">
        <is>
          <t>IoU
Water</t>
        </is>
      </c>
      <c r="H4" s="74" t="inlineStr">
        <is>
          <t>IoU
Tree</t>
        </is>
      </c>
      <c r="I4" s="74" t="inlineStr">
        <is>
          <t>IoU
Vehicle</t>
        </is>
      </c>
      <c r="J4" s="74" t="inlineStr">
        <is>
          <t>IoU
Pool</t>
        </is>
      </c>
      <c r="K4" s="74" t="inlineStr">
        <is>
          <t>IoU
Grass</t>
        </is>
      </c>
      <c r="L4" s="74" t="inlineStr">
        <is>
          <t>Precisión
Background</t>
        </is>
      </c>
      <c r="M4" s="74" t="inlineStr">
        <is>
          <t>Precisión
Building-flooded</t>
        </is>
      </c>
      <c r="N4" s="74" t="inlineStr">
        <is>
          <t>Precisión
Building-non-flooded</t>
        </is>
      </c>
      <c r="O4" s="74" t="inlineStr">
        <is>
          <t>Precisión
Road-flooded</t>
        </is>
      </c>
      <c r="P4" s="74" t="inlineStr">
        <is>
          <t>Precisión
Road-non-flooded</t>
        </is>
      </c>
      <c r="Q4" s="74" t="inlineStr">
        <is>
          <t>Precisión
Water</t>
        </is>
      </c>
      <c r="R4" s="74" t="inlineStr">
        <is>
          <t>Precisión
Tree</t>
        </is>
      </c>
      <c r="S4" s="74" t="inlineStr">
        <is>
          <t>Precisión
Vehicle</t>
        </is>
      </c>
      <c r="T4" s="74" t="inlineStr">
        <is>
          <t>Precisión
Pool</t>
        </is>
      </c>
      <c r="U4" s="74" t="inlineStr">
        <is>
          <t>Precisión
Grass</t>
        </is>
      </c>
      <c r="V4" s="74" t="inlineStr">
        <is>
          <t>Recall
Background</t>
        </is>
      </c>
      <c r="W4" s="74" t="inlineStr">
        <is>
          <t>Recall
Building-flooded</t>
        </is>
      </c>
      <c r="X4" s="74" t="inlineStr">
        <is>
          <t>Recall
Building-non-flooded</t>
        </is>
      </c>
      <c r="Y4" s="74" t="inlineStr">
        <is>
          <t>Recall
Road-flooded</t>
        </is>
      </c>
      <c r="Z4" s="74" t="inlineStr">
        <is>
          <t>Recall
Road-non-flooded</t>
        </is>
      </c>
      <c r="AA4" s="74" t="inlineStr">
        <is>
          <t>Recall
Water</t>
        </is>
      </c>
      <c r="AB4" s="74" t="inlineStr">
        <is>
          <t>Recall
Tree</t>
        </is>
      </c>
      <c r="AC4" s="74" t="inlineStr">
        <is>
          <t>Recall
Vehicle</t>
        </is>
      </c>
      <c r="AD4" s="74" t="inlineStr">
        <is>
          <t>Recall
Pool</t>
        </is>
      </c>
      <c r="AE4" s="74" t="inlineStr">
        <is>
          <t>Recall
Grass</t>
        </is>
      </c>
      <c r="AF4" s="38" t="inlineStr">
        <is>
          <t>Precisión</t>
        </is>
      </c>
      <c r="AG4" s="38" t="inlineStr">
        <is>
          <t>Recall</t>
        </is>
      </c>
      <c r="AH4" s="38" t="inlineStr">
        <is>
          <t>Mean_IoU</t>
        </is>
      </c>
      <c r="AI4" s="38" t="inlineStr">
        <is>
          <t>Pixel accuracy</t>
        </is>
      </c>
      <c r="AJ4" s="38" t="inlineStr">
        <is>
          <t>% píxeles sin predicción</t>
        </is>
      </c>
    </row>
    <row r="5" ht="15" customHeight="1" s="30">
      <c r="A5" s="73" t="inlineStr">
        <is>
          <t>6336.jpg</t>
        </is>
      </c>
      <c r="B5" s="45" t="n"/>
      <c r="C5" s="45" t="n"/>
      <c r="D5" s="45" t="n"/>
      <c r="E5" s="45" t="n"/>
      <c r="F5" s="45" t="n">
        <v>0.941048458018453</v>
      </c>
      <c r="G5" s="45" t="n">
        <v>0.869954648526077</v>
      </c>
      <c r="H5" s="45" t="n"/>
      <c r="I5" s="45" t="n">
        <v>0.788018433179724</v>
      </c>
      <c r="J5" s="45" t="n"/>
      <c r="K5" s="45" t="n">
        <v>0.966608929420314</v>
      </c>
      <c r="L5" s="45" t="n"/>
      <c r="M5" s="45" t="n"/>
      <c r="N5" s="45" t="n"/>
      <c r="O5" s="45" t="n"/>
      <c r="P5" s="45" t="n">
        <v>0.976429830802066</v>
      </c>
      <c r="Q5" s="45" t="n">
        <v>0.890500783380723</v>
      </c>
      <c r="R5" s="45" t="n"/>
      <c r="S5" s="45" t="n">
        <v>0.822115384615385</v>
      </c>
      <c r="T5" s="45" t="n"/>
      <c r="U5" s="45" t="n">
        <v>0.984818709673828</v>
      </c>
      <c r="V5" s="45" t="n"/>
      <c r="W5" s="45" t="n"/>
      <c r="X5" s="45" t="n"/>
      <c r="Y5" s="45" t="n"/>
      <c r="Z5" s="45" t="n">
        <v>0.962922290856402</v>
      </c>
      <c r="AA5" s="45" t="n">
        <v>0.974163651367993</v>
      </c>
      <c r="AB5" s="45" t="n"/>
      <c r="AC5" s="45" t="n">
        <v>0.95</v>
      </c>
      <c r="AD5" s="45" t="n"/>
      <c r="AE5" s="45" t="n">
        <v>0.9812298237245271</v>
      </c>
      <c r="AF5" s="75">
        <f>IFERROR(AVERAGE(L5:U5),"")</f>
        <v/>
      </c>
      <c r="AG5" s="75">
        <f>IFERROR(AVERAGE(V5:AE5),"")</f>
        <v/>
      </c>
      <c r="AH5" s="75">
        <f>IFERROR(AVERAGE(B5:K5),"")</f>
        <v/>
      </c>
      <c r="AI5" s="45" t="n">
        <v>0.976161956787109</v>
      </c>
      <c r="AJ5" s="47" t="n">
        <v>0</v>
      </c>
    </row>
    <row r="6" ht="15" customHeight="1" s="30">
      <c r="A6" s="73" t="inlineStr">
        <is>
          <t>6342.jpg</t>
        </is>
      </c>
      <c r="B6" s="45" t="n"/>
      <c r="C6" s="45" t="n"/>
      <c r="D6" s="45" t="n"/>
      <c r="E6" s="45" t="n"/>
      <c r="F6" s="45" t="n">
        <v>0.944221694896762</v>
      </c>
      <c r="G6" s="45" t="n">
        <v>0.914874919444607</v>
      </c>
      <c r="H6" s="45" t="n"/>
      <c r="I6" s="45" t="n"/>
      <c r="J6" s="45" t="n"/>
      <c r="K6" s="45" t="n">
        <v>0.974777629474156</v>
      </c>
      <c r="L6" s="45" t="n"/>
      <c r="M6" s="45" t="n"/>
      <c r="N6" s="45" t="n"/>
      <c r="O6" s="45" t="n"/>
      <c r="P6" s="45" t="n">
        <v>0.973454811315449</v>
      </c>
      <c r="Q6" s="45" t="n">
        <v>0.993858392999204</v>
      </c>
      <c r="R6" s="45" t="n"/>
      <c r="S6" s="45" t="n"/>
      <c r="T6" s="45" t="n"/>
      <c r="U6" s="45" t="n">
        <v>0.980456760454403</v>
      </c>
      <c r="V6" s="45" t="n"/>
      <c r="W6" s="45" t="n"/>
      <c r="X6" s="45" t="n"/>
      <c r="Y6" s="45" t="n"/>
      <c r="Z6" s="45" t="n">
        <v>0.969176068758924</v>
      </c>
      <c r="AA6" s="45" t="n">
        <v>0.920076594491089</v>
      </c>
      <c r="AB6" s="45" t="n"/>
      <c r="AC6" s="45" t="n"/>
      <c r="AD6" s="45" t="n"/>
      <c r="AE6" s="45" t="n">
        <v>0.99409289276808</v>
      </c>
      <c r="AF6" s="75">
        <f>IFERROR(AVERAGE(L6:U6),"")</f>
        <v/>
      </c>
      <c r="AG6" s="75">
        <f>IFERROR(AVERAGE(V6:AE6),"")</f>
        <v/>
      </c>
      <c r="AH6" s="75">
        <f>IFERROR(AVERAGE(B6:K6),"")</f>
        <v/>
      </c>
      <c r="AI6" s="45" t="n">
        <v>0.981113433837891</v>
      </c>
      <c r="AJ6" s="47" t="n">
        <v>0</v>
      </c>
    </row>
    <row r="7" ht="15" customHeight="1" s="30">
      <c r="A7" s="73" t="inlineStr">
        <is>
          <t>6353.jpg</t>
        </is>
      </c>
      <c r="B7" s="45" t="n"/>
      <c r="C7" s="45" t="n"/>
      <c r="D7" s="45" t="n"/>
      <c r="E7" s="45" t="n"/>
      <c r="F7" s="45" t="n">
        <v>0.910239852398524</v>
      </c>
      <c r="G7" s="45" t="n">
        <v>0.9224413387986961</v>
      </c>
      <c r="H7" s="45" t="n">
        <v>0.758776896942242</v>
      </c>
      <c r="I7" s="45" t="n"/>
      <c r="J7" s="45" t="n"/>
      <c r="K7" s="45" t="n">
        <v>0.972722469396724</v>
      </c>
      <c r="L7" s="45" t="n"/>
      <c r="M7" s="45" t="n"/>
      <c r="N7" s="45" t="n"/>
      <c r="O7" s="45" t="n"/>
      <c r="P7" s="45" t="n">
        <v>0.946656432888804</v>
      </c>
      <c r="Q7" s="45" t="n">
        <v>0.977127423159766</v>
      </c>
      <c r="R7" s="45" t="n">
        <v>0.8375</v>
      </c>
      <c r="S7" s="45" t="n"/>
      <c r="T7" s="45" t="n"/>
      <c r="U7" s="45" t="n">
        <v>0.984806975093238</v>
      </c>
      <c r="V7" s="45" t="n"/>
      <c r="W7" s="45" t="n"/>
      <c r="X7" s="45" t="n"/>
      <c r="Y7" s="45" t="n"/>
      <c r="Z7" s="45" t="n">
        <v>0.959451575262544</v>
      </c>
      <c r="AA7" s="45" t="n">
        <v>0.942798706868114</v>
      </c>
      <c r="AB7" s="45" t="n">
        <v>0.889774236387782</v>
      </c>
      <c r="AC7" s="45" t="n"/>
      <c r="AD7" s="45" t="n"/>
      <c r="AE7" s="45" t="n">
        <v>0.987542111173498</v>
      </c>
      <c r="AF7" s="75">
        <f>IFERROR(AVERAGE(L7:U7),"")</f>
        <v/>
      </c>
      <c r="AG7" s="75">
        <f>IFERROR(AVERAGE(V7:AE7),"")</f>
        <v/>
      </c>
      <c r="AH7" s="75">
        <f>IFERROR(AVERAGE(B7:K7),"")</f>
        <v/>
      </c>
      <c r="AI7" s="45" t="n">
        <v>0.9785003662109381</v>
      </c>
      <c r="AJ7" s="47" t="n">
        <v>0</v>
      </c>
    </row>
    <row r="8" ht="15" customHeight="1" s="30">
      <c r="A8" s="73" t="inlineStr">
        <is>
          <t>6362.jpg</t>
        </is>
      </c>
      <c r="B8" s="45" t="n"/>
      <c r="C8" s="45" t="n"/>
      <c r="D8" s="45" t="n"/>
      <c r="E8" s="45" t="n"/>
      <c r="F8" s="45" t="n">
        <v>0.9449753195798</v>
      </c>
      <c r="G8" s="45" t="n">
        <v>0.972807491446065</v>
      </c>
      <c r="H8" s="45" t="n">
        <v>0.6650148662041629</v>
      </c>
      <c r="I8" s="45" t="n">
        <v>0.681647940074906</v>
      </c>
      <c r="J8" s="45" t="n"/>
      <c r="K8" s="45" t="n">
        <v>0.986461583822698</v>
      </c>
      <c r="L8" s="45" t="n"/>
      <c r="M8" s="45" t="n"/>
      <c r="N8" s="45" t="n"/>
      <c r="O8" s="45" t="n"/>
      <c r="P8" s="45" t="n">
        <v>0.973943386381425</v>
      </c>
      <c r="Q8" s="45" t="n">
        <v>0.995320042746066</v>
      </c>
      <c r="R8" s="45" t="n">
        <v>0.707060063224447</v>
      </c>
      <c r="S8" s="45" t="n">
        <v>0.692015209125475</v>
      </c>
      <c r="T8" s="45" t="n"/>
      <c r="U8" s="45" t="n">
        <v>0.992867812169234</v>
      </c>
      <c r="V8" s="45" t="n"/>
      <c r="W8" s="45" t="n"/>
      <c r="X8" s="45" t="n"/>
      <c r="Y8" s="45" t="n"/>
      <c r="Z8" s="45" t="n">
        <v>0.969485473137478</v>
      </c>
      <c r="AA8" s="45" t="n">
        <v>0.977277661191114</v>
      </c>
      <c r="AB8" s="45" t="n">
        <v>0.917920656634747</v>
      </c>
      <c r="AC8" s="45" t="n">
        <v>0.978494623655914</v>
      </c>
      <c r="AD8" s="45" t="n"/>
      <c r="AE8" s="45" t="n">
        <v>0.993501704998194</v>
      </c>
      <c r="AF8" s="75">
        <f>IFERROR(AVERAGE(L8:U8),"")</f>
        <v/>
      </c>
      <c r="AG8" s="75">
        <f>IFERROR(AVERAGE(V8:AE8),"")</f>
        <v/>
      </c>
      <c r="AH8" s="75">
        <f>IFERROR(AVERAGE(B8:K8),"")</f>
        <v/>
      </c>
      <c r="AI8" s="45" t="n">
        <v>0.988536834716797</v>
      </c>
      <c r="AJ8" s="47" t="n">
        <v>0</v>
      </c>
    </row>
    <row r="9" ht="15" customHeight="1" s="30">
      <c r="A9" s="73" t="inlineStr">
        <is>
          <t>6371.jpg</t>
        </is>
      </c>
      <c r="B9" s="45" t="n"/>
      <c r="C9" s="45" t="n"/>
      <c r="D9" s="45" t="n"/>
      <c r="E9" s="45" t="n"/>
      <c r="F9" s="45" t="n">
        <v>0.951115963124697</v>
      </c>
      <c r="G9" s="45" t="n">
        <v>0.958780081010245</v>
      </c>
      <c r="H9" s="45" t="n">
        <v>0</v>
      </c>
      <c r="I9" s="45" t="n"/>
      <c r="J9" s="45" t="n"/>
      <c r="K9" s="45" t="n">
        <v>0.98612536053737</v>
      </c>
      <c r="L9" s="45" t="n"/>
      <c r="M9" s="45" t="n"/>
      <c r="N9" s="45" t="n"/>
      <c r="O9" s="45" t="n"/>
      <c r="P9" s="45" t="n">
        <v>0.987003178399471</v>
      </c>
      <c r="Q9" s="45" t="n">
        <v>0.989062307975913</v>
      </c>
      <c r="R9" s="45" t="n">
        <v>0</v>
      </c>
      <c r="S9" s="45" t="n"/>
      <c r="T9" s="45" t="n"/>
      <c r="U9" s="45" t="n">
        <v>0.990424761469629</v>
      </c>
      <c r="V9" s="45" t="n"/>
      <c r="W9" s="45" t="n"/>
      <c r="X9" s="45" t="n"/>
      <c r="Y9" s="45" t="n"/>
      <c r="Z9" s="45" t="n">
        <v>0.963179068267666</v>
      </c>
      <c r="AA9" s="45" t="n">
        <v>0.969054786273329</v>
      </c>
      <c r="AB9" s="45" t="n"/>
      <c r="AC9" s="45" t="n"/>
      <c r="AD9" s="45" t="n"/>
      <c r="AE9" s="45" t="n">
        <v>0.995617249567588</v>
      </c>
      <c r="AF9" s="75">
        <f>IFERROR(AVERAGE(L9:U9),"")</f>
        <v/>
      </c>
      <c r="AG9" s="75">
        <f>IFERROR(AVERAGE(V9:AE9),"")</f>
        <v/>
      </c>
      <c r="AH9" s="75">
        <f>IFERROR(AVERAGE(B9:K9),"")</f>
        <v/>
      </c>
      <c r="AI9" s="45" t="n">
        <v>0.989063262939453</v>
      </c>
      <c r="AJ9" s="47" t="n">
        <v>0</v>
      </c>
    </row>
    <row r="10" ht="15" customHeight="1" s="30">
      <c r="A10" s="73" t="inlineStr">
        <is>
          <t>6377.jpg</t>
        </is>
      </c>
      <c r="B10" s="45" t="n"/>
      <c r="C10" s="45" t="n"/>
      <c r="D10" s="45" t="n"/>
      <c r="E10" s="45" t="n"/>
      <c r="F10" s="45" t="n">
        <v>0.95696835765803</v>
      </c>
      <c r="G10" s="45" t="n">
        <v>0.9577719355898781</v>
      </c>
      <c r="H10" s="45" t="n"/>
      <c r="I10" s="45" t="n">
        <v>0.778195488721805</v>
      </c>
      <c r="J10" s="45" t="n"/>
      <c r="K10" s="45" t="n">
        <v>0.986236850694183</v>
      </c>
      <c r="L10" s="45" t="n"/>
      <c r="M10" s="45" t="n"/>
      <c r="N10" s="45" t="n"/>
      <c r="O10" s="45" t="n"/>
      <c r="P10" s="45" t="n">
        <v>0.978351001762705</v>
      </c>
      <c r="Q10" s="45" t="n">
        <v>0.992296888964549</v>
      </c>
      <c r="R10" s="45" t="n"/>
      <c r="S10" s="45" t="n">
        <v>0.818181818181818</v>
      </c>
      <c r="T10" s="45" t="n"/>
      <c r="U10" s="45" t="n">
        <v>0.9914140776821539</v>
      </c>
      <c r="V10" s="45" t="n"/>
      <c r="W10" s="45" t="n"/>
      <c r="X10" s="45" t="n"/>
      <c r="Y10" s="45" t="n"/>
      <c r="Z10" s="45" t="n">
        <v>0.977671372218225</v>
      </c>
      <c r="AA10" s="45" t="n">
        <v>0.964946405661549</v>
      </c>
      <c r="AB10" s="45" t="n"/>
      <c r="AC10" s="45" t="n">
        <v>0.940909090909091</v>
      </c>
      <c r="AD10" s="45" t="n"/>
      <c r="AE10" s="45" t="n">
        <v>0.994732950459348</v>
      </c>
      <c r="AF10" s="75">
        <f>IFERROR(AVERAGE(L10:U10),"")</f>
        <v/>
      </c>
      <c r="AG10" s="75">
        <f>IFERROR(AVERAGE(V10:AE10),"")</f>
        <v/>
      </c>
      <c r="AH10" s="75">
        <f>IFERROR(AVERAGE(B10:K10),"")</f>
        <v/>
      </c>
      <c r="AI10" s="45" t="n">
        <v>0.98931884765625</v>
      </c>
      <c r="AJ10" s="47" t="n">
        <v>0</v>
      </c>
    </row>
    <row r="11" ht="15" customHeight="1" s="30">
      <c r="A11" s="73" t="inlineStr">
        <is>
          <t>6383.jpg</t>
        </is>
      </c>
      <c r="B11" s="45" t="n"/>
      <c r="C11" s="45" t="n"/>
      <c r="D11" s="45" t="n"/>
      <c r="E11" s="45" t="n"/>
      <c r="F11" s="45" t="n">
        <v>0.945232503522781</v>
      </c>
      <c r="G11" s="45" t="n">
        <v>0.95926267281106</v>
      </c>
      <c r="H11" s="45" t="n"/>
      <c r="I11" s="45" t="n">
        <v>0.693877551020408</v>
      </c>
      <c r="J11" s="45" t="n"/>
      <c r="K11" s="45" t="n">
        <v>0.987870856389612</v>
      </c>
      <c r="L11" s="45" t="n"/>
      <c r="M11" s="45" t="n"/>
      <c r="N11" s="45" t="n"/>
      <c r="O11" s="45" t="n"/>
      <c r="P11" s="45" t="n">
        <v>0.965488565488566</v>
      </c>
      <c r="Q11" s="45" t="n">
        <v>0.986119664598039</v>
      </c>
      <c r="R11" s="45" t="n"/>
      <c r="S11" s="45" t="n">
        <v>0.794392523364486</v>
      </c>
      <c r="T11" s="45" t="n"/>
      <c r="U11" s="45" t="n">
        <v>0.994192483154861</v>
      </c>
      <c r="V11" s="45" t="n"/>
      <c r="W11" s="45" t="n"/>
      <c r="X11" s="45" t="n"/>
      <c r="Y11" s="45" t="n"/>
      <c r="Z11" s="45" t="n">
        <v>0.978286232823438</v>
      </c>
      <c r="AA11" s="45" t="n">
        <v>0.972392208156211</v>
      </c>
      <c r="AB11" s="45" t="n"/>
      <c r="AC11" s="45" t="n">
        <v>0.845771144278607</v>
      </c>
      <c r="AD11" s="45" t="n"/>
      <c r="AE11" s="45" t="n">
        <v>0.993604540251812</v>
      </c>
      <c r="AF11" s="75">
        <f>IFERROR(AVERAGE(L11:U11),"")</f>
        <v/>
      </c>
      <c r="AG11" s="75">
        <f>IFERROR(AVERAGE(V11:AE11),"")</f>
        <v/>
      </c>
      <c r="AH11" s="75">
        <f>IFERROR(AVERAGE(B11:K11),"")</f>
        <v/>
      </c>
      <c r="AI11" s="45" t="n">
        <v>0.989955902099609</v>
      </c>
      <c r="AJ11" s="47" t="n">
        <v>0</v>
      </c>
    </row>
    <row r="12" ht="15" customHeight="1" s="30">
      <c r="A12" s="73" t="inlineStr">
        <is>
          <t>6389.jpg</t>
        </is>
      </c>
      <c r="B12" s="45" t="n"/>
      <c r="C12" s="45" t="n"/>
      <c r="D12" s="45" t="n"/>
      <c r="E12" s="45" t="n"/>
      <c r="F12" s="45" t="n">
        <v>0.947628856216114</v>
      </c>
      <c r="G12" s="45" t="n">
        <v>0.963148529687207</v>
      </c>
      <c r="H12" s="45" t="n">
        <v>0</v>
      </c>
      <c r="I12" s="45" t="n">
        <v>0</v>
      </c>
      <c r="J12" s="45" t="n"/>
      <c r="K12" s="45" t="n">
        <v>0.9858902408741</v>
      </c>
      <c r="L12" s="45" t="n"/>
      <c r="M12" s="45" t="n"/>
      <c r="N12" s="45" t="n"/>
      <c r="O12" s="45" t="n"/>
      <c r="P12" s="45" t="n">
        <v>0.99475593995427</v>
      </c>
      <c r="Q12" s="45" t="n">
        <v>0.9962704640124</v>
      </c>
      <c r="R12" s="45" t="n">
        <v>0</v>
      </c>
      <c r="S12" s="45" t="n">
        <v>0</v>
      </c>
      <c r="T12" s="45" t="n"/>
      <c r="U12" s="45" t="n">
        <v>0.987508705601433</v>
      </c>
      <c r="V12" s="45" t="n"/>
      <c r="W12" s="45" t="n"/>
      <c r="X12" s="45" t="n"/>
      <c r="Y12" s="45" t="n"/>
      <c r="Z12" s="45" t="n">
        <v>0.952386617808024</v>
      </c>
      <c r="AA12" s="45" t="n">
        <v>0.966633770383947</v>
      </c>
      <c r="AB12" s="45" t="n"/>
      <c r="AC12" s="45" t="n"/>
      <c r="AD12" s="45" t="n"/>
      <c r="AE12" s="45" t="n">
        <v>0.998340365823606</v>
      </c>
      <c r="AF12" s="75">
        <f>IFERROR(AVERAGE(L12:U12),"")</f>
        <v/>
      </c>
      <c r="AG12" s="75">
        <f>IFERROR(AVERAGE(V12:AE12),"")</f>
        <v/>
      </c>
      <c r="AH12" s="75">
        <f>IFERROR(AVERAGE(B12:K12),"")</f>
        <v/>
      </c>
      <c r="AI12" s="45" t="n">
        <v>0.988399505615234</v>
      </c>
      <c r="AJ12" s="47" t="n">
        <v>0</v>
      </c>
    </row>
    <row r="13" ht="15" customHeight="1" s="30">
      <c r="A13" s="73" t="inlineStr">
        <is>
          <t>6391.jpg</t>
        </is>
      </c>
      <c r="B13" s="45" t="n"/>
      <c r="C13" s="45" t="n"/>
      <c r="D13" s="45" t="n"/>
      <c r="E13" s="45" t="n"/>
      <c r="F13" s="45" t="n">
        <v>0.956923145705727</v>
      </c>
      <c r="G13" s="45" t="n">
        <v>0.9410732563240241</v>
      </c>
      <c r="H13" s="45" t="n"/>
      <c r="I13" s="45" t="n"/>
      <c r="J13" s="45" t="n"/>
      <c r="K13" s="45" t="n">
        <v>0.984322273270376</v>
      </c>
      <c r="L13" s="45" t="n"/>
      <c r="M13" s="45" t="n"/>
      <c r="N13" s="45" t="n"/>
      <c r="O13" s="45" t="n"/>
      <c r="P13" s="45" t="n">
        <v>0.978893208323805</v>
      </c>
      <c r="Q13" s="45" t="n">
        <v>0.99438636246588</v>
      </c>
      <c r="R13" s="45" t="n"/>
      <c r="S13" s="45" t="n"/>
      <c r="T13" s="45" t="n"/>
      <c r="U13" s="45" t="n">
        <v>0.989426976286075</v>
      </c>
      <c r="V13" s="45" t="n"/>
      <c r="W13" s="45" t="n"/>
      <c r="X13" s="45" t="n"/>
      <c r="Y13" s="45" t="n"/>
      <c r="Z13" s="45" t="n">
        <v>0.977083380886079</v>
      </c>
      <c r="AA13" s="45" t="n">
        <v>0.94609956879655</v>
      </c>
      <c r="AB13" s="45" t="n"/>
      <c r="AC13" s="45" t="n"/>
      <c r="AD13" s="45" t="n"/>
      <c r="AE13" s="45" t="n">
        <v>0.994785903751421</v>
      </c>
      <c r="AF13" s="75">
        <f>IFERROR(AVERAGE(L13:U13),"")</f>
        <v/>
      </c>
      <c r="AG13" s="75">
        <f>IFERROR(AVERAGE(V13:AE13),"")</f>
        <v/>
      </c>
      <c r="AH13" s="75">
        <f>IFERROR(AVERAGE(B13:K13),"")</f>
        <v/>
      </c>
      <c r="AI13" s="45" t="n">
        <v>0.988037109375</v>
      </c>
      <c r="AJ13" s="47" t="n">
        <v>0</v>
      </c>
    </row>
    <row r="14" ht="15" customHeight="1" s="30">
      <c r="A14" s="73" t="inlineStr">
        <is>
          <t>6394.jpg</t>
        </is>
      </c>
      <c r="B14" s="45" t="n"/>
      <c r="C14" s="45" t="n"/>
      <c r="D14" s="45" t="n"/>
      <c r="E14" s="45" t="n"/>
      <c r="F14" s="45" t="n">
        <v>0.794279551892866</v>
      </c>
      <c r="G14" s="45" t="n">
        <v>0.957668067226891</v>
      </c>
      <c r="H14" s="45" t="n"/>
      <c r="I14" s="45" t="n"/>
      <c r="J14" s="45" t="n"/>
      <c r="K14" s="45" t="n">
        <v>0.935271013354281</v>
      </c>
      <c r="L14" s="45" t="n"/>
      <c r="M14" s="45" t="n"/>
      <c r="N14" s="45" t="n"/>
      <c r="O14" s="45" t="n"/>
      <c r="P14" s="45" t="n">
        <v>0.9828317632297</v>
      </c>
      <c r="Q14" s="45" t="n">
        <v>0.987222523010287</v>
      </c>
      <c r="R14" s="45" t="n"/>
      <c r="S14" s="45" t="n"/>
      <c r="T14" s="45" t="n"/>
      <c r="U14" s="45" t="n">
        <v>0.939792797237297</v>
      </c>
      <c r="V14" s="45" t="n"/>
      <c r="W14" s="45" t="n"/>
      <c r="X14" s="45" t="n"/>
      <c r="Y14" s="45" t="n"/>
      <c r="Z14" s="45" t="n">
        <v>0.8054549015767311</v>
      </c>
      <c r="AA14" s="45" t="n">
        <v>0.969687300574346</v>
      </c>
      <c r="AB14" s="45" t="n"/>
      <c r="AC14" s="45" t="n"/>
      <c r="AD14" s="45" t="n"/>
      <c r="AE14" s="45" t="n">
        <v>0.994881865090142</v>
      </c>
      <c r="AF14" s="75">
        <f>IFERROR(AVERAGE(L14:U14),"")</f>
        <v/>
      </c>
      <c r="AG14" s="75">
        <f>IFERROR(AVERAGE(V14:AE14),"")</f>
        <v/>
      </c>
      <c r="AH14" s="75">
        <f>IFERROR(AVERAGE(B14:K14),"")</f>
        <v/>
      </c>
      <c r="AI14" s="45" t="n">
        <v>0.94970703125</v>
      </c>
      <c r="AJ14" s="47" t="n">
        <v>0</v>
      </c>
    </row>
    <row r="15" ht="15" customHeight="1" s="30">
      <c r="A15" s="73" t="inlineStr">
        <is>
          <t>6405.jpg</t>
        </is>
      </c>
      <c r="B15" s="45" t="n"/>
      <c r="C15" s="45" t="n"/>
      <c r="D15" s="45" t="n"/>
      <c r="E15" s="45" t="n"/>
      <c r="F15" s="45" t="n">
        <v>0.926518370407398</v>
      </c>
      <c r="G15" s="45" t="n">
        <v>0.9169817881514321</v>
      </c>
      <c r="H15" s="45" t="n"/>
      <c r="I15" s="45" t="n"/>
      <c r="J15" s="45" t="n"/>
      <c r="K15" s="45" t="n">
        <v>0.986358351862576</v>
      </c>
      <c r="L15" s="45" t="n"/>
      <c r="M15" s="45" t="n"/>
      <c r="N15" s="45" t="n"/>
      <c r="O15" s="45" t="n"/>
      <c r="P15" s="45" t="n">
        <v>0.932578616352201</v>
      </c>
      <c r="Q15" s="45" t="n">
        <v>0.971719404909954</v>
      </c>
      <c r="R15" s="45" t="n"/>
      <c r="S15" s="45" t="n"/>
      <c r="T15" s="45" t="n"/>
      <c r="U15" s="45" t="n">
        <v>0.993764836349223</v>
      </c>
      <c r="V15" s="45" t="n"/>
      <c r="W15" s="45" t="n"/>
      <c r="X15" s="45" t="n"/>
      <c r="Y15" s="45" t="n"/>
      <c r="Z15" s="45" t="n">
        <v>0.993035092418966</v>
      </c>
      <c r="AA15" s="45" t="n">
        <v>0.942124771133836</v>
      </c>
      <c r="AB15" s="45" t="n"/>
      <c r="AC15" s="45" t="n"/>
      <c r="AD15" s="45" t="n"/>
      <c r="AE15" s="45" t="n">
        <v>0.992500633843225</v>
      </c>
      <c r="AF15" s="75">
        <f>IFERROR(AVERAGE(L15:U15),"")</f>
        <v/>
      </c>
      <c r="AG15" s="75">
        <f>IFERROR(AVERAGE(V15:AE15),"")</f>
        <v/>
      </c>
      <c r="AH15" s="75">
        <f>IFERROR(AVERAGE(B15:K15),"")</f>
        <v/>
      </c>
      <c r="AI15" s="45" t="n">
        <v>0.988227844238281</v>
      </c>
      <c r="AJ15" s="47" t="n">
        <v>0</v>
      </c>
    </row>
    <row r="16" ht="15" customHeight="1" s="30">
      <c r="A16" s="73" t="inlineStr">
        <is>
          <t>6412.jpg</t>
        </is>
      </c>
      <c r="B16" s="45" t="n"/>
      <c r="C16" s="45" t="n">
        <v>0</v>
      </c>
      <c r="D16" s="45" t="n">
        <v>0</v>
      </c>
      <c r="E16" s="45" t="n"/>
      <c r="F16" s="45" t="n">
        <v>0.953300030275507</v>
      </c>
      <c r="G16" s="45" t="n">
        <v>0</v>
      </c>
      <c r="H16" s="45" t="n">
        <v>0.777690566037736</v>
      </c>
      <c r="I16" s="45" t="n">
        <v>0.754716981132076</v>
      </c>
      <c r="J16" s="45" t="n">
        <v>0.897671568627451</v>
      </c>
      <c r="K16" s="45" t="n">
        <v>0.9234396266770371</v>
      </c>
      <c r="L16" s="45" t="n"/>
      <c r="M16" s="45" t="n"/>
      <c r="N16" s="45" t="n">
        <v>0</v>
      </c>
      <c r="O16" s="45" t="n"/>
      <c r="P16" s="45" t="n">
        <v>0.962405440513487</v>
      </c>
      <c r="Q16" s="45" t="n">
        <v>0</v>
      </c>
      <c r="R16" s="45" t="n">
        <v>0.886171310629515</v>
      </c>
      <c r="S16" s="45" t="n">
        <v>0.918727915194346</v>
      </c>
      <c r="T16" s="45" t="n">
        <v>0.940912010276172</v>
      </c>
      <c r="U16" s="45" t="n">
        <v>0.961080917001532</v>
      </c>
      <c r="V16" s="45" t="n"/>
      <c r="W16" s="45" t="n">
        <v>0</v>
      </c>
      <c r="X16" s="45" t="n"/>
      <c r="Y16" s="45" t="n"/>
      <c r="Z16" s="45" t="n">
        <v>0.990172955974843</v>
      </c>
      <c r="AA16" s="45" t="n"/>
      <c r="AB16" s="45" t="n">
        <v>0.863999195063053</v>
      </c>
      <c r="AC16" s="45" t="n">
        <v>0.808709175738725</v>
      </c>
      <c r="AD16" s="45" t="n">
        <v>0.951298701298701</v>
      </c>
      <c r="AE16" s="45" t="n">
        <v>0.959312936898982</v>
      </c>
      <c r="AF16" s="75">
        <f>IFERROR(AVERAGE(L16:U16),"")</f>
        <v/>
      </c>
      <c r="AG16" s="75">
        <f>IFERROR(AVERAGE(V16:AE16),"")</f>
        <v/>
      </c>
      <c r="AH16" s="75">
        <f>IFERROR(AVERAGE(B16:K16),"")</f>
        <v/>
      </c>
      <c r="AI16" s="45" t="n">
        <v>0.709209442138672</v>
      </c>
      <c r="AJ16" s="47" t="n">
        <v>0</v>
      </c>
    </row>
    <row r="17" ht="15" customHeight="1" s="30">
      <c r="A17" s="73" t="inlineStr">
        <is>
          <t>6417.jpg</t>
        </is>
      </c>
      <c r="B17" s="45" t="n"/>
      <c r="C17" s="45" t="n"/>
      <c r="D17" s="45" t="n">
        <v>0.875185873605948</v>
      </c>
      <c r="E17" s="45" t="n"/>
      <c r="F17" s="45" t="n">
        <v>0.906093137434507</v>
      </c>
      <c r="G17" s="45" t="n">
        <v>0.872954764196343</v>
      </c>
      <c r="H17" s="45" t="n">
        <v>0.920358617290036</v>
      </c>
      <c r="I17" s="45" t="n">
        <v>0.8592614132015119</v>
      </c>
      <c r="J17" s="45" t="n">
        <v>0.913838120104439</v>
      </c>
      <c r="K17" s="45" t="n">
        <v>0.908444280800998</v>
      </c>
      <c r="L17" s="45" t="n"/>
      <c r="M17" s="45" t="n"/>
      <c r="N17" s="45" t="n">
        <v>0.89353828636493</v>
      </c>
      <c r="O17" s="45" t="n"/>
      <c r="P17" s="45" t="n">
        <v>0.927328633568322</v>
      </c>
      <c r="Q17" s="45" t="n">
        <v>0.888344760039177</v>
      </c>
      <c r="R17" s="45" t="n">
        <v>0.961566935977082</v>
      </c>
      <c r="S17" s="45" t="n">
        <v>0.937797524595367</v>
      </c>
      <c r="T17" s="45" t="n">
        <v>0.925925925925926</v>
      </c>
      <c r="U17" s="45" t="n">
        <v>0.964437692669883</v>
      </c>
      <c r="V17" s="45" t="n"/>
      <c r="W17" s="45" t="n"/>
      <c r="X17" s="45" t="n">
        <v>0.977069931521063</v>
      </c>
      <c r="Y17" s="45" t="n"/>
      <c r="Z17" s="45" t="n">
        <v>0.975350029579965</v>
      </c>
      <c r="AA17" s="45" t="n">
        <v>0.980540540540541</v>
      </c>
      <c r="AB17" s="45" t="n">
        <v>0.955507932446264</v>
      </c>
      <c r="AC17" s="45" t="n">
        <v>0.911193339500463</v>
      </c>
      <c r="AD17" s="45" t="n">
        <v>0.9859154929577471</v>
      </c>
      <c r="AE17" s="45" t="n">
        <v>0.939929695752307</v>
      </c>
      <c r="AF17" s="75">
        <f>IFERROR(AVERAGE(L17:U17),"")</f>
        <v/>
      </c>
      <c r="AG17" s="75">
        <f>IFERROR(AVERAGE(V17:AE17),"")</f>
        <v/>
      </c>
      <c r="AH17" s="75">
        <f>IFERROR(AVERAGE(B17:K17),"")</f>
        <v/>
      </c>
      <c r="AI17" s="45" t="n">
        <v>0.952083587646484</v>
      </c>
      <c r="AJ17" s="47" t="n">
        <v>0</v>
      </c>
    </row>
    <row r="18" ht="15" customHeight="1" s="30">
      <c r="A18" s="73" t="inlineStr">
        <is>
          <t>6419.jpg</t>
        </is>
      </c>
      <c r="B18" s="45" t="n"/>
      <c r="C18" s="45" t="n"/>
      <c r="D18" s="45" t="n">
        <v>0.905548508080084</v>
      </c>
      <c r="E18" s="45" t="n"/>
      <c r="F18" s="45" t="n">
        <v>0.913258426966292</v>
      </c>
      <c r="G18" s="45" t="n">
        <v>0.871547420965058</v>
      </c>
      <c r="H18" s="45" t="n">
        <v>0.8993376796306219</v>
      </c>
      <c r="I18" s="45" t="n">
        <v>0.855310262529833</v>
      </c>
      <c r="J18" s="45" t="n"/>
      <c r="K18" s="45" t="n">
        <v>0.938038476046775</v>
      </c>
      <c r="L18" s="45" t="n"/>
      <c r="M18" s="45" t="n"/>
      <c r="N18" s="45" t="n">
        <v>0.931413983832081</v>
      </c>
      <c r="O18" s="45" t="n"/>
      <c r="P18" s="45" t="n">
        <v>0.946069682625902</v>
      </c>
      <c r="Q18" s="45" t="n">
        <v>0.977603583426652</v>
      </c>
      <c r="R18" s="45" t="n">
        <v>0.9549744757427741</v>
      </c>
      <c r="S18" s="45" t="n">
        <v>0.922458172458172</v>
      </c>
      <c r="T18" s="45" t="n"/>
      <c r="U18" s="45" t="n">
        <v>0.971511841416438</v>
      </c>
      <c r="V18" s="45" t="n"/>
      <c r="W18" s="45" t="n"/>
      <c r="X18" s="45" t="n">
        <v>0.970245833825789</v>
      </c>
      <c r="Y18" s="45" t="n"/>
      <c r="Z18" s="45" t="n">
        <v>0.963413670485974</v>
      </c>
      <c r="AA18" s="45" t="n">
        <v>0.889303904923599</v>
      </c>
      <c r="AB18" s="45" t="n">
        <v>0.939160270880361</v>
      </c>
      <c r="AC18" s="45" t="n">
        <v>0.92156862745098</v>
      </c>
      <c r="AD18" s="45" t="n"/>
      <c r="AE18" s="45" t="n">
        <v>0.964570533109911</v>
      </c>
      <c r="AF18" s="75">
        <f>IFERROR(AVERAGE(L18:U18),"")</f>
        <v/>
      </c>
      <c r="AG18" s="75">
        <f>IFERROR(AVERAGE(V18:AE18),"")</f>
        <v/>
      </c>
      <c r="AH18" s="75">
        <f>IFERROR(AVERAGE(B18:K18),"")</f>
        <v/>
      </c>
      <c r="AI18" s="45" t="n">
        <v>0.958412170410156</v>
      </c>
      <c r="AJ18" s="47" t="n">
        <v>0</v>
      </c>
    </row>
    <row r="19" ht="15" customHeight="1" s="30">
      <c r="A19" s="73" t="inlineStr">
        <is>
          <t>6420.jpg</t>
        </is>
      </c>
      <c r="B19" s="45" t="n">
        <v>0</v>
      </c>
      <c r="C19" s="45" t="n"/>
      <c r="D19" s="45" t="n">
        <v>0.864671020346533</v>
      </c>
      <c r="E19" s="45" t="n"/>
      <c r="F19" s="45" t="n">
        <v>0.933745948975365</v>
      </c>
      <c r="G19" s="45" t="n">
        <v>0.874140024281667</v>
      </c>
      <c r="H19" s="45" t="n">
        <v>0.897335591762112</v>
      </c>
      <c r="I19" s="45" t="n">
        <v>0.89196675900277</v>
      </c>
      <c r="J19" s="45" t="n"/>
      <c r="K19" s="45" t="n">
        <v>0.945699900244284</v>
      </c>
      <c r="L19" s="45" t="n">
        <v>0</v>
      </c>
      <c r="M19" s="45" t="n"/>
      <c r="N19" s="45" t="n">
        <v>0.9094013022074</v>
      </c>
      <c r="O19" s="45" t="n"/>
      <c r="P19" s="45" t="n">
        <v>0.95399322844055</v>
      </c>
      <c r="Q19" s="45" t="n">
        <v>0.8896210873146621</v>
      </c>
      <c r="R19" s="45" t="n">
        <v>0.969555681438552</v>
      </c>
      <c r="S19" s="45" t="n">
        <v>0.933333333333333</v>
      </c>
      <c r="T19" s="45" t="n"/>
      <c r="U19" s="45" t="n">
        <v>0.967254205697575</v>
      </c>
      <c r="V19" s="45" t="n"/>
      <c r="W19" s="45" t="n"/>
      <c r="X19" s="45" t="n">
        <v>0.9461770415961011</v>
      </c>
      <c r="Y19" s="45" t="n"/>
      <c r="Z19" s="45" t="n">
        <v>0.977775509683346</v>
      </c>
      <c r="AA19" s="45" t="n">
        <v>0.980481162051748</v>
      </c>
      <c r="AB19" s="45" t="n">
        <v>0.923352514801085</v>
      </c>
      <c r="AC19" s="45" t="n">
        <v>0.952662721893491</v>
      </c>
      <c r="AD19" s="45" t="n"/>
      <c r="AE19" s="45" t="n">
        <v>0.976978942670508</v>
      </c>
      <c r="AF19" s="75">
        <f>IFERROR(AVERAGE(L19:U19),"")</f>
        <v/>
      </c>
      <c r="AG19" s="75">
        <f>IFERROR(AVERAGE(V19:AE19),"")</f>
        <v/>
      </c>
      <c r="AH19" s="75">
        <f>IFERROR(AVERAGE(B19:K19),"")</f>
        <v/>
      </c>
      <c r="AI19" s="45" t="n">
        <v>0.959400177001953</v>
      </c>
      <c r="AJ19" s="47" t="n">
        <v>0</v>
      </c>
    </row>
    <row r="20" ht="15" customHeight="1" s="30">
      <c r="A20" s="73" t="inlineStr">
        <is>
          <t>6445.jpg</t>
        </is>
      </c>
      <c r="B20" s="45" t="n"/>
      <c r="C20" s="45" t="n"/>
      <c r="D20" s="45" t="n">
        <v>0.889098777304575</v>
      </c>
      <c r="E20" s="45" t="n"/>
      <c r="F20" s="45" t="n">
        <v>0.364776951672862</v>
      </c>
      <c r="G20" s="45" t="n">
        <v>0.992432827176349</v>
      </c>
      <c r="H20" s="45" t="n">
        <v>0.660498586481624</v>
      </c>
      <c r="I20" s="45" t="n">
        <v>0.724</v>
      </c>
      <c r="J20" s="45" t="n">
        <v>0.945958429561201</v>
      </c>
      <c r="K20" s="45" t="n">
        <v>0.924013129849092</v>
      </c>
      <c r="L20" s="45" t="n"/>
      <c r="M20" s="45" t="n"/>
      <c r="N20" s="45" t="n">
        <v>0.912896286631167</v>
      </c>
      <c r="O20" s="45" t="n"/>
      <c r="P20" s="45" t="n">
        <v>0.65717873587275</v>
      </c>
      <c r="Q20" s="45" t="n">
        <v>0.99249530956848</v>
      </c>
      <c r="R20" s="45" t="n">
        <v>0.761312300970155</v>
      </c>
      <c r="S20" s="45" t="n">
        <v>0.747316267547481</v>
      </c>
      <c r="T20" s="45" t="n">
        <v>0.981312889314806</v>
      </c>
      <c r="U20" s="45" t="n">
        <v>0.9707693570900729</v>
      </c>
      <c r="V20" s="45" t="n"/>
      <c r="W20" s="45" t="n"/>
      <c r="X20" s="45" t="n">
        <v>0.971515424453952</v>
      </c>
      <c r="Y20" s="45" t="n"/>
      <c r="Z20" s="45" t="n">
        <v>0.450502152080344</v>
      </c>
      <c r="AA20" s="45" t="n">
        <v>0.99993656915231</v>
      </c>
      <c r="AB20" s="45" t="n">
        <v>0.832995705372336</v>
      </c>
      <c r="AC20" s="45" t="n">
        <v>0.958686440677966</v>
      </c>
      <c r="AD20" s="45" t="n">
        <v>0.963311382878645</v>
      </c>
      <c r="AE20" s="45" t="n">
        <v>0.950457495322732</v>
      </c>
      <c r="AF20" s="75">
        <f>IFERROR(AVERAGE(L20:U20),"")</f>
        <v/>
      </c>
      <c r="AG20" s="75">
        <f>IFERROR(AVERAGE(V20:AE20),"")</f>
        <v/>
      </c>
      <c r="AH20" s="75">
        <f>IFERROR(AVERAGE(B20:K20),"")</f>
        <v/>
      </c>
      <c r="AI20" s="45" t="n">
        <v>0.955463409423828</v>
      </c>
      <c r="AJ20" s="47" t="n">
        <v>0</v>
      </c>
    </row>
    <row r="21" ht="15" customHeight="1" s="30">
      <c r="A21" s="73" t="inlineStr">
        <is>
          <t>6449.jpg</t>
        </is>
      </c>
      <c r="B21" s="45" t="n"/>
      <c r="C21" s="45" t="n"/>
      <c r="D21" s="45" t="n">
        <v>0.868256613205582</v>
      </c>
      <c r="E21" s="45" t="n"/>
      <c r="F21" s="45" t="n"/>
      <c r="G21" s="45" t="n">
        <v>0.989395294091017</v>
      </c>
      <c r="H21" s="45" t="n">
        <v>0.886423702879399</v>
      </c>
      <c r="I21" s="45" t="n"/>
      <c r="J21" s="45" t="n">
        <v>0.6848278471433979</v>
      </c>
      <c r="K21" s="45" t="n">
        <v>0.960646161612519</v>
      </c>
      <c r="L21" s="45" t="n"/>
      <c r="M21" s="45" t="n"/>
      <c r="N21" s="45" t="n">
        <v>0.986743993371997</v>
      </c>
      <c r="O21" s="45" t="n"/>
      <c r="P21" s="45" t="n"/>
      <c r="Q21" s="45" t="n">
        <v>0.999965684087712</v>
      </c>
      <c r="R21" s="45" t="n">
        <v>0.938858195211786</v>
      </c>
      <c r="S21" s="45" t="n"/>
      <c r="T21" s="45" t="n">
        <v>0.939771547248183</v>
      </c>
      <c r="U21" s="45" t="n">
        <v>0.970932097145689</v>
      </c>
      <c r="V21" s="45" t="n"/>
      <c r="W21" s="45" t="n"/>
      <c r="X21" s="45" t="n">
        <v>0.8785036880927291</v>
      </c>
      <c r="Y21" s="45" t="n"/>
      <c r="Z21" s="45" t="n"/>
      <c r="AA21" s="45" t="n">
        <v>0.989428888335559</v>
      </c>
      <c r="AB21" s="45" t="n">
        <v>0.940729258931208</v>
      </c>
      <c r="AC21" s="45" t="n"/>
      <c r="AD21" s="45" t="n">
        <v>0.716264345073209</v>
      </c>
      <c r="AE21" s="45" t="n">
        <v>0.989092421126102</v>
      </c>
      <c r="AF21" s="75">
        <f>IFERROR(AVERAGE(L21:U21),"")</f>
        <v/>
      </c>
      <c r="AG21" s="75">
        <f>IFERROR(AVERAGE(V21:AE21),"")</f>
        <v/>
      </c>
      <c r="AH21" s="75">
        <f>IFERROR(AVERAGE(B21:K21),"")</f>
        <v/>
      </c>
      <c r="AI21" s="45" t="n">
        <v>0.977573394775391</v>
      </c>
      <c r="AJ21" s="47" t="n">
        <v>0</v>
      </c>
    </row>
    <row r="22" ht="15" customHeight="1" s="30">
      <c r="A22" s="73" t="inlineStr">
        <is>
          <t>6452.jpg</t>
        </is>
      </c>
      <c r="B22" s="45" t="n"/>
      <c r="C22" s="45" t="n"/>
      <c r="D22" s="45" t="n">
        <v>0.843401058562404</v>
      </c>
      <c r="E22" s="45" t="n"/>
      <c r="F22" s="45" t="n"/>
      <c r="G22" s="45" t="n">
        <v>0.99078458435078</v>
      </c>
      <c r="H22" s="45" t="n">
        <v>0.853387805442072</v>
      </c>
      <c r="I22" s="45" t="n">
        <v>0</v>
      </c>
      <c r="J22" s="45" t="n">
        <v>0.87478184991274</v>
      </c>
      <c r="K22" s="45" t="n">
        <v>0.949088233265114</v>
      </c>
      <c r="L22" s="45" t="n"/>
      <c r="M22" s="45" t="n"/>
      <c r="N22" s="45" t="n">
        <v>0.980391378557536</v>
      </c>
      <c r="O22" s="45" t="n"/>
      <c r="P22" s="45" t="n"/>
      <c r="Q22" s="45" t="n">
        <v>0.9999785692855</v>
      </c>
      <c r="R22" s="45" t="n">
        <v>0.903017944535073</v>
      </c>
      <c r="S22" s="45" t="n"/>
      <c r="T22" s="45" t="n">
        <v>0.905600722673893</v>
      </c>
      <c r="U22" s="45" t="n">
        <v>0.958700146338064</v>
      </c>
      <c r="V22" s="45" t="n"/>
      <c r="W22" s="45" t="n"/>
      <c r="X22" s="45" t="n">
        <v>0.857872251745337</v>
      </c>
      <c r="Y22" s="45" t="n"/>
      <c r="Z22" s="45" t="n"/>
      <c r="AA22" s="45" t="n">
        <v>0.9908056227969591</v>
      </c>
      <c r="AB22" s="45" t="n">
        <v>0.93949422946368</v>
      </c>
      <c r="AC22" s="45" t="n">
        <v>0</v>
      </c>
      <c r="AD22" s="45" t="n">
        <v>0.962554008641383</v>
      </c>
      <c r="AE22" s="45" t="n">
        <v>0.989546620633437</v>
      </c>
      <c r="AF22" s="75">
        <f>IFERROR(AVERAGE(L22:U22),"")</f>
        <v/>
      </c>
      <c r="AG22" s="75">
        <f>IFERROR(AVERAGE(V22:AE22),"")</f>
        <v/>
      </c>
      <c r="AH22" s="75">
        <f>IFERROR(AVERAGE(B22:K22),"")</f>
        <v/>
      </c>
      <c r="AI22" s="45" t="n">
        <v>0.9724273681640631</v>
      </c>
      <c r="AJ22" s="47" t="n">
        <v>0</v>
      </c>
    </row>
    <row r="23" ht="15" customHeight="1" s="30">
      <c r="A23" s="73" t="inlineStr">
        <is>
          <t>6467.jpg</t>
        </is>
      </c>
      <c r="B23" s="45" t="n"/>
      <c r="C23" s="45" t="n"/>
      <c r="D23" s="45" t="n">
        <v>0.890958929566995</v>
      </c>
      <c r="E23" s="45" t="n"/>
      <c r="F23" s="45" t="n">
        <v>0.83011856308618</v>
      </c>
      <c r="G23" s="45" t="n">
        <v>0.92457588262265</v>
      </c>
      <c r="H23" s="45" t="n">
        <v>0.84928483857785</v>
      </c>
      <c r="I23" s="45" t="n">
        <v>0.835238735709482</v>
      </c>
      <c r="J23" s="45" t="n">
        <v>0.678298522669384</v>
      </c>
      <c r="K23" s="45" t="n">
        <v>0.866773162939297</v>
      </c>
      <c r="L23" s="45" t="n"/>
      <c r="M23" s="45" t="n"/>
      <c r="N23" s="45" t="n">
        <v>0.954127070998557</v>
      </c>
      <c r="O23" s="45" t="n"/>
      <c r="P23" s="45" t="n">
        <v>0.855553529089914</v>
      </c>
      <c r="Q23" s="45" t="n">
        <v>0.985340825800147</v>
      </c>
      <c r="R23" s="45" t="n">
        <v>0.930342913421076</v>
      </c>
      <c r="S23" s="45" t="n">
        <v>0.9059080962800879</v>
      </c>
      <c r="T23" s="45" t="n">
        <v>0.804410209938076</v>
      </c>
      <c r="U23" s="45" t="n">
        <v>0.923470954994147</v>
      </c>
      <c r="V23" s="45" t="n"/>
      <c r="W23" s="45" t="n"/>
      <c r="X23" s="45" t="n">
        <v>0.930831958062324</v>
      </c>
      <c r="Y23" s="45" t="n"/>
      <c r="Z23" s="45" t="n">
        <v>0.965424984564725</v>
      </c>
      <c r="AA23" s="45" t="n">
        <v>0.9374709437470941</v>
      </c>
      <c r="AB23" s="45" t="n">
        <v>0.906956445840971</v>
      </c>
      <c r="AC23" s="45" t="n">
        <v>0.914580265095729</v>
      </c>
      <c r="AD23" s="45" t="n">
        <v>0.81226170504804</v>
      </c>
      <c r="AE23" s="45" t="n">
        <v>0.93385217274498</v>
      </c>
      <c r="AF23" s="75">
        <f>IFERROR(AVERAGE(L23:U23),"")</f>
        <v/>
      </c>
      <c r="AG23" s="75">
        <f>IFERROR(AVERAGE(V23:AE23),"")</f>
        <v/>
      </c>
      <c r="AH23" s="75">
        <f>IFERROR(AVERAGE(B23:K23),"")</f>
        <v/>
      </c>
      <c r="AI23" s="45" t="n">
        <v>0.9272308349609381</v>
      </c>
      <c r="AJ23" s="47" t="n">
        <v>0</v>
      </c>
    </row>
    <row r="24" ht="15" customHeight="1" s="30">
      <c r="A24" s="73" t="inlineStr">
        <is>
          <t>6468.jpg</t>
        </is>
      </c>
      <c r="B24" s="45" t="n"/>
      <c r="C24" s="45" t="n"/>
      <c r="D24" s="45" t="n">
        <v>0.8777299454010919</v>
      </c>
      <c r="E24" s="45" t="n"/>
      <c r="F24" s="45" t="n">
        <v>0.72151570205035</v>
      </c>
      <c r="G24" s="45" t="n">
        <v>0.9734173097962679</v>
      </c>
      <c r="H24" s="45" t="n">
        <v>0.786649560393947</v>
      </c>
      <c r="I24" s="45" t="n">
        <v>0.82970488630866</v>
      </c>
      <c r="J24" s="45" t="n">
        <v>0.759112959112959</v>
      </c>
      <c r="K24" s="45" t="n">
        <v>0.898460576154568</v>
      </c>
      <c r="L24" s="45" t="n"/>
      <c r="M24" s="45" t="n"/>
      <c r="N24" s="45" t="n">
        <v>0.924587081551394</v>
      </c>
      <c r="O24" s="45" t="n"/>
      <c r="P24" s="45" t="n">
        <v>0.763107329124348</v>
      </c>
      <c r="Q24" s="45" t="n">
        <v>0.988113819185977</v>
      </c>
      <c r="R24" s="45" t="n">
        <v>0.860450718177316</v>
      </c>
      <c r="S24" s="45" t="n">
        <v>0.8674759736975221</v>
      </c>
      <c r="T24" s="45" t="n">
        <v>0.832750494146267</v>
      </c>
      <c r="U24" s="45" t="n">
        <v>0.961066670631617</v>
      </c>
      <c r="V24" s="45" t="n"/>
      <c r="W24" s="45" t="n"/>
      <c r="X24" s="45" t="n">
        <v>0.945413077488549</v>
      </c>
      <c r="Y24" s="45" t="n"/>
      <c r="Z24" s="45" t="n">
        <v>0.929765886287626</v>
      </c>
      <c r="AA24" s="45" t="n">
        <v>0.984950483200192</v>
      </c>
      <c r="AB24" s="45" t="n">
        <v>0.9016868512110729</v>
      </c>
      <c r="AC24" s="45" t="n">
        <v>0.950138504155125</v>
      </c>
      <c r="AD24" s="45" t="n">
        <v>0.895666394112837</v>
      </c>
      <c r="AE24" s="45" t="n">
        <v>0.9323971496162951</v>
      </c>
      <c r="AF24" s="75">
        <f>IFERROR(AVERAGE(L24:U24),"")</f>
        <v/>
      </c>
      <c r="AG24" s="75">
        <f>IFERROR(AVERAGE(V24:AE24),"")</f>
        <v/>
      </c>
      <c r="AH24" s="75">
        <f>IFERROR(AVERAGE(B24:K24),"")</f>
        <v/>
      </c>
      <c r="AI24" s="45" t="n">
        <v>0.938228607177734</v>
      </c>
      <c r="AJ24" s="47" t="n">
        <v>0</v>
      </c>
    </row>
    <row r="25" ht="15" customHeight="1" s="30">
      <c r="A25" s="73" t="inlineStr">
        <is>
          <t>6476.jpg</t>
        </is>
      </c>
      <c r="B25" s="45" t="n"/>
      <c r="C25" s="45" t="n"/>
      <c r="D25" s="45" t="n">
        <v>0.757364385772756</v>
      </c>
      <c r="E25" s="45" t="n"/>
      <c r="F25" s="45" t="n">
        <v>0</v>
      </c>
      <c r="G25" s="45" t="n">
        <v>0.939531296351231</v>
      </c>
      <c r="H25" s="45" t="n">
        <v>0.917685185185185</v>
      </c>
      <c r="I25" s="45" t="n">
        <v>0</v>
      </c>
      <c r="J25" s="45" t="n">
        <v>0.427254098360656</v>
      </c>
      <c r="K25" s="45" t="n">
        <v>0.898582889813039</v>
      </c>
      <c r="L25" s="45" t="n"/>
      <c r="M25" s="45" t="n"/>
      <c r="N25" s="45" t="n">
        <v>0.806111179285802</v>
      </c>
      <c r="O25" s="45" t="n"/>
      <c r="P25" s="45" t="n">
        <v>0</v>
      </c>
      <c r="Q25" s="45" t="n">
        <v>0.9749187352245861</v>
      </c>
      <c r="R25" s="45" t="n">
        <v>0.936737972968716</v>
      </c>
      <c r="S25" s="45" t="n">
        <v>0</v>
      </c>
      <c r="T25" s="45" t="n">
        <v>0.523212045169385</v>
      </c>
      <c r="U25" s="45" t="n">
        <v>0.965309444997415</v>
      </c>
      <c r="V25" s="45" t="n"/>
      <c r="W25" s="45" t="n"/>
      <c r="X25" s="45" t="n">
        <v>0.926059068160993</v>
      </c>
      <c r="Y25" s="45" t="n"/>
      <c r="Z25" s="45" t="n"/>
      <c r="AA25" s="45" t="n">
        <v>0.9628030837325811</v>
      </c>
      <c r="AB25" s="45" t="n">
        <v>0.9783166622795469</v>
      </c>
      <c r="AC25" s="45" t="n"/>
      <c r="AD25" s="45" t="n">
        <v>0.699664429530201</v>
      </c>
      <c r="AE25" s="45" t="n">
        <v>0.928568777786849</v>
      </c>
      <c r="AF25" s="75">
        <f>IFERROR(AVERAGE(L25:U25),"")</f>
        <v/>
      </c>
      <c r="AG25" s="75">
        <f>IFERROR(AVERAGE(V25:AE25),"")</f>
        <v/>
      </c>
      <c r="AH25" s="75">
        <f>IFERROR(AVERAGE(B25:K25),"")</f>
        <v/>
      </c>
      <c r="AI25" s="45" t="n">
        <v>0.944419860839844</v>
      </c>
      <c r="AJ25" s="47" t="n">
        <v>0</v>
      </c>
    </row>
    <row r="26" ht="15" customHeight="1" s="30">
      <c r="A26" s="73" t="inlineStr">
        <is>
          <t>6488.jpg</t>
        </is>
      </c>
      <c r="B26" s="45" t="n"/>
      <c r="C26" s="45" t="n"/>
      <c r="D26" s="45" t="n">
        <v>0.6631321370309951</v>
      </c>
      <c r="E26" s="45" t="n"/>
      <c r="F26" s="45" t="n"/>
      <c r="G26" s="45" t="n">
        <v>0.99065785997358</v>
      </c>
      <c r="H26" s="45" t="n">
        <v>0.900181488203267</v>
      </c>
      <c r="I26" s="45" t="n"/>
      <c r="J26" s="45" t="n"/>
      <c r="K26" s="45" t="n">
        <v>0.971764964637474</v>
      </c>
      <c r="L26" s="45" t="n"/>
      <c r="M26" s="45" t="n"/>
      <c r="N26" s="45" t="n">
        <v>0.756748371082842</v>
      </c>
      <c r="O26" s="45" t="n"/>
      <c r="P26" s="45" t="n"/>
      <c r="Q26" s="45" t="n">
        <v>0.997244680851064</v>
      </c>
      <c r="R26" s="45" t="n">
        <v>0.936926975351302</v>
      </c>
      <c r="S26" s="45" t="n"/>
      <c r="T26" s="45" t="n"/>
      <c r="U26" s="45" t="n">
        <v>0.987215115629539</v>
      </c>
      <c r="V26" s="45" t="n"/>
      <c r="W26" s="45" t="n"/>
      <c r="X26" s="45" t="n">
        <v>0.842778161713891</v>
      </c>
      <c r="Y26" s="45" t="n"/>
      <c r="Z26" s="45" t="n"/>
      <c r="AA26" s="45" t="n">
        <v>0.993376851832228</v>
      </c>
      <c r="AB26" s="45" t="n">
        <v>0.958250871736877</v>
      </c>
      <c r="AC26" s="45" t="n"/>
      <c r="AD26" s="45" t="n"/>
      <c r="AE26" s="45" t="n">
        <v>0.984150297225432</v>
      </c>
      <c r="AF26" s="75">
        <f>IFERROR(AVERAGE(L26:U26),"")</f>
        <v/>
      </c>
      <c r="AG26" s="75">
        <f>IFERROR(AVERAGE(V26:AE26),"")</f>
        <v/>
      </c>
      <c r="AH26" s="75">
        <f>IFERROR(AVERAGE(B26:K26),"")</f>
        <v/>
      </c>
      <c r="AI26" s="45" t="n">
        <v>0.983814239501953</v>
      </c>
      <c r="AJ26" s="47" t="n">
        <v>0</v>
      </c>
    </row>
    <row r="27" ht="15" customHeight="1" s="30">
      <c r="A27" s="73" t="inlineStr">
        <is>
          <t>6514.jpg</t>
        </is>
      </c>
      <c r="B27" s="45" t="n">
        <v>0</v>
      </c>
      <c r="C27" s="45" t="n"/>
      <c r="D27" s="45" t="n">
        <v>0.77878518894243</v>
      </c>
      <c r="E27" s="45" t="n"/>
      <c r="F27" s="45" t="n"/>
      <c r="G27" s="45" t="n">
        <v>0</v>
      </c>
      <c r="H27" s="45" t="n">
        <v>0.973796196670576</v>
      </c>
      <c r="I27" s="45" t="n"/>
      <c r="J27" s="45" t="n"/>
      <c r="K27" s="45" t="n">
        <v>0.913583630218325</v>
      </c>
      <c r="L27" s="45" t="n">
        <v>0</v>
      </c>
      <c r="M27" s="45" t="n"/>
      <c r="N27" s="45" t="n">
        <v>0.832745762711864</v>
      </c>
      <c r="O27" s="45" t="n"/>
      <c r="P27" s="45" t="n"/>
      <c r="Q27" s="45" t="n">
        <v>0</v>
      </c>
      <c r="R27" s="45" t="n">
        <v>0.9853993614132101</v>
      </c>
      <c r="S27" s="45" t="n"/>
      <c r="T27" s="45" t="n"/>
      <c r="U27" s="45" t="n">
        <v>0.978188575899844</v>
      </c>
      <c r="V27" s="45" t="n"/>
      <c r="W27" s="45" t="n"/>
      <c r="X27" s="45" t="n">
        <v>0.923186771890267</v>
      </c>
      <c r="Y27" s="45" t="n"/>
      <c r="Z27" s="45" t="n"/>
      <c r="AA27" s="45" t="n"/>
      <c r="AB27" s="45" t="n">
        <v>0.988052524732133</v>
      </c>
      <c r="AC27" s="45" t="n"/>
      <c r="AD27" s="45" t="n"/>
      <c r="AE27" s="45" t="n">
        <v>0.932581126445356</v>
      </c>
      <c r="AF27" s="75">
        <f>IFERROR(AVERAGE(L27:U27),"")</f>
        <v/>
      </c>
      <c r="AG27" s="75">
        <f>IFERROR(AVERAGE(V27:AE27),"")</f>
        <v/>
      </c>
      <c r="AH27" s="75">
        <f>IFERROR(AVERAGE(B27:K27),"")</f>
        <v/>
      </c>
      <c r="AI27" s="45" t="n">
        <v>0.966606140136719</v>
      </c>
      <c r="AJ27" s="47" t="n">
        <v>0</v>
      </c>
    </row>
    <row r="28" ht="15" customHeight="1" s="30">
      <c r="A28" s="73" t="inlineStr">
        <is>
          <t>6517.jpg</t>
        </is>
      </c>
      <c r="B28" s="45" t="n">
        <v>0</v>
      </c>
      <c r="C28" s="45" t="n"/>
      <c r="D28" s="45" t="n">
        <v>0.829687682769915</v>
      </c>
      <c r="E28" s="45" t="n"/>
      <c r="F28" s="45" t="n"/>
      <c r="G28" s="45" t="n">
        <v>0.573089700996678</v>
      </c>
      <c r="H28" s="45" t="n">
        <v>0.974813265426101</v>
      </c>
      <c r="I28" s="45" t="n"/>
      <c r="J28" s="45" t="n"/>
      <c r="K28" s="45" t="n">
        <v>0.907390614373158</v>
      </c>
      <c r="L28" s="45" t="n">
        <v>0</v>
      </c>
      <c r="M28" s="45" t="n"/>
      <c r="N28" s="45" t="n">
        <v>0.93612247591395</v>
      </c>
      <c r="O28" s="45" t="n"/>
      <c r="P28" s="45" t="n"/>
      <c r="Q28" s="45" t="n">
        <v>0.6607387140902869</v>
      </c>
      <c r="R28" s="45" t="n">
        <v>0.984660294917394</v>
      </c>
      <c r="S28" s="45" t="n"/>
      <c r="T28" s="45" t="n"/>
      <c r="U28" s="45" t="n">
        <v>0.952887960109514</v>
      </c>
      <c r="V28" s="45" t="n"/>
      <c r="W28" s="45" t="n"/>
      <c r="X28" s="45" t="n">
        <v>0.879479231246125</v>
      </c>
      <c r="Y28" s="45" t="n"/>
      <c r="Z28" s="45" t="n"/>
      <c r="AA28" s="45" t="n">
        <v>0.812037659717552</v>
      </c>
      <c r="AB28" s="45" t="n">
        <v>0.989845355318307</v>
      </c>
      <c r="AC28" s="45" t="n"/>
      <c r="AD28" s="45" t="n"/>
      <c r="AE28" s="45" t="n">
        <v>0.950010549079593</v>
      </c>
      <c r="AF28" s="75">
        <f>IFERROR(AVERAGE(L28:U28),"")</f>
        <v/>
      </c>
      <c r="AG28" s="75">
        <f>IFERROR(AVERAGE(V28:AE28),"")</f>
        <v/>
      </c>
      <c r="AH28" s="75">
        <f>IFERROR(AVERAGE(B28:K28),"")</f>
        <v/>
      </c>
      <c r="AI28" s="45" t="n">
        <v>0.966117858886719</v>
      </c>
      <c r="AJ28" s="47" t="n">
        <v>0</v>
      </c>
    </row>
    <row r="29" ht="15" customHeight="1" s="30">
      <c r="A29" s="73" t="inlineStr">
        <is>
          <t>6536.jpg</t>
        </is>
      </c>
      <c r="B29" s="45" t="n"/>
      <c r="C29" s="45" t="n"/>
      <c r="D29" s="45" t="n">
        <v>0</v>
      </c>
      <c r="E29" s="45" t="n"/>
      <c r="F29" s="45" t="n">
        <v>0.873377942151057</v>
      </c>
      <c r="G29" s="45" t="n">
        <v>0.31298530058114</v>
      </c>
      <c r="H29" s="45" t="n">
        <v>0.881849993130814</v>
      </c>
      <c r="I29" s="45" t="n">
        <v>0.845564074479737</v>
      </c>
      <c r="J29" s="45" t="n"/>
      <c r="K29" s="45" t="n">
        <v>0.8141166930050741</v>
      </c>
      <c r="L29" s="45" t="n"/>
      <c r="M29" s="45" t="n"/>
      <c r="N29" s="45" t="n">
        <v>0</v>
      </c>
      <c r="O29" s="45" t="n"/>
      <c r="P29" s="45" t="n">
        <v>0.919679438116249</v>
      </c>
      <c r="Q29" s="45" t="n">
        <v>0.62175009701203</v>
      </c>
      <c r="R29" s="45" t="n">
        <v>0.919169116470261</v>
      </c>
      <c r="S29" s="45" t="n">
        <v>0.88735632183908</v>
      </c>
      <c r="T29" s="45" t="n"/>
      <c r="U29" s="45" t="n">
        <v>0.899106691774216</v>
      </c>
      <c r="V29" s="45" t="n"/>
      <c r="W29" s="45" t="n"/>
      <c r="X29" s="45" t="n"/>
      <c r="Y29" s="45" t="n"/>
      <c r="Z29" s="45" t="n">
        <v>0.945497465805735</v>
      </c>
      <c r="AA29" s="45" t="n">
        <v>0.386596694414284</v>
      </c>
      <c r="AB29" s="45" t="n">
        <v>0.955985807525516</v>
      </c>
      <c r="AC29" s="45" t="n">
        <v>0.947239263803681</v>
      </c>
      <c r="AD29" s="45" t="n"/>
      <c r="AE29" s="45" t="n">
        <v>0.895968969186585</v>
      </c>
      <c r="AF29" s="75">
        <f>IFERROR(AVERAGE(L29:U29),"")</f>
        <v/>
      </c>
      <c r="AG29" s="75">
        <f>IFERROR(AVERAGE(V29:AE29),"")</f>
        <v/>
      </c>
      <c r="AH29" s="75">
        <f>IFERROR(AVERAGE(B29:K29),"")</f>
        <v/>
      </c>
      <c r="AI29" s="45" t="n">
        <v>0.898212432861328</v>
      </c>
      <c r="AJ29" s="47" t="n">
        <v>0</v>
      </c>
    </row>
    <row r="30" ht="15" customHeight="1" s="30">
      <c r="A30" s="73" t="inlineStr">
        <is>
          <t>6545.jpg</t>
        </is>
      </c>
      <c r="B30" s="45" t="n"/>
      <c r="C30" s="45" t="n"/>
      <c r="D30" s="45" t="n">
        <v>0.942475024170158</v>
      </c>
      <c r="E30" s="45" t="n"/>
      <c r="F30" s="45" t="n"/>
      <c r="G30" s="45" t="n">
        <v>0.733182363127747</v>
      </c>
      <c r="H30" s="45" t="n">
        <v>0.9661352072253661</v>
      </c>
      <c r="I30" s="45" t="n"/>
      <c r="J30" s="45" t="n"/>
      <c r="K30" s="45" t="n">
        <v>0.9394974485209719</v>
      </c>
      <c r="L30" s="45" t="n"/>
      <c r="M30" s="45" t="n"/>
      <c r="N30" s="45" t="n">
        <v>0.949358870313261</v>
      </c>
      <c r="O30" s="45" t="n"/>
      <c r="P30" s="45" t="n"/>
      <c r="Q30" s="45" t="n">
        <v>0.841332925710792</v>
      </c>
      <c r="R30" s="45" t="n">
        <v>0.992382559774965</v>
      </c>
      <c r="S30" s="45" t="n"/>
      <c r="T30" s="45" t="n"/>
      <c r="U30" s="45" t="n">
        <v>0.947622435173174</v>
      </c>
      <c r="V30" s="45" t="n"/>
      <c r="W30" s="45" t="n"/>
      <c r="X30" s="45" t="n">
        <v>0.992365117068205</v>
      </c>
      <c r="Y30" s="45" t="n"/>
      <c r="Z30" s="45" t="n"/>
      <c r="AA30" s="45" t="n">
        <v>0.850827021177926</v>
      </c>
      <c r="AB30" s="45" t="n">
        <v>0.9733535660091051</v>
      </c>
      <c r="AC30" s="45" t="n"/>
      <c r="AD30" s="45" t="n"/>
      <c r="AE30" s="45" t="n">
        <v>0.990956298500496</v>
      </c>
      <c r="AF30" s="75">
        <f>IFERROR(AVERAGE(L30:U30),"")</f>
        <v/>
      </c>
      <c r="AG30" s="75">
        <f>IFERROR(AVERAGE(V30:AE30),"")</f>
        <v/>
      </c>
      <c r="AH30" s="75">
        <f>IFERROR(AVERAGE(B30:K30),"")</f>
        <v/>
      </c>
      <c r="AI30" s="45" t="n">
        <v>0.975360870361328</v>
      </c>
      <c r="AJ30" s="47" t="n">
        <v>0</v>
      </c>
    </row>
    <row r="31" ht="15" customHeight="1" s="30">
      <c r="A31" s="73" t="inlineStr">
        <is>
          <t>6550.jpg</t>
        </is>
      </c>
      <c r="B31" s="45" t="n"/>
      <c r="C31" s="45" t="n"/>
      <c r="D31" s="45" t="n"/>
      <c r="E31" s="45" t="n"/>
      <c r="F31" s="45" t="n">
        <v>0.755485457160087</v>
      </c>
      <c r="G31" s="45" t="n">
        <v>0.788601645123384</v>
      </c>
      <c r="H31" s="45" t="n">
        <v>0.815612727254084</v>
      </c>
      <c r="I31" s="45" t="n"/>
      <c r="J31" s="45" t="n"/>
      <c r="K31" s="45" t="n">
        <v>0.826668790823642</v>
      </c>
      <c r="L31" s="45" t="n"/>
      <c r="M31" s="45" t="n"/>
      <c r="N31" s="45" t="n"/>
      <c r="O31" s="45" t="n"/>
      <c r="P31" s="45" t="n">
        <v>0.952954944411937</v>
      </c>
      <c r="Q31" s="45" t="n">
        <v>0.920660325589903</v>
      </c>
      <c r="R31" s="45" t="n">
        <v>0.841757148602028</v>
      </c>
      <c r="S31" s="45" t="n"/>
      <c r="T31" s="45" t="n"/>
      <c r="U31" s="45" t="n">
        <v>0.92738476362167</v>
      </c>
      <c r="V31" s="45" t="n"/>
      <c r="W31" s="45" t="n"/>
      <c r="X31" s="45" t="n"/>
      <c r="Y31" s="45" t="n"/>
      <c r="Z31" s="45" t="n">
        <v>0.784754011468221</v>
      </c>
      <c r="AA31" s="45" t="n">
        <v>0.8461021222946</v>
      </c>
      <c r="AB31" s="45" t="n">
        <v>0.963315974324815</v>
      </c>
      <c r="AC31" s="45" t="n"/>
      <c r="AD31" s="45" t="n"/>
      <c r="AE31" s="45" t="n">
        <v>0.883881622798572</v>
      </c>
      <c r="AF31" s="75">
        <f>IFERROR(AVERAGE(L31:U31),"")</f>
        <v/>
      </c>
      <c r="AG31" s="75">
        <f>IFERROR(AVERAGE(V31:AE31),"")</f>
        <v/>
      </c>
      <c r="AH31" s="75">
        <f>IFERROR(AVERAGE(B31:K31),"")</f>
        <v/>
      </c>
      <c r="AI31" s="45" t="n">
        <v>0.897624969482422</v>
      </c>
      <c r="AJ31" s="47" t="n">
        <v>0</v>
      </c>
    </row>
    <row r="32" ht="15" customHeight="1" s="30">
      <c r="A32" s="73" t="inlineStr">
        <is>
          <t>6553.jpg</t>
        </is>
      </c>
      <c r="B32" s="45" t="n"/>
      <c r="C32" s="45" t="n"/>
      <c r="D32" s="45" t="n">
        <v>0.744598930481283</v>
      </c>
      <c r="E32" s="45" t="n"/>
      <c r="F32" s="45" t="n"/>
      <c r="G32" s="45" t="n">
        <v>0.827883372432614</v>
      </c>
      <c r="H32" s="45" t="n">
        <v>0.905326086169836</v>
      </c>
      <c r="I32" s="45" t="n"/>
      <c r="J32" s="45" t="n">
        <v>0.652501106684374</v>
      </c>
      <c r="K32" s="45" t="n">
        <v>0.866120001061487</v>
      </c>
      <c r="L32" s="45" t="n"/>
      <c r="M32" s="45" t="n"/>
      <c r="N32" s="45" t="n">
        <v>0.790059010440309</v>
      </c>
      <c r="O32" s="45" t="n"/>
      <c r="P32" s="45" t="n"/>
      <c r="Q32" s="45" t="n">
        <v>0.948962792229174</v>
      </c>
      <c r="R32" s="45" t="n">
        <v>0.955928317603454</v>
      </c>
      <c r="S32" s="45" t="n"/>
      <c r="T32" s="45" t="n">
        <v>0.656862745098039</v>
      </c>
      <c r="U32" s="45" t="n">
        <v>0.920097352866553</v>
      </c>
      <c r="V32" s="45" t="n"/>
      <c r="W32" s="45" t="n"/>
      <c r="X32" s="45" t="n">
        <v>0.928266666666667</v>
      </c>
      <c r="Y32" s="45" t="n"/>
      <c r="Z32" s="45" t="n"/>
      <c r="AA32" s="45" t="n">
        <v>0.866462895224733</v>
      </c>
      <c r="AB32" s="45" t="n">
        <v>0.944759142611139</v>
      </c>
      <c r="AC32" s="45" t="n"/>
      <c r="AD32" s="45" t="n">
        <v>0.989926124916051</v>
      </c>
      <c r="AE32" s="45" t="n">
        <v>0.9365638092323</v>
      </c>
      <c r="AF32" s="75">
        <f>IFERROR(AVERAGE(L32:U32),"")</f>
        <v/>
      </c>
      <c r="AG32" s="75">
        <f>IFERROR(AVERAGE(V32:AE32),"")</f>
        <v/>
      </c>
      <c r="AH32" s="75">
        <f>IFERROR(AVERAGE(B32:K32),"")</f>
        <v/>
      </c>
      <c r="AI32" s="45" t="n">
        <v>0.935550689697266</v>
      </c>
      <c r="AJ32" s="47" t="n">
        <v>0</v>
      </c>
    </row>
    <row r="33" ht="15" customHeight="1" s="30">
      <c r="A33" s="73" t="inlineStr">
        <is>
          <t>6557.jpg</t>
        </is>
      </c>
      <c r="B33" s="45" t="n"/>
      <c r="C33" s="45" t="n"/>
      <c r="D33" s="45" t="n">
        <v>0.908692209295243</v>
      </c>
      <c r="E33" s="45" t="n"/>
      <c r="F33" s="45" t="n">
        <v>0</v>
      </c>
      <c r="G33" s="45" t="n">
        <v>0.870878067484663</v>
      </c>
      <c r="H33" s="45" t="n">
        <v>0.926022739009876</v>
      </c>
      <c r="I33" s="45" t="n">
        <v>0.81135225375626</v>
      </c>
      <c r="J33" s="45" t="n">
        <v>0.85814455231931</v>
      </c>
      <c r="K33" s="45" t="n">
        <v>0.896425313376356</v>
      </c>
      <c r="L33" s="45" t="n"/>
      <c r="M33" s="45" t="n"/>
      <c r="N33" s="45" t="n">
        <v>0.9502516083827</v>
      </c>
      <c r="O33" s="45" t="n"/>
      <c r="P33" s="45" t="n">
        <v>0</v>
      </c>
      <c r="Q33" s="45" t="n">
        <v>0.934863140563902</v>
      </c>
      <c r="R33" s="45" t="n">
        <v>0.966074018815533</v>
      </c>
      <c r="S33" s="45" t="n">
        <v>0.987804878048781</v>
      </c>
      <c r="T33" s="45" t="n">
        <v>0.961910519951633</v>
      </c>
      <c r="U33" s="45" t="n">
        <v>0.947900570744648</v>
      </c>
      <c r="V33" s="45" t="n"/>
      <c r="W33" s="45" t="n"/>
      <c r="X33" s="45" t="n">
        <v>0.954080327449476</v>
      </c>
      <c r="Y33" s="45" t="n"/>
      <c r="Z33" s="45" t="n"/>
      <c r="AA33" s="45" t="n">
        <v>0.927135421981835</v>
      </c>
      <c r="AB33" s="45" t="n">
        <v>0.957148723002382</v>
      </c>
      <c r="AC33" s="45" t="n">
        <v>0.81956155143339</v>
      </c>
      <c r="AD33" s="45" t="n">
        <v>0.888330541596873</v>
      </c>
      <c r="AE33" s="45" t="n">
        <v>0.942881258051619</v>
      </c>
      <c r="AF33" s="75">
        <f>IFERROR(AVERAGE(L33:U33),"")</f>
        <v/>
      </c>
      <c r="AG33" s="75">
        <f>IFERROR(AVERAGE(V33:AE33),"")</f>
        <v/>
      </c>
      <c r="AH33" s="75">
        <f>IFERROR(AVERAGE(B33:K33),"")</f>
        <v/>
      </c>
      <c r="AI33" s="45" t="n">
        <v>0.948936462402344</v>
      </c>
      <c r="AJ33" s="47" t="n">
        <v>0</v>
      </c>
    </row>
    <row r="34" ht="15" customHeight="1" s="30">
      <c r="A34" s="73" t="inlineStr">
        <is>
          <t>6558.jpg</t>
        </is>
      </c>
      <c r="B34" s="45" t="n"/>
      <c r="C34" s="45" t="n"/>
      <c r="D34" s="45" t="n">
        <v>0.921419662093208</v>
      </c>
      <c r="E34" s="45" t="n"/>
      <c r="F34" s="45" t="n">
        <v>0</v>
      </c>
      <c r="G34" s="45" t="n">
        <v>0.834986386619992</v>
      </c>
      <c r="H34" s="45" t="n">
        <v>0.91233061136176</v>
      </c>
      <c r="I34" s="45" t="n">
        <v>0.846685082872928</v>
      </c>
      <c r="J34" s="45" t="n">
        <v>0.708890180127833</v>
      </c>
      <c r="K34" s="45" t="n">
        <v>0.848981152781357</v>
      </c>
      <c r="L34" s="45" t="n"/>
      <c r="M34" s="45" t="n"/>
      <c r="N34" s="45" t="n">
        <v>0.95797229590333</v>
      </c>
      <c r="O34" s="45" t="n"/>
      <c r="P34" s="45" t="n">
        <v>0</v>
      </c>
      <c r="Q34" s="45" t="n">
        <v>0.90351430976431</v>
      </c>
      <c r="R34" s="45" t="n">
        <v>0.943605937787503</v>
      </c>
      <c r="S34" s="45" t="n">
        <v>0.924585218702866</v>
      </c>
      <c r="T34" s="45" t="n">
        <v>0.7726409119696011</v>
      </c>
      <c r="U34" s="45" t="n">
        <v>0.958242624427596</v>
      </c>
      <c r="V34" s="45" t="n"/>
      <c r="W34" s="45" t="n"/>
      <c r="X34" s="45" t="n">
        <v>0.960236336779911</v>
      </c>
      <c r="Y34" s="45" t="n"/>
      <c r="Z34" s="45" t="n"/>
      <c r="AA34" s="45" t="n">
        <v>0.916728942030533</v>
      </c>
      <c r="AB34" s="45" t="n">
        <v>0.964944102116407</v>
      </c>
      <c r="AC34" s="45" t="n">
        <v>0.909495548961424</v>
      </c>
      <c r="AD34" s="45" t="n">
        <v>0.895741556534508</v>
      </c>
      <c r="AE34" s="45" t="n">
        <v>0.881596781573472</v>
      </c>
      <c r="AF34" s="75">
        <f>IFERROR(AVERAGE(L34:U34),"")</f>
        <v/>
      </c>
      <c r="AG34" s="75">
        <f>IFERROR(AVERAGE(V34:AE34),"")</f>
        <v/>
      </c>
      <c r="AH34" s="75">
        <f>IFERROR(AVERAGE(B34:K34),"")</f>
        <v/>
      </c>
      <c r="AI34" s="45" t="n">
        <v>0.925586700439453</v>
      </c>
      <c r="AJ34" s="47" t="n">
        <v>0</v>
      </c>
    </row>
    <row r="35" ht="15" customHeight="1" s="30">
      <c r="A35" s="73" t="inlineStr">
        <is>
          <t>6561.jpg</t>
        </is>
      </c>
      <c r="B35" s="45" t="n"/>
      <c r="C35" s="45" t="n"/>
      <c r="D35" s="45" t="n">
        <v>0.855426901850449</v>
      </c>
      <c r="E35" s="45" t="n"/>
      <c r="F35" s="45" t="n">
        <v>0.873942286830115</v>
      </c>
      <c r="G35" s="45" t="n">
        <v>0.646262971233417</v>
      </c>
      <c r="H35" s="45" t="n">
        <v>0.8925701176120709</v>
      </c>
      <c r="I35" s="45" t="n">
        <v>0.750431778929188</v>
      </c>
      <c r="J35" s="45" t="n">
        <v>0.682682682682683</v>
      </c>
      <c r="K35" s="45" t="n">
        <v>0.780313384750561</v>
      </c>
      <c r="L35" s="45" t="n"/>
      <c r="M35" s="45" t="n"/>
      <c r="N35" s="45" t="n">
        <v>0.951607078367642</v>
      </c>
      <c r="O35" s="45" t="n"/>
      <c r="P35" s="45" t="n">
        <v>0.917865100263318</v>
      </c>
      <c r="Q35" s="45" t="n">
        <v>0.741298779569082</v>
      </c>
      <c r="R35" s="45" t="n">
        <v>0.960887594712851</v>
      </c>
      <c r="S35" s="45" t="n">
        <v>0.915700737618546</v>
      </c>
      <c r="T35" s="45" t="n">
        <v>0.917900403768506</v>
      </c>
      <c r="U35" s="45" t="n">
        <v>0.85454253868976</v>
      </c>
      <c r="V35" s="45" t="n"/>
      <c r="W35" s="45" t="n"/>
      <c r="X35" s="45" t="n">
        <v>0.894331938002037</v>
      </c>
      <c r="Y35" s="45" t="n"/>
      <c r="Z35" s="45" t="n">
        <v>0.948086931506133</v>
      </c>
      <c r="AA35" s="45" t="n">
        <v>0.8344640434192671</v>
      </c>
      <c r="AB35" s="45" t="n">
        <v>0.926221196802257</v>
      </c>
      <c r="AC35" s="45" t="n">
        <v>0.806122448979592</v>
      </c>
      <c r="AD35" s="45" t="n">
        <v>0.727078891257996</v>
      </c>
      <c r="AE35" s="45" t="n">
        <v>0.899831128623698</v>
      </c>
      <c r="AF35" s="75">
        <f>IFERROR(AVERAGE(L35:U35),"")</f>
        <v/>
      </c>
      <c r="AG35" s="75">
        <f>IFERROR(AVERAGE(V35:AE35),"")</f>
        <v/>
      </c>
      <c r="AH35" s="75">
        <f>IFERROR(AVERAGE(B35:K35),"")</f>
        <v/>
      </c>
      <c r="AI35" s="45" t="n">
        <v>0.917911529541016</v>
      </c>
      <c r="AJ35" s="47" t="n">
        <v>0</v>
      </c>
    </row>
    <row r="36" ht="15" customHeight="1" s="30">
      <c r="A36" s="73" t="inlineStr">
        <is>
          <t>6562.jpg</t>
        </is>
      </c>
      <c r="B36" s="45" t="n"/>
      <c r="C36" s="45" t="n"/>
      <c r="D36" s="45" t="n">
        <v>0.914889583925694</v>
      </c>
      <c r="E36" s="45" t="n"/>
      <c r="F36" s="45" t="n">
        <v>0.894954089798669</v>
      </c>
      <c r="G36" s="45" t="n">
        <v>0.6012084592145019</v>
      </c>
      <c r="H36" s="45" t="n">
        <v>0.930478484630921</v>
      </c>
      <c r="I36" s="45" t="n">
        <v>0.581920903954802</v>
      </c>
      <c r="J36" s="45" t="n">
        <v>0.852212389380531</v>
      </c>
      <c r="K36" s="45" t="n">
        <v>0.838206740998244</v>
      </c>
      <c r="L36" s="45" t="n"/>
      <c r="M36" s="45" t="n"/>
      <c r="N36" s="45" t="n">
        <v>0.982993890020367</v>
      </c>
      <c r="O36" s="45" t="n"/>
      <c r="P36" s="45" t="n">
        <v>0.9213824205368371</v>
      </c>
      <c r="Q36" s="45" t="n">
        <v>0.642044489726609</v>
      </c>
      <c r="R36" s="45" t="n">
        <v>0.947238995600973</v>
      </c>
      <c r="S36" s="45" t="n">
        <v>0.755963302752294</v>
      </c>
      <c r="T36" s="45" t="n">
        <v>0.935860058309038</v>
      </c>
      <c r="U36" s="45" t="n">
        <v>0.9561163863986</v>
      </c>
      <c r="V36" s="45" t="n"/>
      <c r="W36" s="45" t="n"/>
      <c r="X36" s="45" t="n">
        <v>0.929603235747304</v>
      </c>
      <c r="Y36" s="45" t="n"/>
      <c r="Z36" s="45" t="n">
        <v>0.968945232340736</v>
      </c>
      <c r="AA36" s="45" t="n">
        <v>0.9043291078689309</v>
      </c>
      <c r="AB36" s="45" t="n">
        <v>0.981338768231323</v>
      </c>
      <c r="AC36" s="45" t="n">
        <v>0.716521739130435</v>
      </c>
      <c r="AD36" s="45" t="n">
        <v>0.905075187969925</v>
      </c>
      <c r="AE36" s="45" t="n">
        <v>0.871744335082586</v>
      </c>
      <c r="AF36" s="75">
        <f>IFERROR(AVERAGE(L36:U36),"")</f>
        <v/>
      </c>
      <c r="AG36" s="75">
        <f>IFERROR(AVERAGE(V36:AE36),"")</f>
        <v/>
      </c>
      <c r="AH36" s="75">
        <f>IFERROR(AVERAGE(B36:K36),"")</f>
        <v/>
      </c>
      <c r="AI36" s="45" t="n">
        <v>0.941558837890625</v>
      </c>
      <c r="AJ36" s="47" t="n">
        <v>0</v>
      </c>
    </row>
    <row r="37" ht="15" customHeight="1" s="30">
      <c r="A37" s="73" t="inlineStr">
        <is>
          <t>6567.jpg</t>
        </is>
      </c>
      <c r="B37" s="45" t="n"/>
      <c r="C37" s="45" t="n"/>
      <c r="D37" s="45" t="n">
        <v>0.8018256539951</v>
      </c>
      <c r="E37" s="45" t="n"/>
      <c r="F37" s="45" t="n">
        <v>0.92045771699693</v>
      </c>
      <c r="G37" s="45" t="n"/>
      <c r="H37" s="45" t="n">
        <v>0.964238057112357</v>
      </c>
      <c r="I37" s="45" t="n"/>
      <c r="J37" s="45" t="n"/>
      <c r="K37" s="45" t="n">
        <v>0.900950421635754</v>
      </c>
      <c r="L37" s="45" t="n"/>
      <c r="M37" s="45" t="n"/>
      <c r="N37" s="45" t="n">
        <v>0.815161497669934</v>
      </c>
      <c r="O37" s="45" t="n"/>
      <c r="P37" s="45" t="n">
        <v>0.981547619047619</v>
      </c>
      <c r="Q37" s="45" t="n"/>
      <c r="R37" s="45" t="n">
        <v>0.984985312459533</v>
      </c>
      <c r="S37" s="45" t="n"/>
      <c r="T37" s="45" t="n"/>
      <c r="U37" s="45" t="n">
        <v>0.964597505994103</v>
      </c>
      <c r="V37" s="45" t="n"/>
      <c r="W37" s="45" t="n"/>
      <c r="X37" s="45" t="n">
        <v>0.980004829751268</v>
      </c>
      <c r="Y37" s="45" t="n"/>
      <c r="Z37" s="45" t="n">
        <v>0.936665719965919</v>
      </c>
      <c r="AA37" s="45" t="n"/>
      <c r="AB37" s="45" t="n">
        <v>0.978622263453348</v>
      </c>
      <c r="AC37" s="45" t="n"/>
      <c r="AD37" s="45" t="n"/>
      <c r="AE37" s="45" t="n">
        <v>0.931760507973094</v>
      </c>
      <c r="AF37" s="75">
        <f>IFERROR(AVERAGE(L37:U37),"")</f>
        <v/>
      </c>
      <c r="AG37" s="75">
        <f>IFERROR(AVERAGE(V37:AE37),"")</f>
        <v/>
      </c>
      <c r="AH37" s="75">
        <f>IFERROR(AVERAGE(B37:K37),"")</f>
        <v/>
      </c>
      <c r="AI37" s="45" t="n">
        <v>0.9620361328125</v>
      </c>
      <c r="AJ37" s="47" t="n">
        <v>0</v>
      </c>
    </row>
    <row r="38" ht="15" customHeight="1" s="30">
      <c r="A38" s="73" t="inlineStr">
        <is>
          <t>6568.jpg</t>
        </is>
      </c>
      <c r="B38" s="45" t="n"/>
      <c r="C38" s="45" t="n"/>
      <c r="D38" s="45" t="n">
        <v>0.785693419995618</v>
      </c>
      <c r="E38" s="45" t="n"/>
      <c r="F38" s="45" t="n">
        <v>0.927721632339772</v>
      </c>
      <c r="G38" s="45" t="n"/>
      <c r="H38" s="45" t="n">
        <v>0.9324812297509411</v>
      </c>
      <c r="I38" s="45" t="n">
        <v>0.842900302114804</v>
      </c>
      <c r="J38" s="45" t="n">
        <v>0.819095477386935</v>
      </c>
      <c r="K38" s="45" t="n">
        <v>0.883399477476337</v>
      </c>
      <c r="L38" s="45" t="n"/>
      <c r="M38" s="45" t="n"/>
      <c r="N38" s="45" t="n">
        <v>0.808453879391321</v>
      </c>
      <c r="O38" s="45" t="n"/>
      <c r="P38" s="45" t="n">
        <v>0.964746574431289</v>
      </c>
      <c r="Q38" s="45" t="n"/>
      <c r="R38" s="45" t="n">
        <v>0.970200886571895</v>
      </c>
      <c r="S38" s="45" t="n">
        <v>0.8913738019169331</v>
      </c>
      <c r="T38" s="45" t="n">
        <v>1</v>
      </c>
      <c r="U38" s="45" t="n">
        <v>0.951055008369993</v>
      </c>
      <c r="V38" s="45" t="n"/>
      <c r="W38" s="45" t="n"/>
      <c r="X38" s="45" t="n">
        <v>0.965407394113424</v>
      </c>
      <c r="Y38" s="45" t="n"/>
      <c r="Z38" s="45" t="n">
        <v>0.960275423728814</v>
      </c>
      <c r="AA38" s="45" t="n"/>
      <c r="AB38" s="45" t="n">
        <v>0.959975482196732</v>
      </c>
      <c r="AC38" s="45" t="n">
        <v>0.939393939393939</v>
      </c>
      <c r="AD38" s="45" t="n">
        <v>0.819095477386935</v>
      </c>
      <c r="AE38" s="45" t="n">
        <v>0.925474485737016</v>
      </c>
      <c r="AF38" s="75">
        <f>IFERROR(AVERAGE(L38:U38),"")</f>
        <v/>
      </c>
      <c r="AG38" s="75">
        <f>IFERROR(AVERAGE(V38:AE38),"")</f>
        <v/>
      </c>
      <c r="AH38" s="75">
        <f>IFERROR(AVERAGE(B38:K38),"")</f>
        <v/>
      </c>
      <c r="AI38" s="45" t="n">
        <v>0.946098327636719</v>
      </c>
      <c r="AJ38" s="47" t="n">
        <v>0</v>
      </c>
    </row>
    <row r="39" ht="15" customHeight="1" s="30">
      <c r="A39" s="73" t="inlineStr">
        <is>
          <t>6583.jpg</t>
        </is>
      </c>
      <c r="B39" s="45" t="n">
        <v>0</v>
      </c>
      <c r="C39" s="45" t="n"/>
      <c r="D39" s="45" t="n"/>
      <c r="E39" s="45" t="n"/>
      <c r="F39" s="45" t="n"/>
      <c r="G39" s="45" t="n">
        <v>0.70644612196566</v>
      </c>
      <c r="H39" s="45" t="n">
        <v>0.930195873855746</v>
      </c>
      <c r="I39" s="45" t="n"/>
      <c r="J39" s="45" t="n"/>
      <c r="K39" s="45" t="n">
        <v>0.959052245612076</v>
      </c>
      <c r="L39" s="45" t="n">
        <v>0</v>
      </c>
      <c r="M39" s="45" t="n"/>
      <c r="N39" s="45" t="n"/>
      <c r="O39" s="45" t="n"/>
      <c r="P39" s="45" t="n"/>
      <c r="Q39" s="45" t="n">
        <v>0.995775088670979</v>
      </c>
      <c r="R39" s="45" t="n">
        <v>0.985563510027899</v>
      </c>
      <c r="S39" s="45" t="n"/>
      <c r="T39" s="45" t="n"/>
      <c r="U39" s="45" t="n">
        <v>0.966282231598687</v>
      </c>
      <c r="V39" s="45" t="n"/>
      <c r="W39" s="45" t="n"/>
      <c r="X39" s="45" t="n"/>
      <c r="Y39" s="45" t="n"/>
      <c r="Z39" s="45" t="n"/>
      <c r="AA39" s="45" t="n">
        <v>0.708569943955759</v>
      </c>
      <c r="AB39" s="45" t="n">
        <v>0.943045306872844</v>
      </c>
      <c r="AC39" s="45" t="n"/>
      <c r="AD39" s="45" t="n"/>
      <c r="AE39" s="45" t="n">
        <v>0.992258660863872</v>
      </c>
      <c r="AF39" s="75">
        <f>IFERROR(AVERAGE(L39:U39),"")</f>
        <v/>
      </c>
      <c r="AG39" s="75">
        <f>IFERROR(AVERAGE(V39:AE39),"")</f>
        <v/>
      </c>
      <c r="AH39" s="75">
        <f>IFERROR(AVERAGE(B39:K39),"")</f>
        <v/>
      </c>
      <c r="AI39" s="45" t="n">
        <v>0.948192596435547</v>
      </c>
      <c r="AJ39" s="47" t="n">
        <v>0</v>
      </c>
    </row>
    <row r="40" ht="15" customHeight="1" s="30">
      <c r="A40" s="73" t="inlineStr">
        <is>
          <t>6590.jpg</t>
        </is>
      </c>
      <c r="B40" s="45" t="n"/>
      <c r="C40" s="45" t="n"/>
      <c r="D40" s="45" t="n"/>
      <c r="E40" s="45" t="n"/>
      <c r="F40" s="45" t="n"/>
      <c r="G40" s="45" t="n">
        <v>0.847873583659367</v>
      </c>
      <c r="H40" s="45" t="n"/>
      <c r="I40" s="45" t="n"/>
      <c r="J40" s="45" t="n"/>
      <c r="K40" s="45" t="n">
        <v>0.973825239323338</v>
      </c>
      <c r="L40" s="45" t="n"/>
      <c r="M40" s="45" t="n"/>
      <c r="N40" s="45" t="n"/>
      <c r="O40" s="45" t="n"/>
      <c r="P40" s="45" t="n"/>
      <c r="Q40" s="45" t="n">
        <v>0.924871830400443</v>
      </c>
      <c r="R40" s="45" t="n"/>
      <c r="S40" s="45" t="n"/>
      <c r="T40" s="45" t="n"/>
      <c r="U40" s="45" t="n">
        <v>0.985503784410265</v>
      </c>
      <c r="V40" s="45" t="n"/>
      <c r="W40" s="45" t="n"/>
      <c r="X40" s="45" t="n"/>
      <c r="Y40" s="45" t="n"/>
      <c r="Z40" s="45" t="n"/>
      <c r="AA40" s="45" t="n">
        <v>0.91058906987531</v>
      </c>
      <c r="AB40" s="45" t="n"/>
      <c r="AC40" s="45" t="n"/>
      <c r="AD40" s="45" t="n"/>
      <c r="AE40" s="45" t="n">
        <v>0.987977453845574</v>
      </c>
      <c r="AF40" s="75">
        <f>IFERROR(AVERAGE(L40:U40),"")</f>
        <v/>
      </c>
      <c r="AG40" s="75">
        <f>IFERROR(AVERAGE(V40:AE40),"")</f>
        <v/>
      </c>
      <c r="AH40" s="75">
        <f>IFERROR(AVERAGE(B40:K40),"")</f>
        <v/>
      </c>
      <c r="AI40" s="45" t="n">
        <v>0.9771575927734381</v>
      </c>
      <c r="AJ40" s="47" t="n">
        <v>0</v>
      </c>
    </row>
    <row r="41" ht="15" customHeight="1" s="30">
      <c r="A41" s="73" t="inlineStr">
        <is>
          <t>6593.jpg</t>
        </is>
      </c>
      <c r="B41" s="45" t="n"/>
      <c r="C41" s="45" t="n"/>
      <c r="D41" s="45" t="n"/>
      <c r="E41" s="45" t="n">
        <v>0</v>
      </c>
      <c r="F41" s="45" t="n"/>
      <c r="G41" s="45" t="n">
        <v>0.841459398561401</v>
      </c>
      <c r="H41" s="45" t="n">
        <v>0.573985159319075</v>
      </c>
      <c r="I41" s="45" t="n"/>
      <c r="J41" s="45" t="n"/>
      <c r="K41" s="45" t="n">
        <v>0.981484617282637</v>
      </c>
      <c r="L41" s="45" t="n"/>
      <c r="M41" s="45" t="n"/>
      <c r="N41" s="45" t="n"/>
      <c r="O41" s="45" t="n">
        <v>0</v>
      </c>
      <c r="P41" s="45" t="n"/>
      <c r="Q41" s="45" t="n">
        <v>0.944734179185802</v>
      </c>
      <c r="R41" s="45" t="n">
        <v>0.807739557739558</v>
      </c>
      <c r="S41" s="45" t="n"/>
      <c r="T41" s="45" t="n"/>
      <c r="U41" s="45" t="n">
        <v>0.993233715874819</v>
      </c>
      <c r="V41" s="45" t="n"/>
      <c r="W41" s="45" t="n"/>
      <c r="X41" s="45" t="n"/>
      <c r="Y41" s="45" t="n"/>
      <c r="Z41" s="45" t="n"/>
      <c r="AA41" s="45" t="n">
        <v>0.885024154589372</v>
      </c>
      <c r="AB41" s="45" t="n">
        <v>0.6648129423660259</v>
      </c>
      <c r="AC41" s="45" t="n"/>
      <c r="AD41" s="45" t="n"/>
      <c r="AE41" s="45" t="n">
        <v>0.988091237196254</v>
      </c>
      <c r="AF41" s="75">
        <f>IFERROR(AVERAGE(L41:U41),"")</f>
        <v/>
      </c>
      <c r="AG41" s="75">
        <f>IFERROR(AVERAGE(V41:AE41),"")</f>
        <v/>
      </c>
      <c r="AH41" s="75">
        <f>IFERROR(AVERAGE(B41:K41),"")</f>
        <v/>
      </c>
      <c r="AI41" s="45" t="n">
        <v>0.964084625244141</v>
      </c>
      <c r="AJ41" s="47" t="n">
        <v>0</v>
      </c>
    </row>
    <row r="42" ht="15" customHeight="1" s="30">
      <c r="A42" s="73" t="inlineStr">
        <is>
          <t>6594.jpg</t>
        </is>
      </c>
      <c r="B42" s="45" t="n"/>
      <c r="C42" s="45" t="n"/>
      <c r="D42" s="45" t="n"/>
      <c r="E42" s="45" t="n"/>
      <c r="F42" s="45" t="n">
        <v>0.302835676199709</v>
      </c>
      <c r="G42" s="45" t="n"/>
      <c r="H42" s="45" t="n">
        <v>0</v>
      </c>
      <c r="I42" s="45" t="n"/>
      <c r="J42" s="45" t="n"/>
      <c r="K42" s="45" t="n">
        <v>0.968522405592251</v>
      </c>
      <c r="L42" s="45" t="n"/>
      <c r="M42" s="45" t="n"/>
      <c r="N42" s="45" t="n"/>
      <c r="O42" s="45" t="n"/>
      <c r="P42" s="45" t="n">
        <v>0.933507657825925</v>
      </c>
      <c r="Q42" s="45" t="n"/>
      <c r="R42" s="45" t="n"/>
      <c r="S42" s="45" t="n"/>
      <c r="T42" s="45" t="n"/>
      <c r="U42" s="45" t="n">
        <v>0.9691868330076659</v>
      </c>
      <c r="V42" s="45" t="n"/>
      <c r="W42" s="45" t="n"/>
      <c r="X42" s="45" t="n"/>
      <c r="Y42" s="45" t="n"/>
      <c r="Z42" s="45" t="n">
        <v>0.309512013871687</v>
      </c>
      <c r="AA42" s="45" t="n"/>
      <c r="AB42" s="45" t="n">
        <v>0</v>
      </c>
      <c r="AC42" s="45" t="n"/>
      <c r="AD42" s="45" t="n"/>
      <c r="AE42" s="45" t="n">
        <v>0.999292668388635</v>
      </c>
      <c r="AF42" s="75">
        <f>IFERROR(AVERAGE(L42:U42),"")</f>
        <v/>
      </c>
      <c r="AG42" s="75">
        <f>IFERROR(AVERAGE(V42:AE42),"")</f>
        <v/>
      </c>
      <c r="AH42" s="75">
        <f>IFERROR(AVERAGE(B42:K42),"")</f>
        <v/>
      </c>
      <c r="AI42" s="45" t="n">
        <v>0.968822479248047</v>
      </c>
      <c r="AJ42" s="47" t="n">
        <v>0</v>
      </c>
    </row>
    <row r="43" ht="15" customHeight="1" s="30">
      <c r="A43" s="73" t="inlineStr">
        <is>
          <t>6602.jpg</t>
        </is>
      </c>
      <c r="B43" s="45" t="n"/>
      <c r="C43" s="45" t="n"/>
      <c r="D43" s="45" t="n"/>
      <c r="E43" s="45" t="n">
        <v>0.968130472997168</v>
      </c>
      <c r="F43" s="45" t="n"/>
      <c r="G43" s="45" t="n"/>
      <c r="H43" s="45" t="n">
        <v>0.171390823925054</v>
      </c>
      <c r="I43" s="45" t="n"/>
      <c r="J43" s="45" t="n"/>
      <c r="K43" s="45" t="n">
        <v>0.942646227047704</v>
      </c>
      <c r="L43" s="45" t="n"/>
      <c r="M43" s="45" t="n"/>
      <c r="N43" s="45" t="n"/>
      <c r="O43" s="45" t="n">
        <v>0.968708605676315</v>
      </c>
      <c r="P43" s="45" t="n"/>
      <c r="Q43" s="45" t="n"/>
      <c r="R43" s="45" t="n">
        <v>0.271086626139818</v>
      </c>
      <c r="S43" s="45" t="n"/>
      <c r="T43" s="45" t="n"/>
      <c r="U43" s="45" t="n">
        <v>0.981083639806285</v>
      </c>
      <c r="V43" s="45" t="n"/>
      <c r="W43" s="45" t="n"/>
      <c r="X43" s="45" t="n"/>
      <c r="Y43" s="45" t="n">
        <v>0.999383926071129</v>
      </c>
      <c r="Z43" s="45" t="n"/>
      <c r="AA43" s="45" t="n"/>
      <c r="AB43" s="45" t="n">
        <v>0.317888171084874</v>
      </c>
      <c r="AC43" s="45" t="n"/>
      <c r="AD43" s="45" t="n"/>
      <c r="AE43" s="45" t="n">
        <v>0.9600962109514189</v>
      </c>
      <c r="AF43" s="75">
        <f>IFERROR(AVERAGE(L43:U43),"")</f>
        <v/>
      </c>
      <c r="AG43" s="75">
        <f>IFERROR(AVERAGE(V43:AE43),"")</f>
        <v/>
      </c>
      <c r="AH43" s="75">
        <f>IFERROR(AVERAGE(B43:K43),"")</f>
        <v/>
      </c>
      <c r="AI43" s="45" t="n">
        <v>0.9624786376953131</v>
      </c>
      <c r="AJ43" s="47" t="n">
        <v>0</v>
      </c>
    </row>
    <row r="44" ht="15" customHeight="1" s="30">
      <c r="A44" s="73" t="inlineStr">
        <is>
          <t>6619.jpg</t>
        </is>
      </c>
      <c r="B44" s="45" t="n">
        <v>0</v>
      </c>
      <c r="C44" s="45" t="n"/>
      <c r="D44" s="45" t="n"/>
      <c r="E44" s="45" t="n"/>
      <c r="F44" s="45" t="n">
        <v>0.761200312706717</v>
      </c>
      <c r="G44" s="45" t="n">
        <v>0.808815719596389</v>
      </c>
      <c r="H44" s="45" t="n">
        <v>0.858351729212656</v>
      </c>
      <c r="I44" s="45" t="n"/>
      <c r="J44" s="45" t="n"/>
      <c r="K44" s="45" t="n">
        <v>0.964250647937657</v>
      </c>
      <c r="L44" s="45" t="n">
        <v>0</v>
      </c>
      <c r="M44" s="45" t="n"/>
      <c r="N44" s="45" t="n"/>
      <c r="O44" s="45" t="n"/>
      <c r="P44" s="45" t="n">
        <v>0.763864582704725</v>
      </c>
      <c r="Q44" s="45" t="n">
        <v>0.90403640680649</v>
      </c>
      <c r="R44" s="45" t="n">
        <v>0.953412341642828</v>
      </c>
      <c r="S44" s="45" t="n"/>
      <c r="T44" s="45" t="n"/>
      <c r="U44" s="45" t="n">
        <v>0.98809852931179</v>
      </c>
      <c r="V44" s="45" t="n"/>
      <c r="W44" s="45" t="n"/>
      <c r="X44" s="45" t="n"/>
      <c r="Y44" s="45" t="n"/>
      <c r="Z44" s="45" t="n">
        <v>0.995438817238125</v>
      </c>
      <c r="AA44" s="45" t="n">
        <v>0.884779240898528</v>
      </c>
      <c r="AB44" s="45" t="n">
        <v>0.895929339477727</v>
      </c>
      <c r="AC44" s="45" t="n"/>
      <c r="AD44" s="45" t="n"/>
      <c r="AE44" s="45" t="n">
        <v>0.9755812704719971</v>
      </c>
      <c r="AF44" s="75">
        <f>IFERROR(AVERAGE(L44:U44),"")</f>
        <v/>
      </c>
      <c r="AG44" s="75">
        <f>IFERROR(AVERAGE(V44:AE44),"")</f>
        <v/>
      </c>
      <c r="AH44" s="75">
        <f>IFERROR(AVERAGE(B44:K44),"")</f>
        <v/>
      </c>
      <c r="AI44" s="45" t="n">
        <v>0.968219757080078</v>
      </c>
      <c r="AJ44" s="47" t="n">
        <v>0</v>
      </c>
    </row>
    <row r="45" ht="15" customHeight="1" s="30">
      <c r="A45" s="73" t="inlineStr">
        <is>
          <t>6624.jpg</t>
        </is>
      </c>
      <c r="B45" s="45" t="n">
        <v>0.8546033504084179</v>
      </c>
      <c r="C45" s="45" t="n"/>
      <c r="D45" s="45" t="n"/>
      <c r="E45" s="45" t="n"/>
      <c r="F45" s="45" t="n">
        <v>0.9356334200467959</v>
      </c>
      <c r="G45" s="45" t="n"/>
      <c r="H45" s="45" t="n">
        <v>0.917687553203301</v>
      </c>
      <c r="I45" s="45" t="n"/>
      <c r="J45" s="45" t="n"/>
      <c r="K45" s="45" t="n">
        <v>0.927461653347679</v>
      </c>
      <c r="L45" s="45" t="n">
        <v>0.9791256899942899</v>
      </c>
      <c r="M45" s="45" t="n"/>
      <c r="N45" s="45" t="n"/>
      <c r="O45" s="45" t="n"/>
      <c r="P45" s="45" t="n">
        <v>0.9527896995708161</v>
      </c>
      <c r="Q45" s="45" t="n"/>
      <c r="R45" s="45" t="n">
        <v>0.947603760605366</v>
      </c>
      <c r="S45" s="45" t="n"/>
      <c r="T45" s="45" t="n"/>
      <c r="U45" s="45" t="n">
        <v>0.957212571044519</v>
      </c>
      <c r="V45" s="45" t="n">
        <v>0.870462814112869</v>
      </c>
      <c r="W45" s="45" t="n"/>
      <c r="X45" s="45" t="n"/>
      <c r="Y45" s="45" t="n"/>
      <c r="Z45" s="45" t="n">
        <v>0.981118273670736</v>
      </c>
      <c r="AA45" s="45" t="n"/>
      <c r="AB45" s="45" t="n">
        <v>0.9667420461634439</v>
      </c>
      <c r="AC45" s="45" t="n"/>
      <c r="AD45" s="45" t="n"/>
      <c r="AE45" s="45" t="n">
        <v>0.967574952001182</v>
      </c>
      <c r="AF45" s="75">
        <f>IFERROR(AVERAGE(L45:U45),"")</f>
        <v/>
      </c>
      <c r="AG45" s="75">
        <f>IFERROR(AVERAGE(V45:AE45),"")</f>
        <v/>
      </c>
      <c r="AH45" s="75">
        <f>IFERROR(AVERAGE(B45:K45),"")</f>
        <v/>
      </c>
      <c r="AI45" s="45" t="n">
        <v>0.9577484130859381</v>
      </c>
      <c r="AJ45" s="47" t="n">
        <v>0</v>
      </c>
    </row>
    <row r="46" ht="15" customHeight="1" s="30">
      <c r="A46" s="73" t="inlineStr">
        <is>
          <t>6632.jpg</t>
        </is>
      </c>
      <c r="B46" s="45" t="n">
        <v>0.786746231155779</v>
      </c>
      <c r="C46" s="45" t="n"/>
      <c r="D46" s="45" t="n"/>
      <c r="E46" s="45" t="n"/>
      <c r="F46" s="45" t="n">
        <v>0.862386284114766</v>
      </c>
      <c r="G46" s="45" t="n"/>
      <c r="H46" s="45" t="n">
        <v>0.881987961105109</v>
      </c>
      <c r="I46" s="45" t="n"/>
      <c r="J46" s="45" t="n"/>
      <c r="K46" s="45" t="n">
        <v>0.950103981973052</v>
      </c>
      <c r="L46" s="45" t="n">
        <v>0.987464522232734</v>
      </c>
      <c r="M46" s="45" t="n"/>
      <c r="N46" s="45" t="n"/>
      <c r="O46" s="45" t="n"/>
      <c r="P46" s="45" t="n">
        <v>0.905307621671258</v>
      </c>
      <c r="Q46" s="45" t="n"/>
      <c r="R46" s="45" t="n">
        <v>0.907422110712358</v>
      </c>
      <c r="S46" s="45" t="n"/>
      <c r="T46" s="45" t="n"/>
      <c r="U46" s="45" t="n">
        <v>0.974804454044079</v>
      </c>
      <c r="V46" s="45" t="n">
        <v>0.794683078484868</v>
      </c>
      <c r="W46" s="45" t="n"/>
      <c r="X46" s="45" t="n"/>
      <c r="Y46" s="45" t="n"/>
      <c r="Z46" s="45" t="n">
        <v>0.947888623952004</v>
      </c>
      <c r="AA46" s="45" t="n"/>
      <c r="AB46" s="45" t="n">
        <v>0.969199457259159</v>
      </c>
      <c r="AC46" s="45" t="n"/>
      <c r="AD46" s="45" t="n"/>
      <c r="AE46" s="45" t="n">
        <v>0.974023184792117</v>
      </c>
      <c r="AF46" s="75">
        <f>IFERROR(AVERAGE(L46:U46),"")</f>
        <v/>
      </c>
      <c r="AG46" s="75">
        <f>IFERROR(AVERAGE(V46:AE46),"")</f>
        <v/>
      </c>
      <c r="AH46" s="75">
        <f>IFERROR(AVERAGE(B46:K46),"")</f>
        <v/>
      </c>
      <c r="AI46" s="45" t="n">
        <v>0.960105895996094</v>
      </c>
      <c r="AJ46" s="47" t="n">
        <v>0</v>
      </c>
    </row>
    <row r="47" ht="15" customHeight="1" s="30">
      <c r="A47" s="73" t="inlineStr">
        <is>
          <t>6638.jpg</t>
        </is>
      </c>
      <c r="B47" s="45" t="n"/>
      <c r="C47" s="45" t="n"/>
      <c r="D47" s="45" t="n">
        <v>0.786766541822722</v>
      </c>
      <c r="E47" s="45" t="n"/>
      <c r="F47" s="45" t="n">
        <v>0.433898305084746</v>
      </c>
      <c r="G47" s="45" t="n"/>
      <c r="H47" s="45" t="n">
        <v>0.783377001455604</v>
      </c>
      <c r="I47" s="45" t="n"/>
      <c r="J47" s="45" t="n"/>
      <c r="K47" s="45" t="n">
        <v>0.9642586574022191</v>
      </c>
      <c r="L47" s="45" t="n"/>
      <c r="M47" s="45" t="n"/>
      <c r="N47" s="45" t="n">
        <v>0.872369878183832</v>
      </c>
      <c r="O47" s="45" t="n"/>
      <c r="P47" s="45" t="n">
        <v>0.462302483069977</v>
      </c>
      <c r="Q47" s="45" t="n"/>
      <c r="R47" s="45" t="n">
        <v>0.838129944558649</v>
      </c>
      <c r="S47" s="45" t="n"/>
      <c r="T47" s="45" t="n"/>
      <c r="U47" s="45" t="n">
        <v>0.991312843626577</v>
      </c>
      <c r="V47" s="45" t="n"/>
      <c r="W47" s="45" t="n"/>
      <c r="X47" s="45" t="n">
        <v>0.88910835214447</v>
      </c>
      <c r="Y47" s="45" t="n"/>
      <c r="Z47" s="45" t="n">
        <v>0.875962360992301</v>
      </c>
      <c r="AA47" s="45" t="n"/>
      <c r="AB47" s="45" t="n">
        <v>0.923026789695743</v>
      </c>
      <c r="AC47" s="45" t="n"/>
      <c r="AD47" s="45" t="n"/>
      <c r="AE47" s="45" t="n">
        <v>0.972476151724762</v>
      </c>
      <c r="AF47" s="75">
        <f>IFERROR(AVERAGE(L47:U47),"")</f>
        <v/>
      </c>
      <c r="AG47" s="75">
        <f>IFERROR(AVERAGE(V47:AE47),"")</f>
        <v/>
      </c>
      <c r="AH47" s="75">
        <f>IFERROR(AVERAGE(B47:K47),"")</f>
        <v/>
      </c>
      <c r="AI47" s="45" t="n">
        <v>0.963165283203125</v>
      </c>
      <c r="AJ47" s="47" t="n">
        <v>0</v>
      </c>
    </row>
    <row r="48" ht="15" customHeight="1" s="30">
      <c r="A48" s="73" t="inlineStr">
        <is>
          <t>6659.jpg</t>
        </is>
      </c>
      <c r="B48" s="45" t="n">
        <v>0</v>
      </c>
      <c r="C48" s="45" t="n"/>
      <c r="D48" s="45" t="n">
        <v>0.905270732930632</v>
      </c>
      <c r="E48" s="45" t="n"/>
      <c r="F48" s="45" t="n">
        <v>0.7450714285714291</v>
      </c>
      <c r="G48" s="45" t="n"/>
      <c r="H48" s="45" t="n">
        <v>0.83721553476115</v>
      </c>
      <c r="I48" s="45" t="n">
        <v>0.276377952755906</v>
      </c>
      <c r="J48" s="45" t="n"/>
      <c r="K48" s="45" t="n">
        <v>0.920394840655262</v>
      </c>
      <c r="L48" s="45" t="n">
        <v>0</v>
      </c>
      <c r="M48" s="45" t="n"/>
      <c r="N48" s="45" t="n">
        <v>0.975995674048996</v>
      </c>
      <c r="O48" s="45" t="n"/>
      <c r="P48" s="45" t="n">
        <v>0.836152304609218</v>
      </c>
      <c r="Q48" s="45" t="n"/>
      <c r="R48" s="45" t="n">
        <v>0.934024317321108</v>
      </c>
      <c r="S48" s="45" t="n">
        <v>0.297205757832346</v>
      </c>
      <c r="T48" s="45" t="n"/>
      <c r="U48" s="45" t="n">
        <v>0.949797961522224</v>
      </c>
      <c r="V48" s="45" t="n"/>
      <c r="W48" s="45" t="n"/>
      <c r="X48" s="45" t="n">
        <v>0.925885449192613</v>
      </c>
      <c r="Y48" s="45" t="n"/>
      <c r="Z48" s="45" t="n">
        <v>0.872448979591837</v>
      </c>
      <c r="AA48" s="45" t="n"/>
      <c r="AB48" s="45" t="n">
        <v>0.889838353628142</v>
      </c>
      <c r="AC48" s="45" t="n">
        <v>0.797727272727273</v>
      </c>
      <c r="AD48" s="45" t="n"/>
      <c r="AE48" s="45" t="n">
        <v>0.967459747025181</v>
      </c>
      <c r="AF48" s="75">
        <f>IFERROR(AVERAGE(L48:U48),"")</f>
        <v/>
      </c>
      <c r="AG48" s="75">
        <f>IFERROR(AVERAGE(V48:AE48),"")</f>
        <v/>
      </c>
      <c r="AH48" s="75">
        <f>IFERROR(AVERAGE(B48:K48),"")</f>
        <v/>
      </c>
      <c r="AI48" s="45" t="n">
        <v>0.943256378173828</v>
      </c>
      <c r="AJ48" s="47" t="n">
        <v>0</v>
      </c>
    </row>
    <row r="49" ht="15" customHeight="1" s="30">
      <c r="A49" s="73" t="inlineStr">
        <is>
          <t>6663.jpg</t>
        </is>
      </c>
      <c r="B49" s="45" t="n"/>
      <c r="C49" s="45" t="n"/>
      <c r="D49" s="45" t="n">
        <v>0.89658064516129</v>
      </c>
      <c r="E49" s="45" t="n"/>
      <c r="F49" s="45" t="n">
        <v>0.76438167413021</v>
      </c>
      <c r="G49" s="45" t="n"/>
      <c r="H49" s="45" t="n">
        <v>0.824464599786185</v>
      </c>
      <c r="I49" s="45" t="n"/>
      <c r="J49" s="45" t="n"/>
      <c r="K49" s="45" t="n">
        <v>0.908296490146009</v>
      </c>
      <c r="L49" s="45" t="n"/>
      <c r="M49" s="45" t="n"/>
      <c r="N49" s="45" t="n">
        <v>0.96406520985085</v>
      </c>
      <c r="O49" s="45" t="n"/>
      <c r="P49" s="45" t="n">
        <v>0.789118065433855</v>
      </c>
      <c r="Q49" s="45" t="n"/>
      <c r="R49" s="45" t="n">
        <v>0.905602484942611</v>
      </c>
      <c r="S49" s="45" t="n"/>
      <c r="T49" s="45" t="n"/>
      <c r="U49" s="45" t="n">
        <v>0.950844798455226</v>
      </c>
      <c r="V49" s="45" t="n"/>
      <c r="W49" s="45" t="n"/>
      <c r="X49" s="45" t="n">
        <v>0.927579762381525</v>
      </c>
      <c r="Y49" s="45" t="n"/>
      <c r="Z49" s="45" t="n">
        <v>0.960606060606061</v>
      </c>
      <c r="AA49" s="45" t="n"/>
      <c r="AB49" s="45" t="n">
        <v>0.901980758347482</v>
      </c>
      <c r="AC49" s="45" t="n"/>
      <c r="AD49" s="45" t="n"/>
      <c r="AE49" s="45" t="n">
        <v>0.95304741225497</v>
      </c>
      <c r="AF49" s="75">
        <f>IFERROR(AVERAGE(L49:U49),"")</f>
        <v/>
      </c>
      <c r="AG49" s="75">
        <f>IFERROR(AVERAGE(V49:AE49),"")</f>
        <v/>
      </c>
      <c r="AH49" s="75">
        <f>IFERROR(AVERAGE(B49:K49),"")</f>
        <v/>
      </c>
      <c r="AI49" s="45" t="n">
        <v>0.936168670654297</v>
      </c>
      <c r="AJ49" s="47" t="n">
        <v>0</v>
      </c>
    </row>
    <row r="50" ht="15" customHeight="1" s="30">
      <c r="A50" s="73" t="inlineStr">
        <is>
          <t>6671.jpg</t>
        </is>
      </c>
      <c r="B50" s="45" t="n"/>
      <c r="C50" s="45" t="n"/>
      <c r="D50" s="45" t="n"/>
      <c r="E50" s="45" t="n"/>
      <c r="F50" s="45" t="n">
        <v>0</v>
      </c>
      <c r="G50" s="45" t="n"/>
      <c r="H50" s="45" t="n">
        <v>0.836465346610319</v>
      </c>
      <c r="I50" s="45" t="n"/>
      <c r="J50" s="45" t="n"/>
      <c r="K50" s="45" t="n">
        <v>0.8693444198275631</v>
      </c>
      <c r="L50" s="45" t="n"/>
      <c r="M50" s="45" t="n"/>
      <c r="N50" s="45" t="n"/>
      <c r="O50" s="45" t="n"/>
      <c r="P50" s="45" t="n">
        <v>0</v>
      </c>
      <c r="Q50" s="45" t="n"/>
      <c r="R50" s="45" t="n">
        <v>0.962808536091906</v>
      </c>
      <c r="S50" s="45" t="n"/>
      <c r="T50" s="45" t="n"/>
      <c r="U50" s="45" t="n">
        <v>0.894769015206671</v>
      </c>
      <c r="V50" s="45" t="n"/>
      <c r="W50" s="45" t="n"/>
      <c r="X50" s="45" t="n"/>
      <c r="Y50" s="45" t="n"/>
      <c r="Z50" s="45" t="n">
        <v>0</v>
      </c>
      <c r="AA50" s="45" t="n"/>
      <c r="AB50" s="45" t="n">
        <v>0.864394866732478</v>
      </c>
      <c r="AC50" s="45" t="n"/>
      <c r="AD50" s="45" t="n"/>
      <c r="AE50" s="45" t="n">
        <v>0.96834930239127</v>
      </c>
      <c r="AF50" s="75">
        <f>IFERROR(AVERAGE(L50:U50),"")</f>
        <v/>
      </c>
      <c r="AG50" s="75">
        <f>IFERROR(AVERAGE(V50:AE50),"")</f>
        <v/>
      </c>
      <c r="AH50" s="75">
        <f>IFERROR(AVERAGE(B50:K50),"")</f>
        <v/>
      </c>
      <c r="AI50" s="45" t="n">
        <v>0.914485931396484</v>
      </c>
      <c r="AJ50" s="47" t="n">
        <v>0</v>
      </c>
    </row>
    <row r="51" ht="15" customHeight="1" s="30">
      <c r="A51" s="73" t="inlineStr">
        <is>
          <t>6672.jpg</t>
        </is>
      </c>
      <c r="B51" s="45" t="n"/>
      <c r="C51" s="45" t="n"/>
      <c r="D51" s="45" t="n"/>
      <c r="E51" s="45" t="n"/>
      <c r="F51" s="45" t="n">
        <v>0</v>
      </c>
      <c r="G51" s="45" t="n"/>
      <c r="H51" s="45" t="n">
        <v>0.833189266898993</v>
      </c>
      <c r="I51" s="45" t="n"/>
      <c r="J51" s="45" t="n"/>
      <c r="K51" s="45" t="n">
        <v>0.884257060606594</v>
      </c>
      <c r="L51" s="45" t="n"/>
      <c r="M51" s="45" t="n"/>
      <c r="N51" s="45" t="n"/>
      <c r="O51" s="45" t="n"/>
      <c r="P51" s="45" t="n"/>
      <c r="Q51" s="45" t="n"/>
      <c r="R51" s="45" t="n">
        <v>0.888632261320187</v>
      </c>
      <c r="S51" s="45" t="n"/>
      <c r="T51" s="45" t="n"/>
      <c r="U51" s="45" t="n">
        <v>0.947956605362732</v>
      </c>
      <c r="V51" s="45" t="n"/>
      <c r="W51" s="45" t="n"/>
      <c r="X51" s="45" t="n"/>
      <c r="Y51" s="45" t="n"/>
      <c r="Z51" s="45" t="n">
        <v>0</v>
      </c>
      <c r="AA51" s="45" t="n"/>
      <c r="AB51" s="45" t="n">
        <v>0.930334156278257</v>
      </c>
      <c r="AC51" s="45" t="n"/>
      <c r="AD51" s="45" t="n"/>
      <c r="AE51" s="45" t="n">
        <v>0.9293747188484029</v>
      </c>
      <c r="AF51" s="75">
        <f>IFERROR(AVERAGE(L51:U51),"")</f>
        <v/>
      </c>
      <c r="AG51" s="75">
        <f>IFERROR(AVERAGE(V51:AE51),"")</f>
        <v/>
      </c>
      <c r="AH51" s="75">
        <f>IFERROR(AVERAGE(B51:K51),"")</f>
        <v/>
      </c>
      <c r="AI51" s="45" t="n">
        <v>0.9246368408203131</v>
      </c>
      <c r="AJ51" s="47" t="n">
        <v>0</v>
      </c>
    </row>
    <row r="52" ht="15" customHeight="1" s="30">
      <c r="A52" s="73" t="inlineStr">
        <is>
          <t>6677.jpg</t>
        </is>
      </c>
      <c r="B52" s="45" t="n"/>
      <c r="C52" s="45" t="n"/>
      <c r="D52" s="45" t="n"/>
      <c r="E52" s="45" t="n"/>
      <c r="F52" s="45" t="n">
        <v>0</v>
      </c>
      <c r="G52" s="45" t="n"/>
      <c r="H52" s="45" t="n">
        <v>0.766578457830063</v>
      </c>
      <c r="I52" s="45" t="n"/>
      <c r="J52" s="45" t="n"/>
      <c r="K52" s="45" t="n">
        <v>0.823616447783449</v>
      </c>
      <c r="L52" s="45" t="n"/>
      <c r="M52" s="45" t="n"/>
      <c r="N52" s="45" t="n"/>
      <c r="O52" s="45" t="n"/>
      <c r="P52" s="45" t="n">
        <v>0</v>
      </c>
      <c r="Q52" s="45" t="n"/>
      <c r="R52" s="45" t="n">
        <v>0.9102165256346439</v>
      </c>
      <c r="S52" s="45" t="n"/>
      <c r="T52" s="45" t="n"/>
      <c r="U52" s="45" t="n">
        <v>0.888244280474756</v>
      </c>
      <c r="V52" s="45" t="n"/>
      <c r="W52" s="45" t="n"/>
      <c r="X52" s="45" t="n"/>
      <c r="Y52" s="45" t="n"/>
      <c r="Z52" s="45" t="n"/>
      <c r="AA52" s="45" t="n"/>
      <c r="AB52" s="45" t="n">
        <v>0.8292848842153</v>
      </c>
      <c r="AC52" s="45" t="n"/>
      <c r="AD52" s="45" t="n"/>
      <c r="AE52" s="45" t="n">
        <v>0.9188296939878819</v>
      </c>
      <c r="AF52" s="75">
        <f>IFERROR(AVERAGE(L52:U52),"")</f>
        <v/>
      </c>
      <c r="AG52" s="75">
        <f>IFERROR(AVERAGE(V52:AE52),"")</f>
        <v/>
      </c>
      <c r="AH52" s="75">
        <f>IFERROR(AVERAGE(B52:K52),"")</f>
        <v/>
      </c>
      <c r="AI52" s="45" t="n">
        <v>0.8826751708984381</v>
      </c>
      <c r="AJ52" s="47" t="n">
        <v>0</v>
      </c>
    </row>
    <row r="53" ht="15" customHeight="1" s="30">
      <c r="A53" s="73" t="inlineStr">
        <is>
          <t>6679.jpg</t>
        </is>
      </c>
      <c r="B53" s="45" t="n"/>
      <c r="C53" s="45" t="n"/>
      <c r="D53" s="45" t="n"/>
      <c r="E53" s="45" t="n"/>
      <c r="F53" s="45" t="n"/>
      <c r="G53" s="45" t="n"/>
      <c r="H53" s="45" t="n">
        <v>0.882133735965434</v>
      </c>
      <c r="I53" s="45" t="n"/>
      <c r="J53" s="45" t="n"/>
      <c r="K53" s="45" t="n">
        <v>0.773953402404839</v>
      </c>
      <c r="L53" s="45" t="n"/>
      <c r="M53" s="45" t="n"/>
      <c r="N53" s="45" t="n"/>
      <c r="O53" s="45" t="n"/>
      <c r="P53" s="45" t="n"/>
      <c r="Q53" s="45" t="n"/>
      <c r="R53" s="45" t="n">
        <v>0.976534531401882</v>
      </c>
      <c r="S53" s="45" t="n"/>
      <c r="T53" s="45" t="n"/>
      <c r="U53" s="45" t="n">
        <v>0.806749582566254</v>
      </c>
      <c r="V53" s="45" t="n"/>
      <c r="W53" s="45" t="n"/>
      <c r="X53" s="45" t="n"/>
      <c r="Y53" s="45" t="n"/>
      <c r="Z53" s="45" t="n"/>
      <c r="AA53" s="45" t="n"/>
      <c r="AB53" s="45" t="n">
        <v>0.9012373367175019</v>
      </c>
      <c r="AC53" s="45" t="n"/>
      <c r="AD53" s="45" t="n"/>
      <c r="AE53" s="45" t="n">
        <v>0.950095799929411</v>
      </c>
      <c r="AF53" s="75">
        <f>IFERROR(AVERAGE(L53:U53),"")</f>
        <v/>
      </c>
      <c r="AG53" s="75">
        <f>IFERROR(AVERAGE(V53:AE53),"")</f>
        <v/>
      </c>
      <c r="AH53" s="75">
        <f>IFERROR(AVERAGE(B53:K53),"")</f>
        <v/>
      </c>
      <c r="AI53" s="45" t="n">
        <v>0.916023254394531</v>
      </c>
      <c r="AJ53" s="47" t="n">
        <v>0</v>
      </c>
    </row>
    <row r="54" ht="15" customHeight="1" s="30">
      <c r="A54" s="73" t="inlineStr">
        <is>
          <t>6680.jpg</t>
        </is>
      </c>
      <c r="B54" s="45" t="n"/>
      <c r="C54" s="45" t="n"/>
      <c r="D54" s="45" t="n"/>
      <c r="E54" s="45" t="n"/>
      <c r="F54" s="45" t="n"/>
      <c r="G54" s="45" t="n"/>
      <c r="H54" s="45" t="n">
        <v>0.850725285666217</v>
      </c>
      <c r="I54" s="45" t="n"/>
      <c r="J54" s="45" t="n"/>
      <c r="K54" s="45" t="n">
        <v>0.582559938128384</v>
      </c>
      <c r="L54" s="45" t="n"/>
      <c r="M54" s="45" t="n"/>
      <c r="N54" s="45" t="n"/>
      <c r="O54" s="45" t="n"/>
      <c r="P54" s="45" t="n"/>
      <c r="Q54" s="45" t="n"/>
      <c r="R54" s="45" t="n">
        <v>0.949452132311333</v>
      </c>
      <c r="S54" s="45" t="n"/>
      <c r="T54" s="45" t="n"/>
      <c r="U54" s="45" t="n">
        <v>0.667045488089264</v>
      </c>
      <c r="V54" s="45" t="n"/>
      <c r="W54" s="45" t="n"/>
      <c r="X54" s="45" t="n"/>
      <c r="Y54" s="45" t="n"/>
      <c r="Z54" s="45" t="n"/>
      <c r="AA54" s="45" t="n"/>
      <c r="AB54" s="45" t="n">
        <v>0.8910840418495291</v>
      </c>
      <c r="AC54" s="45" t="n"/>
      <c r="AD54" s="45" t="n"/>
      <c r="AE54" s="45" t="n">
        <v>0.821413642063939</v>
      </c>
      <c r="AF54" s="75">
        <f>IFERROR(AVERAGE(L54:U54),"")</f>
        <v/>
      </c>
      <c r="AG54" s="75">
        <f>IFERROR(AVERAGE(V54:AE54),"")</f>
        <v/>
      </c>
      <c r="AH54" s="75">
        <f>IFERROR(AVERAGE(B54:K54),"")</f>
        <v/>
      </c>
      <c r="AI54" s="45" t="n">
        <v>0.876461029052734</v>
      </c>
      <c r="AJ54" s="47" t="n">
        <v>0</v>
      </c>
    </row>
    <row r="55" ht="15" customHeight="1" s="30">
      <c r="A55" s="73" t="inlineStr">
        <is>
          <t>6688.jpg</t>
        </is>
      </c>
      <c r="B55" s="45" t="n"/>
      <c r="C55" s="45" t="n"/>
      <c r="D55" s="45" t="n"/>
      <c r="E55" s="45" t="n"/>
      <c r="F55" s="45" t="n">
        <v>0</v>
      </c>
      <c r="G55" s="45" t="n"/>
      <c r="H55" s="45" t="n">
        <v>0.861664970710377</v>
      </c>
      <c r="I55" s="45" t="n"/>
      <c r="J55" s="45" t="n"/>
      <c r="K55" s="45" t="n">
        <v>0.930364644429071</v>
      </c>
      <c r="L55" s="45" t="n"/>
      <c r="M55" s="45" t="n"/>
      <c r="N55" s="45" t="n"/>
      <c r="O55" s="45" t="n"/>
      <c r="P55" s="45" t="n">
        <v>0</v>
      </c>
      <c r="Q55" s="45" t="n"/>
      <c r="R55" s="45" t="n">
        <v>0.926062218281239</v>
      </c>
      <c r="S55" s="45" t="n"/>
      <c r="T55" s="45" t="n"/>
      <c r="U55" s="45" t="n">
        <v>0.97347467584239</v>
      </c>
      <c r="V55" s="45" t="n"/>
      <c r="W55" s="45" t="n"/>
      <c r="X55" s="45" t="n"/>
      <c r="Y55" s="45" t="n"/>
      <c r="Z55" s="45" t="n"/>
      <c r="AA55" s="45" t="n"/>
      <c r="AB55" s="45" t="n">
        <v>0.925323764379273</v>
      </c>
      <c r="AC55" s="45" t="n"/>
      <c r="AD55" s="45" t="n"/>
      <c r="AE55" s="45" t="n">
        <v>0.954563456345635</v>
      </c>
      <c r="AF55" s="75">
        <f>IFERROR(AVERAGE(L55:U55),"")</f>
        <v/>
      </c>
      <c r="AG55" s="75">
        <f>IFERROR(AVERAGE(V55:AE55),"")</f>
        <v/>
      </c>
      <c r="AH55" s="75">
        <f>IFERROR(AVERAGE(B55:K55),"")</f>
        <v/>
      </c>
      <c r="AI55" s="45" t="n">
        <v>0.947010040283203</v>
      </c>
      <c r="AJ55" s="47" t="n">
        <v>0</v>
      </c>
    </row>
    <row r="56" ht="15" customHeight="1" s="30">
      <c r="A56" s="73" t="inlineStr">
        <is>
          <t>6691.jpg</t>
        </is>
      </c>
      <c r="B56" s="45" t="n"/>
      <c r="C56" s="45" t="n"/>
      <c r="D56" s="45" t="n">
        <v>0.882781236104936</v>
      </c>
      <c r="E56" s="45" t="n">
        <v>0.32213283975226</v>
      </c>
      <c r="F56" s="45" t="n">
        <v>0.610755526228967</v>
      </c>
      <c r="G56" s="45" t="n">
        <v>0.932575413586011</v>
      </c>
      <c r="H56" s="45" t="n">
        <v>0.450841266990001</v>
      </c>
      <c r="I56" s="45" t="n">
        <v>0.490899898887765</v>
      </c>
      <c r="J56" s="45" t="n">
        <v>0.06600249066002491</v>
      </c>
      <c r="K56" s="45" t="n">
        <v>0.662317803546398</v>
      </c>
      <c r="L56" s="45" t="n"/>
      <c r="M56" s="45" t="n"/>
      <c r="N56" s="45" t="n">
        <v>0.958366017015628</v>
      </c>
      <c r="O56" s="45" t="n">
        <v>0.421832758459961</v>
      </c>
      <c r="P56" s="45" t="n">
        <v>0.917343904856293</v>
      </c>
      <c r="Q56" s="45" t="n">
        <v>0.981126123284091</v>
      </c>
      <c r="R56" s="45" t="n">
        <v>0.8683542843962631</v>
      </c>
      <c r="S56" s="45" t="n">
        <v>0.586352657004831</v>
      </c>
      <c r="T56" s="45" t="n">
        <v>0.0800604229607251</v>
      </c>
      <c r="U56" s="45" t="n">
        <v>0.717696793312586</v>
      </c>
      <c r="V56" s="45" t="n"/>
      <c r="W56" s="45" t="n"/>
      <c r="X56" s="45" t="n">
        <v>0.917986359958386</v>
      </c>
      <c r="Y56" s="45" t="n">
        <v>0.576800509878904</v>
      </c>
      <c r="Z56" s="45" t="n">
        <v>0.646323580755534</v>
      </c>
      <c r="AA56" s="45" t="n">
        <v>0.949611354892741</v>
      </c>
      <c r="AB56" s="45" t="n">
        <v>0.483916578296218</v>
      </c>
      <c r="AC56" s="45" t="n">
        <v>0.750966744006187</v>
      </c>
      <c r="AD56" s="45" t="n">
        <v>0.27319587628866</v>
      </c>
      <c r="AE56" s="45" t="n">
        <v>0.895653557084344</v>
      </c>
      <c r="AF56" s="75">
        <f>IFERROR(AVERAGE(L56:U56),"")</f>
        <v/>
      </c>
      <c r="AG56" s="75">
        <f>IFERROR(AVERAGE(V56:AE56),"")</f>
        <v/>
      </c>
      <c r="AH56" s="75">
        <f>IFERROR(AVERAGE(B56:K56),"")</f>
        <v/>
      </c>
      <c r="AI56" s="45" t="n">
        <v>0.847507476806641</v>
      </c>
      <c r="AJ56" s="47" t="n">
        <v>0</v>
      </c>
    </row>
    <row r="57" ht="15" customHeight="1" s="30">
      <c r="A57" s="73" t="inlineStr">
        <is>
          <t>6695.jpg</t>
        </is>
      </c>
      <c r="B57" s="45" t="n"/>
      <c r="C57" s="45" t="n">
        <v>0.207215066454559</v>
      </c>
      <c r="D57" s="45" t="n">
        <v>0</v>
      </c>
      <c r="E57" s="45" t="n">
        <v>0.261222395821188</v>
      </c>
      <c r="F57" s="45" t="n">
        <v>0</v>
      </c>
      <c r="G57" s="45" t="n">
        <v>0.905050279329609</v>
      </c>
      <c r="H57" s="45" t="n">
        <v>0.780096004838039</v>
      </c>
      <c r="I57" s="45" t="n">
        <v>0.529774127310062</v>
      </c>
      <c r="J57" s="45" t="n"/>
      <c r="K57" s="45" t="n">
        <v>0.648254939651903</v>
      </c>
      <c r="L57" s="45" t="n"/>
      <c r="M57" s="45" t="n">
        <v>0.209461562402739</v>
      </c>
      <c r="N57" s="45" t="n"/>
      <c r="O57" s="45" t="n">
        <v>0.9047734431790651</v>
      </c>
      <c r="P57" s="45" t="n">
        <v>0</v>
      </c>
      <c r="Q57" s="45" t="n">
        <v>0.970281374651127</v>
      </c>
      <c r="R57" s="45" t="n">
        <v>0.951347115628385</v>
      </c>
      <c r="S57" s="45" t="n">
        <v>0.7127071823204419</v>
      </c>
      <c r="T57" s="45" t="n"/>
      <c r="U57" s="45" t="n">
        <v>0.782887464072518</v>
      </c>
      <c r="V57" s="45" t="n"/>
      <c r="W57" s="45" t="n">
        <v>0.950788792088533</v>
      </c>
      <c r="X57" s="45" t="n">
        <v>0</v>
      </c>
      <c r="Y57" s="45" t="n">
        <v>0.268607327834261</v>
      </c>
      <c r="Z57" s="45" t="n"/>
      <c r="AA57" s="45" t="n">
        <v>0.930854181270757</v>
      </c>
      <c r="AB57" s="45" t="n">
        <v>0.812511072180777</v>
      </c>
      <c r="AC57" s="45" t="n">
        <v>0.673629242819843</v>
      </c>
      <c r="AD57" s="45" t="n"/>
      <c r="AE57" s="45" t="n">
        <v>0.790338780390594</v>
      </c>
      <c r="AF57" s="75">
        <f>IFERROR(AVERAGE(L57:U57),"")</f>
        <v/>
      </c>
      <c r="AG57" s="75">
        <f>IFERROR(AVERAGE(V57:AE57),"")</f>
        <v/>
      </c>
      <c r="AH57" s="75">
        <f>IFERROR(AVERAGE(B57:K57),"")</f>
        <v/>
      </c>
      <c r="AI57" s="45" t="n">
        <v>0.714691162109375</v>
      </c>
      <c r="AJ57" s="47" t="n">
        <v>0</v>
      </c>
    </row>
    <row r="58" ht="15" customHeight="1" s="30">
      <c r="A58" s="73" t="inlineStr">
        <is>
          <t>6700.jpg</t>
        </is>
      </c>
      <c r="B58" s="45" t="n">
        <v>0</v>
      </c>
      <c r="C58" s="45" t="n">
        <v>0.250633185409676</v>
      </c>
      <c r="D58" s="45" t="n">
        <v>0.301465011376791</v>
      </c>
      <c r="E58" s="45" t="n">
        <v>0.711433165305058</v>
      </c>
      <c r="F58" s="45" t="n"/>
      <c r="G58" s="45" t="n">
        <v>0.70367876893484</v>
      </c>
      <c r="H58" s="45" t="n">
        <v>0.660966770455822</v>
      </c>
      <c r="I58" s="45" t="n">
        <v>0.640984483681113</v>
      </c>
      <c r="J58" s="45" t="n">
        <v>0.835412667946257</v>
      </c>
      <c r="K58" s="45" t="n">
        <v>0.682638289283352</v>
      </c>
      <c r="L58" s="45" t="n">
        <v>0</v>
      </c>
      <c r="M58" s="45" t="n">
        <v>0.284059962216934</v>
      </c>
      <c r="N58" s="45" t="n">
        <v>0.704641940751108</v>
      </c>
      <c r="O58" s="45" t="n">
        <v>0.804872053292692</v>
      </c>
      <c r="P58" s="45" t="n"/>
      <c r="Q58" s="45" t="n">
        <v>0.938614496472098</v>
      </c>
      <c r="R58" s="45" t="n">
        <v>0.83007740508662</v>
      </c>
      <c r="S58" s="45" t="n">
        <v>0.698949824970829</v>
      </c>
      <c r="T58" s="45" t="n">
        <v>0.895576131687243</v>
      </c>
      <c r="U58" s="45" t="n">
        <v>0.784335703978561</v>
      </c>
      <c r="V58" s="45" t="n"/>
      <c r="W58" s="45" t="n">
        <v>0.680498413071588</v>
      </c>
      <c r="X58" s="45" t="n">
        <v>0.34506865276096</v>
      </c>
      <c r="Y58" s="45" t="n">
        <v>0.859712230215827</v>
      </c>
      <c r="Z58" s="45" t="n"/>
      <c r="AA58" s="45" t="n">
        <v>0.73762476056054</v>
      </c>
      <c r="AB58" s="45" t="n">
        <v>0.764392497159133</v>
      </c>
      <c r="AC58" s="45" t="n">
        <v>0.885439763488544</v>
      </c>
      <c r="AD58" s="45" t="n">
        <v>0.925571504518873</v>
      </c>
      <c r="AE58" s="45" t="n">
        <v>0.840378244064053</v>
      </c>
      <c r="AF58" s="75">
        <f>IFERROR(AVERAGE(L58:U58),"")</f>
        <v/>
      </c>
      <c r="AG58" s="75">
        <f>IFERROR(AVERAGE(V58:AE58),"")</f>
        <v/>
      </c>
      <c r="AH58" s="75">
        <f>IFERROR(AVERAGE(B58:K58),"")</f>
        <v/>
      </c>
      <c r="AI58" s="45" t="n">
        <v>0.723533630371094</v>
      </c>
      <c r="AJ58" s="47" t="n">
        <v>0</v>
      </c>
    </row>
    <row r="59" ht="15" customHeight="1" s="30">
      <c r="A59" s="73" t="inlineStr">
        <is>
          <t>6717.jpg</t>
        </is>
      </c>
      <c r="B59" s="45" t="n"/>
      <c r="C59" s="45" t="n">
        <v>0.2339389481427</v>
      </c>
      <c r="D59" s="45" t="n">
        <v>0</v>
      </c>
      <c r="E59" s="45" t="n">
        <v>0.5164761639252859</v>
      </c>
      <c r="F59" s="45" t="n"/>
      <c r="G59" s="45" t="n">
        <v>0</v>
      </c>
      <c r="H59" s="45" t="n">
        <v>0.816513320103434</v>
      </c>
      <c r="I59" s="45" t="n">
        <v>0.615455807496529</v>
      </c>
      <c r="J59" s="45" t="n">
        <v>0.796750557502389</v>
      </c>
      <c r="K59" s="45" t="n">
        <v>0.630632451000202</v>
      </c>
      <c r="L59" s="45" t="n"/>
      <c r="M59" s="45" t="n">
        <v>0.235118431558092</v>
      </c>
      <c r="N59" s="45" t="n"/>
      <c r="O59" s="45" t="n">
        <v>0.894004101821691</v>
      </c>
      <c r="P59" s="45" t="n"/>
      <c r="Q59" s="45" t="n">
        <v>0</v>
      </c>
      <c r="R59" s="45" t="n">
        <v>0.88358018585522</v>
      </c>
      <c r="S59" s="45" t="n">
        <v>0.767455279861512</v>
      </c>
      <c r="T59" s="45" t="n">
        <v>0.920500552079499</v>
      </c>
      <c r="U59" s="45" t="n">
        <v>0.7538927496376679</v>
      </c>
      <c r="V59" s="45" t="n"/>
      <c r="W59" s="45" t="n">
        <v>0.979006341193129</v>
      </c>
      <c r="X59" s="45" t="n">
        <v>0</v>
      </c>
      <c r="Y59" s="45" t="n">
        <v>0.550165560455551</v>
      </c>
      <c r="Z59" s="45" t="n"/>
      <c r="AA59" s="45" t="n"/>
      <c r="AB59" s="45" t="n">
        <v>0.914946091644205</v>
      </c>
      <c r="AC59" s="45" t="n">
        <v>0.756541524459613</v>
      </c>
      <c r="AD59" s="45" t="n">
        <v>0.855627779678413</v>
      </c>
      <c r="AE59" s="45" t="n">
        <v>0.794116495733187</v>
      </c>
      <c r="AF59" s="75">
        <f>IFERROR(AVERAGE(L59:U59),"")</f>
        <v/>
      </c>
      <c r="AG59" s="75">
        <f>IFERROR(AVERAGE(V59:AE59),"")</f>
        <v/>
      </c>
      <c r="AH59" s="75">
        <f>IFERROR(AVERAGE(B59:K59),"")</f>
        <v/>
      </c>
      <c r="AI59" s="45" t="n">
        <v>0.630367279052734</v>
      </c>
      <c r="AJ59" s="47" t="n">
        <v>0</v>
      </c>
    </row>
    <row r="60" ht="15" customHeight="1" s="30">
      <c r="A60" s="73" t="inlineStr">
        <is>
          <t>6718.jpg</t>
        </is>
      </c>
      <c r="B60" s="45" t="n"/>
      <c r="C60" s="45" t="n"/>
      <c r="D60" s="45" t="n">
        <v>0.85574890226053</v>
      </c>
      <c r="E60" s="45" t="n"/>
      <c r="F60" s="45" t="n">
        <v>0.3345521023766</v>
      </c>
      <c r="G60" s="45" t="n">
        <v>0.953843161567169</v>
      </c>
      <c r="H60" s="45" t="n">
        <v>0.805953988730033</v>
      </c>
      <c r="I60" s="45" t="n">
        <v>0.09056603773584911</v>
      </c>
      <c r="J60" s="45" t="n"/>
      <c r="K60" s="45" t="n">
        <v>0.814647614073052</v>
      </c>
      <c r="L60" s="45" t="n"/>
      <c r="M60" s="45" t="n"/>
      <c r="N60" s="45" t="n">
        <v>0.89810547875064</v>
      </c>
      <c r="O60" s="45" t="n"/>
      <c r="P60" s="45" t="n">
        <v>0.556231003039514</v>
      </c>
      <c r="Q60" s="45" t="n">
        <v>0.98937068932908</v>
      </c>
      <c r="R60" s="45" t="n">
        <v>0.928185462785428</v>
      </c>
      <c r="S60" s="45" t="n">
        <v>0.09917355371900829</v>
      </c>
      <c r="T60" s="45" t="n"/>
      <c r="U60" s="45" t="n">
        <v>0.863333531028211</v>
      </c>
      <c r="V60" s="45" t="n"/>
      <c r="W60" s="45" t="n"/>
      <c r="X60" s="45" t="n">
        <v>0.947766570605187</v>
      </c>
      <c r="Y60" s="45" t="n"/>
      <c r="Z60" s="45" t="n">
        <v>0.456359102244389</v>
      </c>
      <c r="AA60" s="45" t="n">
        <v>0.963718987963645</v>
      </c>
      <c r="AB60" s="45" t="n">
        <v>0.859553491606238</v>
      </c>
      <c r="AC60" s="45" t="n">
        <v>0.5106382978723401</v>
      </c>
      <c r="AD60" s="45" t="n"/>
      <c r="AE60" s="45" t="n">
        <v>0.935257961578823</v>
      </c>
      <c r="AF60" s="75">
        <f>IFERROR(AVERAGE(L60:U60),"")</f>
        <v/>
      </c>
      <c r="AG60" s="75">
        <f>IFERROR(AVERAGE(V60:AE60),"")</f>
        <v/>
      </c>
      <c r="AH60" s="75">
        <f>IFERROR(AVERAGE(B60:K60),"")</f>
        <v/>
      </c>
      <c r="AI60" s="45" t="n">
        <v>0.918830871582031</v>
      </c>
      <c r="AJ60" s="47" t="n">
        <v>0</v>
      </c>
    </row>
    <row r="61" ht="15" customHeight="1" s="30">
      <c r="A61" s="73" t="inlineStr">
        <is>
          <t>6733.jpg</t>
        </is>
      </c>
      <c r="B61" s="45" t="n"/>
      <c r="C61" s="45" t="n"/>
      <c r="D61" s="45" t="n">
        <v>0.845631891433418</v>
      </c>
      <c r="E61" s="45" t="n"/>
      <c r="F61" s="45" t="n"/>
      <c r="G61" s="45" t="n">
        <v>0.964278364473328</v>
      </c>
      <c r="H61" s="45" t="n">
        <v>0.660099137751489</v>
      </c>
      <c r="I61" s="45" t="n"/>
      <c r="J61" s="45" t="n">
        <v>0.6388174807197941</v>
      </c>
      <c r="K61" s="45" t="n">
        <v>0.849443118536197</v>
      </c>
      <c r="L61" s="45" t="n"/>
      <c r="M61" s="45" t="n"/>
      <c r="N61" s="45" t="n">
        <v>0.883082373782108</v>
      </c>
      <c r="O61" s="45" t="n"/>
      <c r="P61" s="45" t="n"/>
      <c r="Q61" s="45" t="n">
        <v>0.990090971774283</v>
      </c>
      <c r="R61" s="45" t="n">
        <v>0.824806120855671</v>
      </c>
      <c r="S61" s="45" t="n"/>
      <c r="T61" s="45" t="n">
        <v>0.911926605504587</v>
      </c>
      <c r="U61" s="45" t="n">
        <v>0.903667424183058</v>
      </c>
      <c r="V61" s="45" t="n"/>
      <c r="W61" s="45" t="n"/>
      <c r="X61" s="45" t="n">
        <v>0.952244508118434</v>
      </c>
      <c r="Y61" s="45" t="n"/>
      <c r="Z61" s="45" t="n"/>
      <c r="AA61" s="45" t="n">
        <v>0.973675000546843</v>
      </c>
      <c r="AB61" s="45" t="n">
        <v>0.767743810861877</v>
      </c>
      <c r="AC61" s="45" t="n"/>
      <c r="AD61" s="45" t="n">
        <v>0.680821917808219</v>
      </c>
      <c r="AE61" s="45" t="n">
        <v>0.934020718757847</v>
      </c>
      <c r="AF61" s="75">
        <f>IFERROR(AVERAGE(L61:U61),"")</f>
        <v/>
      </c>
      <c r="AG61" s="75">
        <f>IFERROR(AVERAGE(V61:AE61),"")</f>
        <v/>
      </c>
      <c r="AH61" s="75">
        <f>IFERROR(AVERAGE(B61:K61),"")</f>
        <v/>
      </c>
      <c r="AI61" s="45" t="n">
        <v>0.92132568359375</v>
      </c>
      <c r="AJ61" s="47" t="n">
        <v>0</v>
      </c>
    </row>
    <row r="62" ht="15" customHeight="1" s="30">
      <c r="A62" s="73" t="inlineStr">
        <is>
          <t>6744.jpg</t>
        </is>
      </c>
      <c r="B62" s="45" t="n"/>
      <c r="C62" s="45" t="n"/>
      <c r="D62" s="45" t="n">
        <v>0.855414746543779</v>
      </c>
      <c r="E62" s="45" t="n"/>
      <c r="F62" s="45" t="n"/>
      <c r="G62" s="45" t="n">
        <v>0.882022811542802</v>
      </c>
      <c r="H62" s="45" t="n">
        <v>0.491313234542667</v>
      </c>
      <c r="I62" s="45" t="n"/>
      <c r="J62" s="45" t="n">
        <v>0</v>
      </c>
      <c r="K62" s="45" t="n">
        <v>0.87758174386921</v>
      </c>
      <c r="L62" s="45" t="n"/>
      <c r="M62" s="45" t="n"/>
      <c r="N62" s="45" t="n">
        <v>0.891891891891892</v>
      </c>
      <c r="O62" s="45" t="n"/>
      <c r="P62" s="45" t="n"/>
      <c r="Q62" s="45" t="n">
        <v>0.933112328650308</v>
      </c>
      <c r="R62" s="45" t="n">
        <v>0.744079863798174</v>
      </c>
      <c r="S62" s="45" t="n"/>
      <c r="T62" s="45" t="n">
        <v>0</v>
      </c>
      <c r="U62" s="45" t="n">
        <v>0.916671410274655</v>
      </c>
      <c r="V62" s="45" t="n"/>
      <c r="W62" s="45" t="n"/>
      <c r="X62" s="45" t="n">
        <v>0.954370179948586</v>
      </c>
      <c r="Y62" s="45" t="n"/>
      <c r="Z62" s="45" t="n"/>
      <c r="AA62" s="45" t="n">
        <v>0.941552923967173</v>
      </c>
      <c r="AB62" s="45" t="n">
        <v>0.591219332226527</v>
      </c>
      <c r="AC62" s="45" t="n"/>
      <c r="AD62" s="45" t="n"/>
      <c r="AE62" s="45" t="n">
        <v>0.953660179585311</v>
      </c>
      <c r="AF62" s="75">
        <f>IFERROR(AVERAGE(L62:U62),"")</f>
        <v/>
      </c>
      <c r="AG62" s="75">
        <f>IFERROR(AVERAGE(V62:AE62),"")</f>
        <v/>
      </c>
      <c r="AH62" s="75">
        <f>IFERROR(AVERAGE(B62:K62),"")</f>
        <v/>
      </c>
      <c r="AI62" s="45" t="n">
        <v>0.904399871826172</v>
      </c>
      <c r="AJ62" s="47" t="n">
        <v>0</v>
      </c>
    </row>
    <row r="63" ht="15" customHeight="1" s="30">
      <c r="A63" s="73" t="inlineStr">
        <is>
          <t>6751.jpg</t>
        </is>
      </c>
      <c r="B63" s="45" t="n"/>
      <c r="C63" s="45" t="n"/>
      <c r="D63" s="45" t="n">
        <v>0.661429451632779</v>
      </c>
      <c r="E63" s="45" t="n"/>
      <c r="F63" s="45" t="n">
        <v>0.481481481481482</v>
      </c>
      <c r="G63" s="45" t="n">
        <v>0.846053140527835</v>
      </c>
      <c r="H63" s="45" t="n">
        <v>0.60328007171861</v>
      </c>
      <c r="I63" s="45" t="n"/>
      <c r="J63" s="45" t="n"/>
      <c r="K63" s="45" t="n">
        <v>0.854195344401978</v>
      </c>
      <c r="L63" s="45" t="n"/>
      <c r="M63" s="45" t="n"/>
      <c r="N63" s="45" t="n">
        <v>0.693699515347334</v>
      </c>
      <c r="O63" s="45" t="n"/>
      <c r="P63" s="45" t="n">
        <v>0.65</v>
      </c>
      <c r="Q63" s="45" t="n">
        <v>0.911738614623302</v>
      </c>
      <c r="R63" s="45" t="n">
        <v>0.823851361083105</v>
      </c>
      <c r="S63" s="45" t="n"/>
      <c r="T63" s="45" t="n"/>
      <c r="U63" s="45" t="n">
        <v>0.89862306646819</v>
      </c>
      <c r="V63" s="45" t="n"/>
      <c r="W63" s="45" t="n"/>
      <c r="X63" s="45" t="n">
        <v>0.934290687554395</v>
      </c>
      <c r="Y63" s="45" t="n"/>
      <c r="Z63" s="45" t="n">
        <v>0.65</v>
      </c>
      <c r="AA63" s="45" t="n">
        <v>0.921528805539652</v>
      </c>
      <c r="AB63" s="45" t="n">
        <v>0.692619725131683</v>
      </c>
      <c r="AC63" s="45" t="n"/>
      <c r="AD63" s="45" t="n"/>
      <c r="AE63" s="45" t="n">
        <v>0.945287900192331</v>
      </c>
      <c r="AF63" s="75">
        <f>IFERROR(AVERAGE(L63:U63),"")</f>
        <v/>
      </c>
      <c r="AG63" s="75">
        <f>IFERROR(AVERAGE(V63:AE63),"")</f>
        <v/>
      </c>
      <c r="AH63" s="75">
        <f>IFERROR(AVERAGE(B63:K63),"")</f>
        <v/>
      </c>
      <c r="AI63" s="45" t="n">
        <v>0.8887939453125</v>
      </c>
      <c r="AJ63" s="47" t="n">
        <v>0</v>
      </c>
    </row>
    <row r="64" ht="15" customHeight="1" s="30">
      <c r="A64" s="73" t="inlineStr">
        <is>
          <t>6761.jpg</t>
        </is>
      </c>
      <c r="B64" s="45" t="n"/>
      <c r="C64" s="45" t="n"/>
      <c r="D64" s="45" t="n">
        <v>0.665284583490388</v>
      </c>
      <c r="E64" s="45" t="n"/>
      <c r="F64" s="45" t="n">
        <v>0</v>
      </c>
      <c r="G64" s="45" t="n">
        <v>0.922881912220738</v>
      </c>
      <c r="H64" s="45" t="n">
        <v>0.825172367831134</v>
      </c>
      <c r="I64" s="45" t="n"/>
      <c r="J64" s="45" t="n">
        <v>0.273529411764706</v>
      </c>
      <c r="K64" s="45" t="n">
        <v>0.858432263071661</v>
      </c>
      <c r="L64" s="45" t="n"/>
      <c r="M64" s="45" t="n"/>
      <c r="N64" s="45" t="n">
        <v>0.721881390593047</v>
      </c>
      <c r="O64" s="45" t="n"/>
      <c r="P64" s="45" t="n">
        <v>0</v>
      </c>
      <c r="Q64" s="45" t="n">
        <v>0.940140195535879</v>
      </c>
      <c r="R64" s="45" t="n">
        <v>0.950691739609946</v>
      </c>
      <c r="S64" s="45" t="n"/>
      <c r="T64" s="45" t="n">
        <v>0.436619718309859</v>
      </c>
      <c r="U64" s="45" t="n">
        <v>0.9128813352081681</v>
      </c>
      <c r="V64" s="45" t="n"/>
      <c r="W64" s="45" t="n"/>
      <c r="X64" s="45" t="n">
        <v>0.894576786619361</v>
      </c>
      <c r="Y64" s="45" t="n"/>
      <c r="Z64" s="45" t="n"/>
      <c r="AA64" s="45" t="n">
        <v>0.980496837650001</v>
      </c>
      <c r="AB64" s="45" t="n">
        <v>0.862067219444269</v>
      </c>
      <c r="AC64" s="45" t="n"/>
      <c r="AD64" s="45" t="n">
        <v>0.422727272727273</v>
      </c>
      <c r="AE64" s="45" t="n">
        <v>0.935032405523028</v>
      </c>
      <c r="AF64" s="75">
        <f>IFERROR(AVERAGE(L64:U64),"")</f>
        <v/>
      </c>
      <c r="AG64" s="75">
        <f>IFERROR(AVERAGE(V64:AE64),"")</f>
        <v/>
      </c>
      <c r="AH64" s="75">
        <f>IFERROR(AVERAGE(B64:K64),"")</f>
        <v/>
      </c>
      <c r="AI64" s="45" t="n">
        <v>0.926429748535156</v>
      </c>
      <c r="AJ64" s="47" t="n">
        <v>0</v>
      </c>
    </row>
    <row r="65" ht="15" customHeight="1" s="30">
      <c r="A65" s="73" t="inlineStr">
        <is>
          <t>6765.jpg</t>
        </is>
      </c>
      <c r="B65" s="45" t="n">
        <v>0</v>
      </c>
      <c r="C65" s="45" t="n"/>
      <c r="D65" s="45" t="n">
        <v>0.753882267966775</v>
      </c>
      <c r="E65" s="45" t="n"/>
      <c r="F65" s="45" t="n">
        <v>0.383229383229383</v>
      </c>
      <c r="G65" s="45" t="n">
        <v>0.976924344816219</v>
      </c>
      <c r="H65" s="45" t="n">
        <v>0.880828258221681</v>
      </c>
      <c r="I65" s="45" t="n"/>
      <c r="J65" s="45" t="n">
        <v>0.568627450980392</v>
      </c>
      <c r="K65" s="45" t="n">
        <v>0.827445088519885</v>
      </c>
      <c r="L65" s="45" t="n">
        <v>0</v>
      </c>
      <c r="M65" s="45" t="n"/>
      <c r="N65" s="45" t="n">
        <v>0.885284139100933</v>
      </c>
      <c r="O65" s="45" t="n"/>
      <c r="P65" s="45" t="n">
        <v>0.45327868852459</v>
      </c>
      <c r="Q65" s="45" t="n">
        <v>0.984589238023436</v>
      </c>
      <c r="R65" s="45" t="n">
        <v>0.920032162195172</v>
      </c>
      <c r="S65" s="45" t="n"/>
      <c r="T65" s="45" t="n">
        <v>0.954732510288066</v>
      </c>
      <c r="U65" s="45" t="n">
        <v>0.928908580563143</v>
      </c>
      <c r="V65" s="45" t="n"/>
      <c r="W65" s="45" t="n"/>
      <c r="X65" s="45" t="n">
        <v>0.835501300780468</v>
      </c>
      <c r="Y65" s="45" t="n"/>
      <c r="Z65" s="45" t="n">
        <v>0.712628865979382</v>
      </c>
      <c r="AA65" s="45" t="n">
        <v>0.992094250949591</v>
      </c>
      <c r="AB65" s="45" t="n">
        <v>0.953855731892622</v>
      </c>
      <c r="AC65" s="45" t="n"/>
      <c r="AD65" s="45" t="n">
        <v>0.584382871536524</v>
      </c>
      <c r="AE65" s="45" t="n">
        <v>0.883386600591327</v>
      </c>
      <c r="AF65" s="75">
        <f>IFERROR(AVERAGE(L65:U65),"")</f>
        <v/>
      </c>
      <c r="AG65" s="75">
        <f>IFERROR(AVERAGE(V65:AE65),"")</f>
        <v/>
      </c>
      <c r="AH65" s="75">
        <f>IFERROR(AVERAGE(B65:K65),"")</f>
        <v/>
      </c>
      <c r="AI65" s="45" t="n">
        <v>0.939197540283203</v>
      </c>
      <c r="AJ65" s="47" t="n">
        <v>0</v>
      </c>
    </row>
    <row r="66" ht="15" customHeight="1" s="30">
      <c r="A66" s="73" t="inlineStr">
        <is>
          <t>6768.jpg</t>
        </is>
      </c>
      <c r="B66" s="45" t="n"/>
      <c r="C66" s="45" t="n"/>
      <c r="D66" s="45" t="n">
        <v>0.798531436438733</v>
      </c>
      <c r="E66" s="45" t="n"/>
      <c r="F66" s="45" t="n">
        <v>0.46159936658749</v>
      </c>
      <c r="G66" s="45" t="n">
        <v>0.98636488340192</v>
      </c>
      <c r="H66" s="45" t="n">
        <v>0.8923078197344551</v>
      </c>
      <c r="I66" s="45" t="n">
        <v>0</v>
      </c>
      <c r="J66" s="45" t="n">
        <v>0.628352490421456</v>
      </c>
      <c r="K66" s="45" t="n">
        <v>0.802927201653132</v>
      </c>
      <c r="L66" s="45" t="n"/>
      <c r="M66" s="45" t="n"/>
      <c r="N66" s="45" t="n">
        <v>0.878344270570419</v>
      </c>
      <c r="O66" s="45" t="n"/>
      <c r="P66" s="45" t="n">
        <v>0.6282327586206899</v>
      </c>
      <c r="Q66" s="45" t="n">
        <v>0.992724310742341</v>
      </c>
      <c r="R66" s="45" t="n">
        <v>0.912232421081154</v>
      </c>
      <c r="S66" s="45" t="n"/>
      <c r="T66" s="45" t="n">
        <v>0.674897119341564</v>
      </c>
      <c r="U66" s="45" t="n">
        <v>0.945783786297887</v>
      </c>
      <c r="V66" s="45" t="n"/>
      <c r="W66" s="45" t="n"/>
      <c r="X66" s="45" t="n">
        <v>0.897832817337461</v>
      </c>
      <c r="Y66" s="45" t="n"/>
      <c r="Z66" s="45" t="n">
        <v>0.635076252723312</v>
      </c>
      <c r="AA66" s="45" t="n">
        <v>0.993547317369737</v>
      </c>
      <c r="AB66" s="45" t="n">
        <v>0.976107204986953</v>
      </c>
      <c r="AC66" s="45" t="n">
        <v>0</v>
      </c>
      <c r="AD66" s="45" t="n">
        <v>0.901098901098901</v>
      </c>
      <c r="AE66" s="45" t="n">
        <v>0.841666666666667</v>
      </c>
      <c r="AF66" s="75">
        <f>IFERROR(AVERAGE(L66:U66),"")</f>
        <v/>
      </c>
      <c r="AG66" s="75">
        <f>IFERROR(AVERAGE(V66:AE66),"")</f>
        <v/>
      </c>
      <c r="AH66" s="75">
        <f>IFERROR(AVERAGE(B66:K66),"")</f>
        <v/>
      </c>
      <c r="AI66" s="45" t="n">
        <v>0.94073486328125</v>
      </c>
      <c r="AJ66" s="47" t="n">
        <v>0</v>
      </c>
    </row>
    <row r="67" ht="15" customHeight="1" s="30">
      <c r="A67" s="73" t="inlineStr">
        <is>
          <t>6771.jpg</t>
        </is>
      </c>
      <c r="B67" s="45" t="n"/>
      <c r="C67" s="45" t="n"/>
      <c r="D67" s="45" t="n">
        <v>0.641374474053296</v>
      </c>
      <c r="E67" s="45" t="n"/>
      <c r="F67" s="45" t="n">
        <v>0.557262569832402</v>
      </c>
      <c r="G67" s="45" t="n">
        <v>0.981952274095561</v>
      </c>
      <c r="H67" s="45" t="n">
        <v>0.936213812001112</v>
      </c>
      <c r="I67" s="45" t="n"/>
      <c r="J67" s="45" t="n">
        <v>0.574074074074074</v>
      </c>
      <c r="K67" s="45" t="n">
        <v>0.824173004949897</v>
      </c>
      <c r="L67" s="45" t="n"/>
      <c r="M67" s="45" t="n"/>
      <c r="N67" s="45" t="n">
        <v>0.693404094010614</v>
      </c>
      <c r="O67" s="45" t="n"/>
      <c r="P67" s="45" t="n">
        <v>0.75</v>
      </c>
      <c r="Q67" s="45" t="n">
        <v>0.990572548586572</v>
      </c>
      <c r="R67" s="45" t="n">
        <v>0.958800706041207</v>
      </c>
      <c r="S67" s="45" t="n"/>
      <c r="T67" s="45" t="n">
        <v>0.782828282828283</v>
      </c>
      <c r="U67" s="45" t="n">
        <v>0.930343088821505</v>
      </c>
      <c r="V67" s="45" t="n"/>
      <c r="W67" s="45" t="n"/>
      <c r="X67" s="45" t="n">
        <v>0.895262333594362</v>
      </c>
      <c r="Y67" s="45" t="n"/>
      <c r="Z67" s="45" t="n">
        <v>0.684391080617496</v>
      </c>
      <c r="AA67" s="45" t="n">
        <v>0.991215590944876</v>
      </c>
      <c r="AB67" s="45" t="n">
        <v>0.9754551473022181</v>
      </c>
      <c r="AC67" s="45" t="n"/>
      <c r="AD67" s="45" t="n">
        <v>0.682819383259912</v>
      </c>
      <c r="AE67" s="45" t="n">
        <v>0.8783755528749499</v>
      </c>
      <c r="AF67" s="75">
        <f>IFERROR(AVERAGE(L67:U67),"")</f>
        <v/>
      </c>
      <c r="AG67" s="75">
        <f>IFERROR(AVERAGE(V67:AE67),"")</f>
        <v/>
      </c>
      <c r="AH67" s="75">
        <f>IFERROR(AVERAGE(B67:K67),"")</f>
        <v/>
      </c>
      <c r="AI67" s="45" t="n">
        <v>0.953418731689453</v>
      </c>
      <c r="AJ67" s="47" t="n">
        <v>0</v>
      </c>
    </row>
    <row r="68" ht="15" customHeight="1" s="30">
      <c r="A68" s="73" t="inlineStr">
        <is>
          <t>6774.jpg</t>
        </is>
      </c>
      <c r="B68" s="45" t="n"/>
      <c r="C68" s="45" t="n"/>
      <c r="D68" s="45" t="n">
        <v>0.791749044418084</v>
      </c>
      <c r="E68" s="45" t="n"/>
      <c r="F68" s="45" t="n">
        <v>0.616132167152575</v>
      </c>
      <c r="G68" s="45" t="n">
        <v>0.987740336303343</v>
      </c>
      <c r="H68" s="45" t="n">
        <v>0.953329714225525</v>
      </c>
      <c r="I68" s="45" t="n"/>
      <c r="J68" s="45" t="n">
        <v>0.573476702508961</v>
      </c>
      <c r="K68" s="45" t="n">
        <v>0.87579424630416</v>
      </c>
      <c r="L68" s="45" t="n"/>
      <c r="M68" s="45" t="n"/>
      <c r="N68" s="45" t="n">
        <v>0.832109710486217</v>
      </c>
      <c r="O68" s="45" t="n"/>
      <c r="P68" s="45" t="n">
        <v>0.714768883878241</v>
      </c>
      <c r="Q68" s="45" t="n">
        <v>0.991499892403701</v>
      </c>
      <c r="R68" s="45" t="n">
        <v>0.969695720973166</v>
      </c>
      <c r="S68" s="45" t="n"/>
      <c r="T68" s="45" t="n">
        <v>0.686695278969957</v>
      </c>
      <c r="U68" s="45" t="n">
        <v>0.9585532063603009</v>
      </c>
      <c r="V68" s="45" t="n"/>
      <c r="W68" s="45" t="n"/>
      <c r="X68" s="45" t="n">
        <v>0.942274509803922</v>
      </c>
      <c r="Y68" s="45" t="n"/>
      <c r="Z68" s="45" t="n">
        <v>0.8170103092783511</v>
      </c>
      <c r="AA68" s="45" t="n">
        <v>0.9961758307095659</v>
      </c>
      <c r="AB68" s="45" t="n">
        <v>0.982604265838219</v>
      </c>
      <c r="AC68" s="45" t="n"/>
      <c r="AD68" s="45" t="n">
        <v>0.776699029126214</v>
      </c>
      <c r="AE68" s="45" t="n">
        <v>0.910264494076262</v>
      </c>
      <c r="AF68" s="75">
        <f>IFERROR(AVERAGE(L68:U68),"")</f>
        <v/>
      </c>
      <c r="AG68" s="75">
        <f>IFERROR(AVERAGE(V68:AE68),"")</f>
        <v/>
      </c>
      <c r="AH68" s="75">
        <f>IFERROR(AVERAGE(B68:K68),"")</f>
        <v/>
      </c>
      <c r="AI68" s="45" t="n">
        <v>0.967681884765625</v>
      </c>
      <c r="AJ68" s="47" t="n">
        <v>0</v>
      </c>
    </row>
    <row r="69" ht="15" customHeight="1" s="30">
      <c r="A69" s="73" t="inlineStr">
        <is>
          <t>6775.jpg</t>
        </is>
      </c>
      <c r="B69" s="45" t="n"/>
      <c r="C69" s="45" t="n"/>
      <c r="D69" s="45" t="n">
        <v>0.801645680089764</v>
      </c>
      <c r="E69" s="45" t="n"/>
      <c r="F69" s="45" t="n">
        <v>0.6535612535612541</v>
      </c>
      <c r="G69" s="45" t="n">
        <v>0.986676063454915</v>
      </c>
      <c r="H69" s="45" t="n">
        <v>0.956668090130373</v>
      </c>
      <c r="I69" s="45" t="n"/>
      <c r="J69" s="45" t="n">
        <v>0.538699690402477</v>
      </c>
      <c r="K69" s="45" t="n">
        <v>0.885614271083325</v>
      </c>
      <c r="L69" s="45" t="n"/>
      <c r="M69" s="45" t="n"/>
      <c r="N69" s="45" t="n">
        <v>0.840522875816994</v>
      </c>
      <c r="O69" s="45" t="n"/>
      <c r="P69" s="45" t="n">
        <v>0.821045096635648</v>
      </c>
      <c r="Q69" s="45" t="n">
        <v>0.991223382938363</v>
      </c>
      <c r="R69" s="45" t="n">
        <v>0.970589734441103</v>
      </c>
      <c r="S69" s="45" t="n"/>
      <c r="T69" s="45" t="n">
        <v>0.635036496350365</v>
      </c>
      <c r="U69" s="45" t="n">
        <v>0.961577401204959</v>
      </c>
      <c r="V69" s="45" t="n"/>
      <c r="W69" s="45" t="n"/>
      <c r="X69" s="45" t="n">
        <v>0.945449198647258</v>
      </c>
      <c r="Y69" s="45" t="n"/>
      <c r="Z69" s="45" t="n">
        <v>0.762126245847176</v>
      </c>
      <c r="AA69" s="45" t="n">
        <v>0.995371985083036</v>
      </c>
      <c r="AB69" s="45" t="n">
        <v>0.985228301642737</v>
      </c>
      <c r="AC69" s="45" t="n"/>
      <c r="AD69" s="45" t="n">
        <v>0.780269058295964</v>
      </c>
      <c r="AE69" s="45" t="n">
        <v>0.918103448275862</v>
      </c>
      <c r="AF69" s="75">
        <f>IFERROR(AVERAGE(L69:U69),"")</f>
        <v/>
      </c>
      <c r="AG69" s="75">
        <f>IFERROR(AVERAGE(V69:AE69),"")</f>
        <v/>
      </c>
      <c r="AH69" s="75">
        <f>IFERROR(AVERAGE(B69:K69),"")</f>
        <v/>
      </c>
      <c r="AI69" s="45" t="n">
        <v>0.9694671630859381</v>
      </c>
      <c r="AJ69" s="47" t="n">
        <v>0</v>
      </c>
    </row>
    <row r="70" ht="15" customHeight="1" s="30">
      <c r="A70" s="73" t="inlineStr">
        <is>
          <t>6778.jpg</t>
        </is>
      </c>
      <c r="B70" s="45" t="n"/>
      <c r="C70" s="45" t="n"/>
      <c r="D70" s="45" t="n">
        <v>0.845800604229607</v>
      </c>
      <c r="E70" s="45" t="n"/>
      <c r="F70" s="45" t="n">
        <v>0.652223489167617</v>
      </c>
      <c r="G70" s="45" t="n">
        <v>0.984886075609854</v>
      </c>
      <c r="H70" s="45" t="n">
        <v>0.9478144626327339</v>
      </c>
      <c r="I70" s="45" t="n"/>
      <c r="J70" s="45" t="n">
        <v>0.440476190476191</v>
      </c>
      <c r="K70" s="45" t="n">
        <v>0.873023914177159</v>
      </c>
      <c r="L70" s="45" t="n"/>
      <c r="M70" s="45" t="n"/>
      <c r="N70" s="45" t="n">
        <v>0.8725844657773349</v>
      </c>
      <c r="O70" s="45" t="n"/>
      <c r="P70" s="45" t="n">
        <v>0.682577565632458</v>
      </c>
      <c r="Q70" s="45" t="n">
        <v>0.9952837859814599</v>
      </c>
      <c r="R70" s="45" t="n">
        <v>0.9820548112270679</v>
      </c>
      <c r="S70" s="45" t="n"/>
      <c r="T70" s="45" t="n">
        <v>0.7302631578947369</v>
      </c>
      <c r="U70" s="45" t="n">
        <v>0.921838863454005</v>
      </c>
      <c r="V70" s="45" t="n"/>
      <c r="W70" s="45" t="n"/>
      <c r="X70" s="45" t="n">
        <v>0.964980008272439</v>
      </c>
      <c r="Y70" s="45" t="n"/>
      <c r="Z70" s="45" t="n">
        <v>0.936170212765958</v>
      </c>
      <c r="AA70" s="45" t="n">
        <v>0.989504035354828</v>
      </c>
      <c r="AB70" s="45" t="n">
        <v>0.964519468519263</v>
      </c>
      <c r="AC70" s="45" t="n"/>
      <c r="AD70" s="45" t="n">
        <v>0.526066350710901</v>
      </c>
      <c r="AE70" s="45" t="n">
        <v>0.942813007868441</v>
      </c>
      <c r="AF70" s="75">
        <f>IFERROR(AVERAGE(L70:U70),"")</f>
        <v/>
      </c>
      <c r="AG70" s="75">
        <f>IFERROR(AVERAGE(V70:AE70),"")</f>
        <v/>
      </c>
      <c r="AH70" s="75">
        <f>IFERROR(AVERAGE(B70:K70),"")</f>
        <v/>
      </c>
      <c r="AI70" s="45" t="n">
        <v>0.9656219482421881</v>
      </c>
      <c r="AJ70" s="47" t="n">
        <v>0</v>
      </c>
    </row>
    <row r="71" ht="15" customHeight="1" s="30">
      <c r="A71" s="73" t="inlineStr">
        <is>
          <t>6780.jpg</t>
        </is>
      </c>
      <c r="B71" s="45" t="n"/>
      <c r="C71" s="45" t="n"/>
      <c r="D71" s="45" t="n">
        <v>0.847516412733804</v>
      </c>
      <c r="E71" s="45" t="n"/>
      <c r="F71" s="45" t="n">
        <v>0.379446640316206</v>
      </c>
      <c r="G71" s="45" t="n">
        <v>0.976524695060988</v>
      </c>
      <c r="H71" s="45" t="n">
        <v>0.940266361548363</v>
      </c>
      <c r="I71" s="45" t="n"/>
      <c r="J71" s="45" t="n">
        <v>0.372146118721461</v>
      </c>
      <c r="K71" s="45" t="n">
        <v>0.862563807606586</v>
      </c>
      <c r="L71" s="45" t="n"/>
      <c r="M71" s="45" t="n"/>
      <c r="N71" s="45" t="n">
        <v>0.905146183357587</v>
      </c>
      <c r="O71" s="45" t="n"/>
      <c r="P71" s="45" t="n">
        <v>0.452830188679245</v>
      </c>
      <c r="Q71" s="45" t="n">
        <v>0.990816009089311</v>
      </c>
      <c r="R71" s="45" t="n">
        <v>0.975346028310614</v>
      </c>
      <c r="S71" s="45" t="n"/>
      <c r="T71" s="45" t="n">
        <v>0.425587467362924</v>
      </c>
      <c r="U71" s="45" t="n">
        <v>0.916237723572269</v>
      </c>
      <c r="V71" s="45" t="n"/>
      <c r="W71" s="45" t="n"/>
      <c r="X71" s="45" t="n">
        <v>0.930125067971724</v>
      </c>
      <c r="Y71" s="45" t="n"/>
      <c r="Z71" s="45" t="n">
        <v>0.700729927007299</v>
      </c>
      <c r="AA71" s="45" t="n">
        <v>0.985444468359879</v>
      </c>
      <c r="AB71" s="45" t="n">
        <v>0.963157985452791</v>
      </c>
      <c r="AC71" s="45" t="n"/>
      <c r="AD71" s="45" t="n">
        <v>0.747706422018349</v>
      </c>
      <c r="AE71" s="45" t="n">
        <v>0.93640436459</v>
      </c>
      <c r="AF71" s="75">
        <f>IFERROR(AVERAGE(L71:U71),"")</f>
        <v/>
      </c>
      <c r="AG71" s="75">
        <f>IFERROR(AVERAGE(V71:AE71),"")</f>
        <v/>
      </c>
      <c r="AH71" s="75">
        <f>IFERROR(AVERAGE(B71:K71),"")</f>
        <v/>
      </c>
      <c r="AI71" s="45" t="n">
        <v>0.961696624755859</v>
      </c>
      <c r="AJ71" s="47" t="n">
        <v>0</v>
      </c>
    </row>
    <row r="72" ht="15" customHeight="1" s="30">
      <c r="A72" s="73" t="inlineStr">
        <is>
          <t>6785.jpg</t>
        </is>
      </c>
      <c r="B72" s="45" t="n"/>
      <c r="C72" s="45" t="n"/>
      <c r="D72" s="45" t="n">
        <v>0.858128555864907</v>
      </c>
      <c r="E72" s="45" t="n"/>
      <c r="F72" s="45" t="n">
        <v>0.589350838803793</v>
      </c>
      <c r="G72" s="45" t="n">
        <v>0.97626022129361</v>
      </c>
      <c r="H72" s="45" t="n">
        <v>0.952479829662933</v>
      </c>
      <c r="I72" s="45" t="n"/>
      <c r="J72" s="45" t="n">
        <v>0</v>
      </c>
      <c r="K72" s="45" t="n">
        <v>0.903008603644525</v>
      </c>
      <c r="L72" s="45" t="n"/>
      <c r="M72" s="45" t="n"/>
      <c r="N72" s="45" t="n">
        <v>0.909312467932273</v>
      </c>
      <c r="O72" s="45" t="n"/>
      <c r="P72" s="45" t="n">
        <v>0.618209640397858</v>
      </c>
      <c r="Q72" s="45" t="n">
        <v>0.993346705842468</v>
      </c>
      <c r="R72" s="45" t="n">
        <v>0.978797660057323</v>
      </c>
      <c r="S72" s="45" t="n"/>
      <c r="T72" s="45" t="n">
        <v>0</v>
      </c>
      <c r="U72" s="45" t="n">
        <v>0.944048716444593</v>
      </c>
      <c r="V72" s="45" t="n"/>
      <c r="W72" s="45" t="n"/>
      <c r="X72" s="45" t="n">
        <v>0.938443208895949</v>
      </c>
      <c r="Y72" s="45" t="n"/>
      <c r="Z72" s="45" t="n">
        <v>0.926605504587156</v>
      </c>
      <c r="AA72" s="45" t="n">
        <v>0.982685858021241</v>
      </c>
      <c r="AB72" s="45" t="n">
        <v>0.972545637487423</v>
      </c>
      <c r="AC72" s="45" t="n"/>
      <c r="AD72" s="45" t="n"/>
      <c r="AE72" s="45" t="n">
        <v>0.9540693899443859</v>
      </c>
      <c r="AF72" s="75">
        <f>IFERROR(AVERAGE(L72:U72),"")</f>
        <v/>
      </c>
      <c r="AG72" s="75">
        <f>IFERROR(AVERAGE(V72:AE72),"")</f>
        <v/>
      </c>
      <c r="AH72" s="75">
        <f>IFERROR(AVERAGE(B72:K72),"")</f>
        <v/>
      </c>
      <c r="AI72" s="45" t="n">
        <v>0.969184875488281</v>
      </c>
      <c r="AJ72" s="47" t="n">
        <v>0</v>
      </c>
    </row>
    <row r="73" ht="15" customHeight="1" s="30">
      <c r="A73" s="73" t="inlineStr">
        <is>
          <t>6786.jpg</t>
        </is>
      </c>
      <c r="B73" s="45" t="n"/>
      <c r="C73" s="45" t="n"/>
      <c r="D73" s="45" t="n">
        <v>0.845675390212416</v>
      </c>
      <c r="E73" s="45" t="n"/>
      <c r="F73" s="45" t="n">
        <v>0.457462686567164</v>
      </c>
      <c r="G73" s="45" t="n">
        <v>0.974270719253581</v>
      </c>
      <c r="H73" s="45" t="n">
        <v>0.95550796227849</v>
      </c>
      <c r="I73" s="45" t="n"/>
      <c r="J73" s="45" t="n">
        <v>0</v>
      </c>
      <c r="K73" s="45" t="n">
        <v>0.904549437217766</v>
      </c>
      <c r="L73" s="45" t="n"/>
      <c r="M73" s="45" t="n"/>
      <c r="N73" s="45" t="n">
        <v>0.901764485045676</v>
      </c>
      <c r="O73" s="45" t="n"/>
      <c r="P73" s="45" t="n">
        <v>0.492369477911647</v>
      </c>
      <c r="Q73" s="45" t="n">
        <v>0.9944687214180979</v>
      </c>
      <c r="R73" s="45" t="n">
        <v>0.97524944469908</v>
      </c>
      <c r="S73" s="45" t="n"/>
      <c r="T73" s="45" t="n">
        <v>0</v>
      </c>
      <c r="U73" s="45" t="n">
        <v>0.951074323941267</v>
      </c>
      <c r="V73" s="45" t="n"/>
      <c r="W73" s="45" t="n"/>
      <c r="X73" s="45" t="n">
        <v>0.931489141675284</v>
      </c>
      <c r="Y73" s="45" t="n"/>
      <c r="Z73" s="45" t="n">
        <v>0.865819209039548</v>
      </c>
      <c r="AA73" s="45" t="n">
        <v>0.979578995538268</v>
      </c>
      <c r="AB73" s="45" t="n">
        <v>0.979254434099196</v>
      </c>
      <c r="AC73" s="45" t="n"/>
      <c r="AD73" s="45" t="n">
        <v>0</v>
      </c>
      <c r="AE73" s="45" t="n">
        <v>0.948694385930188</v>
      </c>
      <c r="AF73" s="75">
        <f>IFERROR(AVERAGE(L73:U73),"")</f>
        <v/>
      </c>
      <c r="AG73" s="75">
        <f>IFERROR(AVERAGE(V73:AE73),"")</f>
        <v/>
      </c>
      <c r="AH73" s="75">
        <f>IFERROR(AVERAGE(B73:K73),"")</f>
        <v/>
      </c>
      <c r="AI73" s="45" t="n">
        <v>0.969188690185547</v>
      </c>
      <c r="AJ73" s="47" t="n">
        <v>0</v>
      </c>
    </row>
    <row r="74" ht="15" customHeight="1" s="30">
      <c r="A74" s="73" t="inlineStr">
        <is>
          <t>6794.jpg</t>
        </is>
      </c>
      <c r="B74" s="45" t="n"/>
      <c r="C74" s="45" t="n"/>
      <c r="D74" s="45" t="n">
        <v>0.796030534351145</v>
      </c>
      <c r="E74" s="45" t="n"/>
      <c r="F74" s="45" t="n">
        <v>0.7153519538247201</v>
      </c>
      <c r="G74" s="45" t="n"/>
      <c r="H74" s="45" t="n">
        <v>0.88573790822654</v>
      </c>
      <c r="I74" s="45" t="n">
        <v>0.833333333333333</v>
      </c>
      <c r="J74" s="45" t="n"/>
      <c r="K74" s="45" t="n">
        <v>0.909842441975223</v>
      </c>
      <c r="L74" s="45" t="n"/>
      <c r="M74" s="45" t="n"/>
      <c r="N74" s="45" t="n">
        <v>0.808873720136519</v>
      </c>
      <c r="O74" s="45" t="n"/>
      <c r="P74" s="45" t="n">
        <v>0.870258272800646</v>
      </c>
      <c r="Q74" s="45" t="n"/>
      <c r="R74" s="45" t="n">
        <v>0.903669337832138</v>
      </c>
      <c r="S74" s="45" t="n">
        <v>0.947242206235012</v>
      </c>
      <c r="T74" s="45" t="n"/>
      <c r="U74" s="45" t="n">
        <v>0.963897806807139</v>
      </c>
      <c r="V74" s="45" t="n"/>
      <c r="W74" s="45" t="n"/>
      <c r="X74" s="45" t="n">
        <v>0.980443775855585</v>
      </c>
      <c r="Y74" s="45" t="n"/>
      <c r="Z74" s="45" t="n">
        <v>0.800750064980877</v>
      </c>
      <c r="AA74" s="45" t="n"/>
      <c r="AB74" s="45" t="n">
        <v>0.9780881950150641</v>
      </c>
      <c r="AC74" s="45" t="n">
        <v>0.873893805309735</v>
      </c>
      <c r="AD74" s="45" t="n"/>
      <c r="AE74" s="45" t="n">
        <v>0.9419415328396959</v>
      </c>
      <c r="AF74" s="75">
        <f>IFERROR(AVERAGE(L74:U74),"")</f>
        <v/>
      </c>
      <c r="AG74" s="75">
        <f>IFERROR(AVERAGE(V74:AE74),"")</f>
        <v/>
      </c>
      <c r="AH74" s="75">
        <f>IFERROR(AVERAGE(B74:K74),"")</f>
        <v/>
      </c>
      <c r="AI74" s="45" t="n">
        <v>0.936771392822266</v>
      </c>
      <c r="AJ74" s="47" t="n">
        <v>0</v>
      </c>
    </row>
    <row r="75" ht="15" customHeight="1" s="30">
      <c r="A75" s="73" t="inlineStr">
        <is>
          <t>6795.jpg</t>
        </is>
      </c>
      <c r="B75" s="45" t="n"/>
      <c r="C75" s="45" t="n"/>
      <c r="D75" s="45" t="n">
        <v>0.90890874627674</v>
      </c>
      <c r="E75" s="45" t="n"/>
      <c r="F75" s="45" t="n">
        <v>0.7941764029299589</v>
      </c>
      <c r="G75" s="45" t="n"/>
      <c r="H75" s="45" t="n">
        <v>0.876893164142448</v>
      </c>
      <c r="I75" s="45" t="n">
        <v>0.851626016260163</v>
      </c>
      <c r="J75" s="45" t="n">
        <v>0.786641221374046</v>
      </c>
      <c r="K75" s="45" t="n">
        <v>0.881180331425782</v>
      </c>
      <c r="L75" s="45" t="n"/>
      <c r="M75" s="45" t="n"/>
      <c r="N75" s="45" t="n">
        <v>0.963211662075298</v>
      </c>
      <c r="O75" s="45" t="n"/>
      <c r="P75" s="45" t="n">
        <v>0.829581383584166</v>
      </c>
      <c r="Q75" s="45" t="n"/>
      <c r="R75" s="45" t="n">
        <v>0.902261180868146</v>
      </c>
      <c r="S75" s="45" t="n">
        <v>0.889596602972399</v>
      </c>
      <c r="T75" s="45" t="n">
        <v>0.8941431670282</v>
      </c>
      <c r="U75" s="45" t="n">
        <v>0.9674105614197031</v>
      </c>
      <c r="V75" s="45" t="n"/>
      <c r="W75" s="45" t="n"/>
      <c r="X75" s="45" t="n">
        <v>0.941595601436266</v>
      </c>
      <c r="Y75" s="45" t="n"/>
      <c r="Z75" s="45" t="n">
        <v>0.949001736111111</v>
      </c>
      <c r="AA75" s="45" t="n"/>
      <c r="AB75" s="45" t="n">
        <v>0.968932862190813</v>
      </c>
      <c r="AC75" s="45" t="n">
        <v>0.952272727272727</v>
      </c>
      <c r="AD75" s="45" t="n">
        <v>0.867424242424242</v>
      </c>
      <c r="AE75" s="45" t="n">
        <v>0.908138023562953</v>
      </c>
      <c r="AF75" s="75">
        <f>IFERROR(AVERAGE(L75:U75),"")</f>
        <v/>
      </c>
      <c r="AG75" s="75">
        <f>IFERROR(AVERAGE(V75:AE75),"")</f>
        <v/>
      </c>
      <c r="AH75" s="75">
        <f>IFERROR(AVERAGE(B75:K75),"")</f>
        <v/>
      </c>
      <c r="AI75" s="45" t="n">
        <v>0.930835723876953</v>
      </c>
      <c r="AJ75" s="47" t="n">
        <v>0</v>
      </c>
    </row>
    <row r="76" ht="15" customHeight="1" s="30">
      <c r="A76" s="73" t="inlineStr">
        <is>
          <t>6796.jpg</t>
        </is>
      </c>
      <c r="B76" s="45" t="n">
        <v>0</v>
      </c>
      <c r="C76" s="45" t="n"/>
      <c r="D76" s="45" t="n">
        <v>0.900184928340268</v>
      </c>
      <c r="E76" s="45" t="n"/>
      <c r="F76" s="45" t="n">
        <v>0.205298013245033</v>
      </c>
      <c r="G76" s="45" t="n"/>
      <c r="H76" s="45" t="n">
        <v>0.9359679662653591</v>
      </c>
      <c r="I76" s="45" t="n">
        <v>0.645833333333333</v>
      </c>
      <c r="J76" s="45" t="n">
        <v>0.850891410048622</v>
      </c>
      <c r="K76" s="45" t="n">
        <v>0.896580521385848</v>
      </c>
      <c r="L76" s="45" t="n">
        <v>0</v>
      </c>
      <c r="M76" s="45" t="n"/>
      <c r="N76" s="45" t="n">
        <v>0.940582580551664</v>
      </c>
      <c r="O76" s="45" t="n"/>
      <c r="P76" s="45" t="n">
        <v>0.208438393007228</v>
      </c>
      <c r="Q76" s="45" t="n"/>
      <c r="R76" s="45" t="n">
        <v>0.957097174537318</v>
      </c>
      <c r="S76" s="45" t="n">
        <v>0.675544794188862</v>
      </c>
      <c r="T76" s="45" t="n">
        <v>0.921456779289162</v>
      </c>
      <c r="U76" s="45" t="n">
        <v>0.973579078944144</v>
      </c>
      <c r="V76" s="45" t="n"/>
      <c r="W76" s="45" t="n"/>
      <c r="X76" s="45" t="n">
        <v>0.9544607843137261</v>
      </c>
      <c r="Y76" s="45" t="n"/>
      <c r="Z76" s="45" t="n">
        <v>0.9316303531179559</v>
      </c>
      <c r="AA76" s="45" t="n"/>
      <c r="AB76" s="45" t="n">
        <v>0.9769568634703411</v>
      </c>
      <c r="AC76" s="45" t="n">
        <v>0.936241610738255</v>
      </c>
      <c r="AD76" s="45" t="n">
        <v>0.917431192660551</v>
      </c>
      <c r="AE76" s="45" t="n">
        <v>0.918939551669096</v>
      </c>
      <c r="AF76" s="75">
        <f>IFERROR(AVERAGE(L76:U76),"")</f>
        <v/>
      </c>
      <c r="AG76" s="75">
        <f>IFERROR(AVERAGE(V76:AE76),"")</f>
        <v/>
      </c>
      <c r="AH76" s="75">
        <f>IFERROR(AVERAGE(B76:K76),"")</f>
        <v/>
      </c>
      <c r="AI76" s="45" t="n">
        <v>0.945709228515625</v>
      </c>
      <c r="AJ76" s="47" t="n">
        <v>0</v>
      </c>
    </row>
    <row r="77" ht="15" customHeight="1" s="30">
      <c r="A77" s="73" t="inlineStr">
        <is>
          <t>6809.jpg</t>
        </is>
      </c>
      <c r="B77" s="45" t="n"/>
      <c r="C77" s="45" t="n"/>
      <c r="D77" s="45" t="n"/>
      <c r="E77" s="45" t="n"/>
      <c r="F77" s="45" t="n"/>
      <c r="G77" s="45" t="n"/>
      <c r="H77" s="45" t="n">
        <v>0.901826789344175</v>
      </c>
      <c r="I77" s="45" t="n"/>
      <c r="J77" s="45" t="n"/>
      <c r="K77" s="45" t="n">
        <v>0.962297582546261</v>
      </c>
      <c r="L77" s="45" t="n"/>
      <c r="M77" s="45" t="n"/>
      <c r="N77" s="45" t="n"/>
      <c r="O77" s="45" t="n"/>
      <c r="P77" s="45" t="n"/>
      <c r="Q77" s="45" t="n"/>
      <c r="R77" s="45" t="n">
        <v>0.912541611410322</v>
      </c>
      <c r="S77" s="45" t="n"/>
      <c r="T77" s="45" t="n"/>
      <c r="U77" s="45" t="n">
        <v>0.995335890271241</v>
      </c>
      <c r="V77" s="45" t="n"/>
      <c r="W77" s="45" t="n"/>
      <c r="X77" s="45" t="n"/>
      <c r="Y77" s="45" t="n"/>
      <c r="Z77" s="45" t="n"/>
      <c r="AA77" s="45" t="n"/>
      <c r="AB77" s="45" t="n">
        <v>0.987147395078536</v>
      </c>
      <c r="AC77" s="45" t="n"/>
      <c r="AD77" s="45" t="n"/>
      <c r="AE77" s="45" t="n">
        <v>0.966656520370839</v>
      </c>
      <c r="AF77" s="75">
        <f>IFERROR(AVERAGE(L77:U77),"")</f>
        <v/>
      </c>
      <c r="AG77" s="75">
        <f>IFERROR(AVERAGE(V77:AE77),"")</f>
        <v/>
      </c>
      <c r="AH77" s="75">
        <f>IFERROR(AVERAGE(B77:K77),"")</f>
        <v/>
      </c>
      <c r="AI77" s="45" t="n">
        <v>0.971996307373047</v>
      </c>
      <c r="AJ77" s="47" t="n">
        <v>0</v>
      </c>
    </row>
    <row r="78" ht="15" customHeight="1" s="30">
      <c r="A78" s="73" t="inlineStr">
        <is>
          <t>6815.jpg</t>
        </is>
      </c>
      <c r="B78" s="45" t="n"/>
      <c r="C78" s="45" t="n"/>
      <c r="D78" s="45" t="n">
        <v>0.807356755482198</v>
      </c>
      <c r="E78" s="45" t="n"/>
      <c r="F78" s="45" t="n"/>
      <c r="G78" s="45" t="n"/>
      <c r="H78" s="45" t="n">
        <v>0.97620964600161</v>
      </c>
      <c r="I78" s="45" t="n"/>
      <c r="J78" s="45" t="n">
        <v>0.6292834890965729</v>
      </c>
      <c r="K78" s="45" t="n">
        <v>0.918704655056453</v>
      </c>
      <c r="L78" s="45" t="n"/>
      <c r="M78" s="45" t="n"/>
      <c r="N78" s="45" t="n">
        <v>0.863991925309109</v>
      </c>
      <c r="O78" s="45" t="n"/>
      <c r="P78" s="45" t="n"/>
      <c r="Q78" s="45" t="n"/>
      <c r="R78" s="45" t="n">
        <v>0.98755668591667</v>
      </c>
      <c r="S78" s="45" t="n"/>
      <c r="T78" s="45" t="n">
        <v>0.7695238095238101</v>
      </c>
      <c r="U78" s="45" t="n">
        <v>0.960675166098043</v>
      </c>
      <c r="V78" s="45" t="n"/>
      <c r="W78" s="45" t="n"/>
      <c r="X78" s="45" t="n">
        <v>0.924905456509995</v>
      </c>
      <c r="Y78" s="45" t="n"/>
      <c r="Z78" s="45" t="n"/>
      <c r="AA78" s="45" t="n"/>
      <c r="AB78" s="45" t="n">
        <v>0.9883668950864331</v>
      </c>
      <c r="AC78" s="45" t="n"/>
      <c r="AD78" s="45" t="n">
        <v>0.775431861804223</v>
      </c>
      <c r="AE78" s="45" t="n">
        <v>0.954604255572242</v>
      </c>
      <c r="AF78" s="75">
        <f>IFERROR(AVERAGE(L78:U78),"")</f>
        <v/>
      </c>
      <c r="AG78" s="75">
        <f>IFERROR(AVERAGE(V78:AE78),"")</f>
        <v/>
      </c>
      <c r="AH78" s="75">
        <f>IFERROR(AVERAGE(B78:K78),"")</f>
        <v/>
      </c>
      <c r="AI78" s="45" t="n">
        <v>0.977962493896484</v>
      </c>
      <c r="AJ78" s="47" t="n">
        <v>0</v>
      </c>
    </row>
    <row r="79" ht="15" customHeight="1" s="30">
      <c r="A79" s="73" t="inlineStr">
        <is>
          <t>6825.jpg</t>
        </is>
      </c>
      <c r="B79" s="45" t="n"/>
      <c r="C79" s="45" t="n"/>
      <c r="D79" s="45" t="n">
        <v>0.935131547188028</v>
      </c>
      <c r="E79" s="45" t="n"/>
      <c r="F79" s="45" t="n">
        <v>0.889973803286497</v>
      </c>
      <c r="G79" s="45" t="n"/>
      <c r="H79" s="45" t="n">
        <v>0.909379948065109</v>
      </c>
      <c r="I79" s="45" t="n">
        <v>0.0117647058823529</v>
      </c>
      <c r="J79" s="45" t="n"/>
      <c r="K79" s="45" t="n">
        <v>0.915925058548009</v>
      </c>
      <c r="L79" s="45" t="n"/>
      <c r="M79" s="45" t="n"/>
      <c r="N79" s="45" t="n">
        <v>0.962247749146228</v>
      </c>
      <c r="O79" s="45" t="n"/>
      <c r="P79" s="45" t="n">
        <v>0.919110212335693</v>
      </c>
      <c r="Q79" s="45" t="n"/>
      <c r="R79" s="45" t="n">
        <v>0.96161110143724</v>
      </c>
      <c r="S79" s="45" t="n">
        <v>0.5</v>
      </c>
      <c r="T79" s="45" t="n"/>
      <c r="U79" s="45" t="n">
        <v>0.957532996505598</v>
      </c>
      <c r="V79" s="45" t="n"/>
      <c r="W79" s="45" t="n"/>
      <c r="X79" s="45" t="n">
        <v>0.970746680030068</v>
      </c>
      <c r="Y79" s="45" t="n"/>
      <c r="Z79" s="45" t="n">
        <v>0.96560535155465</v>
      </c>
      <c r="AA79" s="45" t="n"/>
      <c r="AB79" s="45" t="n">
        <v>0.943637534667911</v>
      </c>
      <c r="AC79" s="45" t="n">
        <v>0.0119047619047619</v>
      </c>
      <c r="AD79" s="45" t="n"/>
      <c r="AE79" s="45" t="n">
        <v>0.954706848342284</v>
      </c>
      <c r="AF79" s="75">
        <f>IFERROR(AVERAGE(L79:U79),"")</f>
        <v/>
      </c>
      <c r="AG79" s="75">
        <f>IFERROR(AVERAGE(V79:AE79),"")</f>
        <v/>
      </c>
      <c r="AH79" s="75">
        <f>IFERROR(AVERAGE(B79:K79),"")</f>
        <v/>
      </c>
      <c r="AI79" s="45" t="n">
        <v>0.953617095947266</v>
      </c>
      <c r="AJ79" s="47" t="n">
        <v>0</v>
      </c>
    </row>
    <row r="80" ht="15" customHeight="1" s="30">
      <c r="A80" s="73" t="inlineStr">
        <is>
          <t>6827.jpg</t>
        </is>
      </c>
      <c r="B80" s="45" t="n"/>
      <c r="C80" s="45" t="n"/>
      <c r="D80" s="45" t="n"/>
      <c r="E80" s="45" t="n"/>
      <c r="F80" s="45" t="n">
        <v>0.859196167154645</v>
      </c>
      <c r="G80" s="45" t="n"/>
      <c r="H80" s="45" t="n">
        <v>0.939972112158823</v>
      </c>
      <c r="I80" s="45" t="n"/>
      <c r="J80" s="45" t="n"/>
      <c r="K80" s="45" t="n">
        <v>0.944909111185458</v>
      </c>
      <c r="L80" s="45" t="n"/>
      <c r="M80" s="45" t="n"/>
      <c r="N80" s="45" t="n"/>
      <c r="O80" s="45" t="n"/>
      <c r="P80" s="45" t="n">
        <v>0.995681677976558</v>
      </c>
      <c r="Q80" s="45" t="n"/>
      <c r="R80" s="45" t="n">
        <v>0.960784037028675</v>
      </c>
      <c r="S80" s="45" t="n"/>
      <c r="T80" s="45" t="n"/>
      <c r="U80" s="45" t="n">
        <v>0.960052876746821</v>
      </c>
      <c r="V80" s="45" t="n"/>
      <c r="W80" s="45" t="n"/>
      <c r="X80" s="45" t="n"/>
      <c r="Y80" s="45" t="n"/>
      <c r="Z80" s="45" t="n">
        <v>0.862409831685814</v>
      </c>
      <c r="AA80" s="45" t="n"/>
      <c r="AB80" s="45" t="n">
        <v>0.977474373331036</v>
      </c>
      <c r="AC80" s="45" t="n"/>
      <c r="AD80" s="45" t="n"/>
      <c r="AE80" s="45" t="n">
        <v>0.983580549464723</v>
      </c>
      <c r="AF80" s="75">
        <f>IFERROR(AVERAGE(L80:U80),"")</f>
        <v/>
      </c>
      <c r="AG80" s="75">
        <f>IFERROR(AVERAGE(V80:AE80),"")</f>
        <v/>
      </c>
      <c r="AH80" s="75">
        <f>IFERROR(AVERAGE(B80:K80),"")</f>
        <v/>
      </c>
      <c r="AI80" s="45" t="n">
        <v>0.964656829833984</v>
      </c>
      <c r="AJ80" s="47" t="n">
        <v>0</v>
      </c>
    </row>
    <row r="81" ht="15" customHeight="1" s="30">
      <c r="A81" s="73" t="inlineStr">
        <is>
          <t>6831.jpg</t>
        </is>
      </c>
      <c r="B81" s="45" t="n"/>
      <c r="C81" s="45" t="n"/>
      <c r="D81" s="45" t="n">
        <v>0.909354268022999</v>
      </c>
      <c r="E81" s="45" t="n"/>
      <c r="F81" s="45" t="n">
        <v>0.846995269834444</v>
      </c>
      <c r="G81" s="45" t="n"/>
      <c r="H81" s="45" t="n">
        <v>0.850878054636936</v>
      </c>
      <c r="I81" s="45" t="n">
        <v>0.683363148479428</v>
      </c>
      <c r="J81" s="45" t="n">
        <v>0.86368843069874</v>
      </c>
      <c r="K81" s="45" t="n">
        <v>0.803828704846149</v>
      </c>
      <c r="L81" s="45" t="n"/>
      <c r="M81" s="45" t="n"/>
      <c r="N81" s="45" t="n">
        <v>0.946006257476765</v>
      </c>
      <c r="O81" s="45" t="n"/>
      <c r="P81" s="45" t="n">
        <v>0.870027330701488</v>
      </c>
      <c r="Q81" s="45" t="n"/>
      <c r="R81" s="45" t="n">
        <v>0.904481802466558</v>
      </c>
      <c r="S81" s="45" t="n">
        <v>0.878969167050161</v>
      </c>
      <c r="T81" s="45" t="n">
        <v>0.9464435146443519</v>
      </c>
      <c r="U81" s="45" t="n">
        <v>0.923618002769993</v>
      </c>
      <c r="V81" s="45" t="n"/>
      <c r="W81" s="45" t="n"/>
      <c r="X81" s="45" t="n">
        <v>0.959135120005598</v>
      </c>
      <c r="Y81" s="45" t="n"/>
      <c r="Z81" s="45" t="n">
        <v>0.969692307692308</v>
      </c>
      <c r="AA81" s="45" t="n"/>
      <c r="AB81" s="45" t="n">
        <v>0.934884278690491</v>
      </c>
      <c r="AC81" s="45" t="n">
        <v>0.75434439178515</v>
      </c>
      <c r="AD81" s="45" t="n">
        <v>0.90806904857487</v>
      </c>
      <c r="AE81" s="45" t="n">
        <v>0.861068748856219</v>
      </c>
      <c r="AF81" s="75">
        <f>IFERROR(AVERAGE(L81:U81),"")</f>
        <v/>
      </c>
      <c r="AG81" s="75">
        <f>IFERROR(AVERAGE(V81:AE81),"")</f>
        <v/>
      </c>
      <c r="AH81" s="75">
        <f>IFERROR(AVERAGE(B81:K81),"")</f>
        <v/>
      </c>
      <c r="AI81" s="45" t="n">
        <v>0.913471221923828</v>
      </c>
      <c r="AJ81" s="47" t="n">
        <v>0</v>
      </c>
    </row>
    <row r="82" ht="15" customHeight="1" s="30">
      <c r="A82" s="73" t="inlineStr">
        <is>
          <t>6844.jpg</t>
        </is>
      </c>
      <c r="B82" s="45" t="n"/>
      <c r="C82" s="45" t="n"/>
      <c r="D82" s="45" t="n">
        <v>0.928399549026537</v>
      </c>
      <c r="E82" s="45" t="n"/>
      <c r="F82" s="45" t="n">
        <v>0.868710164374371</v>
      </c>
      <c r="G82" s="45" t="n"/>
      <c r="H82" s="45" t="n">
        <v>0.864098757285824</v>
      </c>
      <c r="I82" s="45" t="n">
        <v>0</v>
      </c>
      <c r="J82" s="45" t="n">
        <v>0.482387600871013</v>
      </c>
      <c r="K82" s="45" t="n">
        <v>0.8908582089552241</v>
      </c>
      <c r="L82" s="45" t="n"/>
      <c r="M82" s="45" t="n"/>
      <c r="N82" s="45" t="n">
        <v>0.961938802196844</v>
      </c>
      <c r="O82" s="45" t="n"/>
      <c r="P82" s="45" t="n">
        <v>0.90510725676089</v>
      </c>
      <c r="Q82" s="45" t="n"/>
      <c r="R82" s="45" t="n">
        <v>0.934858264671763</v>
      </c>
      <c r="S82" s="45" t="n">
        <v>0</v>
      </c>
      <c r="T82" s="45" t="n">
        <v>0.9354197714853451</v>
      </c>
      <c r="U82" s="45" t="n">
        <v>0.952232827680245</v>
      </c>
      <c r="V82" s="45" t="n"/>
      <c r="W82" s="45" t="n"/>
      <c r="X82" s="45" t="n">
        <v>0.963804066801761</v>
      </c>
      <c r="Y82" s="45" t="n"/>
      <c r="Z82" s="45" t="n">
        <v>0.955757519837608</v>
      </c>
      <c r="AA82" s="45" t="n"/>
      <c r="AB82" s="45" t="n">
        <v>0.91946053478439</v>
      </c>
      <c r="AC82" s="45" t="n"/>
      <c r="AD82" s="45" t="n">
        <v>0.499006227640122</v>
      </c>
      <c r="AE82" s="45" t="n">
        <v>0.932531568449077</v>
      </c>
      <c r="AF82" s="75">
        <f>IFERROR(AVERAGE(L82:U82),"")</f>
        <v/>
      </c>
      <c r="AG82" s="75">
        <f>IFERROR(AVERAGE(V82:AE82),"")</f>
        <v/>
      </c>
      <c r="AH82" s="75">
        <f>IFERROR(AVERAGE(B82:K82),"")</f>
        <v/>
      </c>
      <c r="AI82" s="45" t="n">
        <v>0.92901611328125</v>
      </c>
      <c r="AJ82" s="47" t="n">
        <v>0</v>
      </c>
    </row>
    <row r="83" ht="15" customHeight="1" s="30">
      <c r="A83" s="73" t="inlineStr">
        <is>
          <t>6850.jpg</t>
        </is>
      </c>
      <c r="B83" s="45" t="n"/>
      <c r="C83" s="45" t="n"/>
      <c r="D83" s="45" t="n">
        <v>0.7394650054965189</v>
      </c>
      <c r="E83" s="45" t="n"/>
      <c r="F83" s="45" t="n"/>
      <c r="G83" s="45" t="n"/>
      <c r="H83" s="45" t="n">
        <v>0.960383252026814</v>
      </c>
      <c r="I83" s="45" t="n"/>
      <c r="J83" s="45" t="n"/>
      <c r="K83" s="45" t="n">
        <v>0.949868523568368</v>
      </c>
      <c r="L83" s="45" t="n"/>
      <c r="M83" s="45" t="n"/>
      <c r="N83" s="45" t="n">
        <v>0.845412651864265</v>
      </c>
      <c r="O83" s="45" t="n"/>
      <c r="P83" s="45" t="n"/>
      <c r="Q83" s="45" t="n"/>
      <c r="R83" s="45" t="n">
        <v>0.975418659860696</v>
      </c>
      <c r="S83" s="45" t="n"/>
      <c r="T83" s="45" t="n"/>
      <c r="U83" s="45" t="n">
        <v>0.979504217996786</v>
      </c>
      <c r="V83" s="45" t="n"/>
      <c r="W83" s="45" t="n"/>
      <c r="X83" s="45" t="n">
        <v>0.855084745762712</v>
      </c>
      <c r="Y83" s="45" t="n"/>
      <c r="Z83" s="45" t="n"/>
      <c r="AA83" s="45" t="n"/>
      <c r="AB83" s="45" t="n">
        <v>0.984203370810764</v>
      </c>
      <c r="AC83" s="45" t="n"/>
      <c r="AD83" s="45" t="n"/>
      <c r="AE83" s="45" t="n">
        <v>0.969130639992713</v>
      </c>
      <c r="AF83" s="75">
        <f>IFERROR(AVERAGE(L83:U83),"")</f>
        <v/>
      </c>
      <c r="AG83" s="75">
        <f>IFERROR(AVERAGE(V83:AE83),"")</f>
        <v/>
      </c>
      <c r="AH83" s="75">
        <f>IFERROR(AVERAGE(B83:K83),"")</f>
        <v/>
      </c>
      <c r="AI83" s="45" t="n">
        <v>0.976097106933594</v>
      </c>
      <c r="AJ83" s="47" t="n">
        <v>0</v>
      </c>
    </row>
    <row r="84" ht="15" customHeight="1" s="30">
      <c r="A84" s="73" t="inlineStr">
        <is>
          <t>6856.jpg</t>
        </is>
      </c>
      <c r="B84" s="45" t="n"/>
      <c r="C84" s="45" t="n"/>
      <c r="D84" s="45" t="n">
        <v>0.944466140748262</v>
      </c>
      <c r="E84" s="45" t="n"/>
      <c r="F84" s="45" t="n">
        <v>0.836989907854322</v>
      </c>
      <c r="G84" s="45" t="n"/>
      <c r="H84" s="45" t="n">
        <v>0.911763399795728</v>
      </c>
      <c r="I84" s="45" t="n">
        <v>0.7533678756476681</v>
      </c>
      <c r="J84" s="45" t="n">
        <v>0.746905089408528</v>
      </c>
      <c r="K84" s="45" t="n">
        <v>0.922998413242646</v>
      </c>
      <c r="L84" s="45" t="n"/>
      <c r="M84" s="45" t="n"/>
      <c r="N84" s="45" t="n">
        <v>0.973767389422399</v>
      </c>
      <c r="O84" s="45" t="n"/>
      <c r="P84" s="45" t="n">
        <v>0.959748427672956</v>
      </c>
      <c r="Q84" s="45" t="n"/>
      <c r="R84" s="45" t="n">
        <v>0.950632574398389</v>
      </c>
      <c r="S84" s="45" t="n">
        <v>0.887667887667888</v>
      </c>
      <c r="T84" s="45" t="n">
        <v>0.769121813031161</v>
      </c>
      <c r="U84" s="45" t="n">
        <v>0.959993365400564</v>
      </c>
      <c r="V84" s="45" t="n"/>
      <c r="W84" s="45" t="n"/>
      <c r="X84" s="45" t="n">
        <v>0.969123805325693</v>
      </c>
      <c r="Y84" s="45" t="n"/>
      <c r="Z84" s="45" t="n">
        <v>0.86743974533879</v>
      </c>
      <c r="AA84" s="45" t="n"/>
      <c r="AB84" s="45" t="n">
        <v>0.957080094626563</v>
      </c>
      <c r="AC84" s="45" t="n">
        <v>0.832760595647194</v>
      </c>
      <c r="AD84" s="45" t="n">
        <v>0.962765957446809</v>
      </c>
      <c r="AE84" s="45" t="n">
        <v>0.959921717569596</v>
      </c>
      <c r="AF84" s="75">
        <f>IFERROR(AVERAGE(L84:U84),"")</f>
        <v/>
      </c>
      <c r="AG84" s="75">
        <f>IFERROR(AVERAGE(V84:AE84),"")</f>
        <v/>
      </c>
      <c r="AH84" s="75">
        <f>IFERROR(AVERAGE(B84:K84),"")</f>
        <v/>
      </c>
      <c r="AI84" s="45" t="n">
        <v>0.958774566650391</v>
      </c>
      <c r="AJ84" s="47" t="n">
        <v>0</v>
      </c>
    </row>
    <row r="85" ht="15" customHeight="1" s="30">
      <c r="A85" s="73" t="inlineStr">
        <is>
          <t>6893.jpg</t>
        </is>
      </c>
      <c r="B85" s="45" t="n"/>
      <c r="C85" s="45" t="n"/>
      <c r="D85" s="45" t="n">
        <v>0.927686986825778</v>
      </c>
      <c r="E85" s="45" t="n"/>
      <c r="F85" s="45" t="n">
        <v>0.77971878994461</v>
      </c>
      <c r="G85" s="45" t="n"/>
      <c r="H85" s="45" t="n">
        <v>0.909061481190317</v>
      </c>
      <c r="I85" s="45" t="n">
        <v>0.803667262969589</v>
      </c>
      <c r="J85" s="45" t="n"/>
      <c r="K85" s="45" t="n">
        <v>0.887565971349585</v>
      </c>
      <c r="L85" s="45" t="n"/>
      <c r="M85" s="45" t="n"/>
      <c r="N85" s="45" t="n">
        <v>0.950266381804906</v>
      </c>
      <c r="O85" s="45" t="n"/>
      <c r="P85" s="45" t="n">
        <v>0.810738968633705</v>
      </c>
      <c r="Q85" s="45" t="n"/>
      <c r="R85" s="45" t="n">
        <v>0.948928364549141</v>
      </c>
      <c r="S85" s="45" t="n">
        <v>0.880450759431651</v>
      </c>
      <c r="T85" s="45" t="n"/>
      <c r="U85" s="45" t="n">
        <v>0.960251508199507</v>
      </c>
      <c r="V85" s="45" t="n"/>
      <c r="W85" s="45" t="n"/>
      <c r="X85" s="45" t="n">
        <v>0.975026361063322</v>
      </c>
      <c r="Y85" s="45" t="n"/>
      <c r="Z85" s="45" t="n">
        <v>0.953224294197312</v>
      </c>
      <c r="AA85" s="45" t="n"/>
      <c r="AB85" s="45" t="n">
        <v>0.955826222254637</v>
      </c>
      <c r="AC85" s="45" t="n">
        <v>0.90210843373494</v>
      </c>
      <c r="AD85" s="45" t="n"/>
      <c r="AE85" s="45" t="n">
        <v>0.921418671015084</v>
      </c>
      <c r="AF85" s="75">
        <f>IFERROR(AVERAGE(L85:U85),"")</f>
        <v/>
      </c>
      <c r="AG85" s="75">
        <f>IFERROR(AVERAGE(V85:AE85),"")</f>
        <v/>
      </c>
      <c r="AH85" s="75">
        <f>IFERROR(AVERAGE(B85:K85),"")</f>
        <v/>
      </c>
      <c r="AI85" s="45" t="n">
        <v>0.941768646240234</v>
      </c>
      <c r="AJ85" s="47" t="n">
        <v>0</v>
      </c>
    </row>
    <row r="86" ht="15" customHeight="1" s="30">
      <c r="A86" s="73" t="inlineStr">
        <is>
          <t>6895.jpg</t>
        </is>
      </c>
      <c r="B86" s="45" t="n"/>
      <c r="C86" s="45" t="n"/>
      <c r="D86" s="45" t="n">
        <v>0.932287229657314</v>
      </c>
      <c r="E86" s="45" t="n"/>
      <c r="F86" s="45" t="n">
        <v>0.715053148931306</v>
      </c>
      <c r="G86" s="45" t="n"/>
      <c r="H86" s="45" t="n">
        <v>0.889400292895022</v>
      </c>
      <c r="I86" s="45" t="n">
        <v>0.824324324324324</v>
      </c>
      <c r="J86" s="45" t="n"/>
      <c r="K86" s="45" t="n">
        <v>0.863582847125926</v>
      </c>
      <c r="L86" s="45" t="n"/>
      <c r="M86" s="45" t="n"/>
      <c r="N86" s="45" t="n">
        <v>0.96257519010328</v>
      </c>
      <c r="O86" s="45" t="n"/>
      <c r="P86" s="45" t="n">
        <v>0.762833800756005</v>
      </c>
      <c r="Q86" s="45" t="n"/>
      <c r="R86" s="45" t="n">
        <v>0.936283897655891</v>
      </c>
      <c r="S86" s="45" t="n">
        <v>0.897058823529412</v>
      </c>
      <c r="T86" s="45" t="n"/>
      <c r="U86" s="45" t="n">
        <v>0.945091339454445</v>
      </c>
      <c r="V86" s="45" t="n"/>
      <c r="W86" s="45" t="n"/>
      <c r="X86" s="45" t="n">
        <v>0.967351012261192</v>
      </c>
      <c r="Y86" s="45" t="n"/>
      <c r="Z86" s="45" t="n">
        <v>0.919459141681364</v>
      </c>
      <c r="AA86" s="45" t="n"/>
      <c r="AB86" s="45" t="n">
        <v>0.946699844117619</v>
      </c>
      <c r="AC86" s="45" t="n">
        <v>0.91044776119403</v>
      </c>
      <c r="AD86" s="45" t="n"/>
      <c r="AE86" s="45" t="n">
        <v>0.909200257093013</v>
      </c>
      <c r="AF86" s="75">
        <f>IFERROR(AVERAGE(L86:U86),"")</f>
        <v/>
      </c>
      <c r="AG86" s="75">
        <f>IFERROR(AVERAGE(V86:AE86),"")</f>
        <v/>
      </c>
      <c r="AH86" s="75">
        <f>IFERROR(AVERAGE(B86:K86),"")</f>
        <v/>
      </c>
      <c r="AI86" s="45" t="n">
        <v>0.932292938232422</v>
      </c>
      <c r="AJ86" s="47" t="n">
        <v>0</v>
      </c>
    </row>
    <row r="87" ht="15" customHeight="1" s="30">
      <c r="A87" s="73" t="inlineStr">
        <is>
          <t>6896.jpg</t>
        </is>
      </c>
      <c r="B87" s="45" t="n"/>
      <c r="C87" s="45" t="n"/>
      <c r="D87" s="45" t="n">
        <v>0.905756915560837</v>
      </c>
      <c r="E87" s="45" t="n"/>
      <c r="F87" s="45" t="n">
        <v>0.723326258923403</v>
      </c>
      <c r="G87" s="45" t="n"/>
      <c r="H87" s="45" t="n">
        <v>0.940627156329065</v>
      </c>
      <c r="I87" s="45" t="n">
        <v>0.847176079734219</v>
      </c>
      <c r="J87" s="45" t="n"/>
      <c r="K87" s="45" t="n">
        <v>0.874797291818698</v>
      </c>
      <c r="L87" s="45" t="n"/>
      <c r="M87" s="45" t="n"/>
      <c r="N87" s="45" t="n">
        <v>0.945878865179772</v>
      </c>
      <c r="O87" s="45" t="n"/>
      <c r="P87" s="45" t="n">
        <v>0.780716368179925</v>
      </c>
      <c r="Q87" s="45" t="n"/>
      <c r="R87" s="45" t="n">
        <v>0.972509789622208</v>
      </c>
      <c r="S87" s="45" t="n">
        <v>0.9216867469879521</v>
      </c>
      <c r="T87" s="45" t="n"/>
      <c r="U87" s="45" t="n">
        <v>0.940770614202409</v>
      </c>
      <c r="V87" s="45" t="n"/>
      <c r="W87" s="45" t="n"/>
      <c r="X87" s="45" t="n">
        <v>0.955263890823005</v>
      </c>
      <c r="Y87" s="45" t="n"/>
      <c r="Z87" s="45" t="n">
        <v>0.90774818401937</v>
      </c>
      <c r="AA87" s="45" t="n"/>
      <c r="AB87" s="45" t="n">
        <v>0.966320631370016</v>
      </c>
      <c r="AC87" s="45" t="n">
        <v>0.912887828162291</v>
      </c>
      <c r="AD87" s="45" t="n"/>
      <c r="AE87" s="45" t="n">
        <v>0.925785691301083</v>
      </c>
      <c r="AF87" s="75">
        <f>IFERROR(AVERAGE(L87:U87),"")</f>
        <v/>
      </c>
      <c r="AG87" s="75">
        <f>IFERROR(AVERAGE(V87:AE87),"")</f>
        <v/>
      </c>
      <c r="AH87" s="75">
        <f>IFERROR(AVERAGE(B87:K87),"")</f>
        <v/>
      </c>
      <c r="AI87" s="45" t="n">
        <v>0.94775390625</v>
      </c>
      <c r="AJ87" s="47" t="n">
        <v>0</v>
      </c>
    </row>
    <row r="88" ht="15" customHeight="1" s="30">
      <c r="A88" s="73" t="inlineStr">
        <is>
          <t>6898.jpg</t>
        </is>
      </c>
      <c r="B88" s="45" t="n"/>
      <c r="C88" s="45" t="n"/>
      <c r="D88" s="45" t="n">
        <v>0.917700502085381</v>
      </c>
      <c r="E88" s="45" t="n">
        <v>0</v>
      </c>
      <c r="F88" s="45" t="n">
        <v>0.689817891798485</v>
      </c>
      <c r="G88" s="45" t="n"/>
      <c r="H88" s="45" t="n">
        <v>0.943998144154516</v>
      </c>
      <c r="I88" s="45" t="n">
        <v>0.785601265822785</v>
      </c>
      <c r="J88" s="45" t="n"/>
      <c r="K88" s="45" t="n">
        <v>0.889682532113941</v>
      </c>
      <c r="L88" s="45" t="n"/>
      <c r="M88" s="45" t="n"/>
      <c r="N88" s="45" t="n">
        <v>0.955707408841919</v>
      </c>
      <c r="O88" s="45" t="n">
        <v>0</v>
      </c>
      <c r="P88" s="45" t="n">
        <v>0.721565628476085</v>
      </c>
      <c r="Q88" s="45" t="n"/>
      <c r="R88" s="45" t="n">
        <v>0.973524486305922</v>
      </c>
      <c r="S88" s="45" t="n">
        <v>0.911009174311927</v>
      </c>
      <c r="T88" s="45" t="n"/>
      <c r="U88" s="45" t="n">
        <v>0.95527385547967</v>
      </c>
      <c r="V88" s="45" t="n"/>
      <c r="W88" s="45" t="n"/>
      <c r="X88" s="45" t="n">
        <v>0.958465124021974</v>
      </c>
      <c r="Y88" s="45" t="n"/>
      <c r="Z88" s="45" t="n">
        <v>0.940041662892854</v>
      </c>
      <c r="AA88" s="45" t="n"/>
      <c r="AB88" s="45" t="n">
        <v>0.968871526706114</v>
      </c>
      <c r="AC88" s="45" t="n">
        <v>0.850899742930591</v>
      </c>
      <c r="AD88" s="45" t="n"/>
      <c r="AE88" s="45" t="n">
        <v>0.928353218632144</v>
      </c>
      <c r="AF88" s="75">
        <f>IFERROR(AVERAGE(L88:U88),"")</f>
        <v/>
      </c>
      <c r="AG88" s="75">
        <f>IFERROR(AVERAGE(V88:AE88),"")</f>
        <v/>
      </c>
      <c r="AH88" s="75">
        <f>IFERROR(AVERAGE(B88:K88),"")</f>
        <v/>
      </c>
      <c r="AI88" s="45" t="n">
        <v>0.950168609619141</v>
      </c>
      <c r="AJ88" s="47" t="n">
        <v>0</v>
      </c>
    </row>
    <row r="89" ht="15" customHeight="1" s="30">
      <c r="A89" s="73" t="inlineStr">
        <is>
          <t>6905.jpg</t>
        </is>
      </c>
      <c r="B89" s="45" t="n"/>
      <c r="C89" s="45" t="n"/>
      <c r="D89" s="45" t="n">
        <v>0.926565771939844</v>
      </c>
      <c r="E89" s="45" t="n"/>
      <c r="F89" s="45" t="n">
        <v>0.776947557769476</v>
      </c>
      <c r="G89" s="45" t="n"/>
      <c r="H89" s="45" t="n">
        <v>0.933506803640624</v>
      </c>
      <c r="I89" s="45" t="n">
        <v>0.7752808988764049</v>
      </c>
      <c r="J89" s="45" t="n"/>
      <c r="K89" s="45" t="n">
        <v>0.92134990448789</v>
      </c>
      <c r="L89" s="45" t="n"/>
      <c r="M89" s="45" t="n"/>
      <c r="N89" s="45" t="n">
        <v>0.973717772387407</v>
      </c>
      <c r="O89" s="45" t="n"/>
      <c r="P89" s="45" t="n">
        <v>0.816311695863924</v>
      </c>
      <c r="Q89" s="45" t="n"/>
      <c r="R89" s="45" t="n">
        <v>0.954406209692279</v>
      </c>
      <c r="S89" s="45" t="n">
        <v>0.826347305389222</v>
      </c>
      <c r="T89" s="45" t="n"/>
      <c r="U89" s="45" t="n">
        <v>0.970786293495457</v>
      </c>
      <c r="V89" s="45" t="n"/>
      <c r="W89" s="45" t="n"/>
      <c r="X89" s="45" t="n">
        <v>0.9503331462182411</v>
      </c>
      <c r="Y89" s="45" t="n"/>
      <c r="Z89" s="45" t="n">
        <v>0.941561163746122</v>
      </c>
      <c r="AA89" s="45" t="n"/>
      <c r="AB89" s="45" t="n">
        <v>0.977080066496103</v>
      </c>
      <c r="AC89" s="45" t="n">
        <v>0.926174496644295</v>
      </c>
      <c r="AD89" s="45" t="n"/>
      <c r="AE89" s="45" t="n">
        <v>0.9476237447648</v>
      </c>
      <c r="AF89" s="75">
        <f>IFERROR(AVERAGE(L89:U89),"")</f>
        <v/>
      </c>
      <c r="AG89" s="75">
        <f>IFERROR(AVERAGE(V89:AE89),"")</f>
        <v/>
      </c>
      <c r="AH89" s="75">
        <f>IFERROR(AVERAGE(B89:K89),"")</f>
        <v/>
      </c>
      <c r="AI89" s="45" t="n">
        <v>0.957241058349609</v>
      </c>
      <c r="AJ89" s="47" t="n">
        <v>0</v>
      </c>
    </row>
    <row r="90" ht="15" customHeight="1" s="30">
      <c r="A90" s="73" t="inlineStr">
        <is>
          <t>6906.jpg</t>
        </is>
      </c>
      <c r="B90" s="45" t="n"/>
      <c r="C90" s="45" t="n">
        <v>0</v>
      </c>
      <c r="D90" s="45" t="n">
        <v>0.913816351296688</v>
      </c>
      <c r="E90" s="45" t="n"/>
      <c r="F90" s="45" t="n">
        <v>0.734056822338739</v>
      </c>
      <c r="G90" s="45" t="n"/>
      <c r="H90" s="45" t="n">
        <v>0.9108890983349039</v>
      </c>
      <c r="I90" s="45" t="n">
        <v>0.841008771929825</v>
      </c>
      <c r="J90" s="45" t="n"/>
      <c r="K90" s="45" t="n">
        <v>0.897636273059164</v>
      </c>
      <c r="L90" s="45" t="n"/>
      <c r="M90" s="45" t="n">
        <v>0</v>
      </c>
      <c r="N90" s="45" t="n">
        <v>0.967176462193469</v>
      </c>
      <c r="O90" s="45" t="n"/>
      <c r="P90" s="45" t="n">
        <v>0.774675073993051</v>
      </c>
      <c r="Q90" s="45" t="n"/>
      <c r="R90" s="45" t="n">
        <v>0.983514023256761</v>
      </c>
      <c r="S90" s="45" t="n">
        <v>0.880091795754446</v>
      </c>
      <c r="T90" s="45" t="n"/>
      <c r="U90" s="45" t="n">
        <v>0.93538089629951</v>
      </c>
      <c r="V90" s="45" t="n"/>
      <c r="W90" s="45" t="n"/>
      <c r="X90" s="45" t="n">
        <v>0.943063221856301</v>
      </c>
      <c r="Y90" s="45" t="n"/>
      <c r="Z90" s="45" t="n">
        <v>0.933333333333333</v>
      </c>
      <c r="AA90" s="45" t="n"/>
      <c r="AB90" s="45" t="n">
        <v>0.925012761613068</v>
      </c>
      <c r="AC90" s="45" t="n">
        <v>0.94984520123839</v>
      </c>
      <c r="AD90" s="45" t="n"/>
      <c r="AE90" s="45" t="n">
        <v>0.95698012699067</v>
      </c>
      <c r="AF90" s="75">
        <f>IFERROR(AVERAGE(L90:U90),"")</f>
        <v/>
      </c>
      <c r="AG90" s="75">
        <f>IFERROR(AVERAGE(V90:AE90),"")</f>
        <v/>
      </c>
      <c r="AH90" s="75">
        <f>IFERROR(AVERAGE(B90:K90),"")</f>
        <v/>
      </c>
      <c r="AI90" s="45" t="n">
        <v>0.943927764892578</v>
      </c>
      <c r="AJ90" s="47" t="n">
        <v>0</v>
      </c>
    </row>
    <row r="91" ht="15" customHeight="1" s="30">
      <c r="A91" s="73" t="inlineStr">
        <is>
          <t>6907.jpg</t>
        </is>
      </c>
      <c r="B91" s="45" t="n"/>
      <c r="C91" s="45" t="n"/>
      <c r="D91" s="45" t="n">
        <v>0.904414860029468</v>
      </c>
      <c r="E91" s="45" t="n"/>
      <c r="F91" s="45" t="n">
        <v>0.717892768079801</v>
      </c>
      <c r="G91" s="45" t="n"/>
      <c r="H91" s="45" t="n">
        <v>0.940988968017917</v>
      </c>
      <c r="I91" s="45" t="n">
        <v>0.860452869931543</v>
      </c>
      <c r="J91" s="45" t="n"/>
      <c r="K91" s="45" t="n">
        <v>0.915320927944914</v>
      </c>
      <c r="L91" s="45" t="n"/>
      <c r="M91" s="45" t="n"/>
      <c r="N91" s="45" t="n">
        <v>0.9440828321111751</v>
      </c>
      <c r="O91" s="45" t="n"/>
      <c r="P91" s="45" t="n">
        <v>0.731018283392585</v>
      </c>
      <c r="Q91" s="45" t="n"/>
      <c r="R91" s="45" t="n">
        <v>0.959927954935571</v>
      </c>
      <c r="S91" s="45" t="n">
        <v>0.906267332224071</v>
      </c>
      <c r="T91" s="45" t="n"/>
      <c r="U91" s="45" t="n">
        <v>0.979067691228518</v>
      </c>
      <c r="V91" s="45" t="n"/>
      <c r="W91" s="45" t="n"/>
      <c r="X91" s="45" t="n">
        <v>0.9556043589458471</v>
      </c>
      <c r="Y91" s="45" t="n"/>
      <c r="Z91" s="45" t="n">
        <v>0.975599423875286</v>
      </c>
      <c r="AA91" s="45" t="n"/>
      <c r="AB91" s="45" t="n">
        <v>0.979463713059352</v>
      </c>
      <c r="AC91" s="45" t="n">
        <v>0.944508670520231</v>
      </c>
      <c r="AD91" s="45" t="n"/>
      <c r="AE91" s="45" t="n">
        <v>0.933590751199045</v>
      </c>
      <c r="AF91" s="75">
        <f>IFERROR(AVERAGE(L91:U91),"")</f>
        <v/>
      </c>
      <c r="AG91" s="75">
        <f>IFERROR(AVERAGE(V91:AE91),"")</f>
        <v/>
      </c>
      <c r="AH91" s="75">
        <f>IFERROR(AVERAGE(B91:K91),"")</f>
        <v/>
      </c>
      <c r="AI91" s="45" t="n">
        <v>0.952762603759766</v>
      </c>
      <c r="AJ91" s="47" t="n">
        <v>0</v>
      </c>
    </row>
    <row r="92" ht="15" customHeight="1" s="30">
      <c r="A92" s="73" t="inlineStr">
        <is>
          <t>6910.jpg</t>
        </is>
      </c>
      <c r="B92" s="45" t="n"/>
      <c r="C92" s="45" t="n"/>
      <c r="D92" s="45" t="n">
        <v>0.892815846362677</v>
      </c>
      <c r="E92" s="45" t="n"/>
      <c r="F92" s="45" t="n">
        <v>0.718054862842893</v>
      </c>
      <c r="G92" s="45" t="n">
        <v>0.794877675840979</v>
      </c>
      <c r="H92" s="45" t="n">
        <v>0.918892451851994</v>
      </c>
      <c r="I92" s="45" t="n">
        <v>0.813976377952756</v>
      </c>
      <c r="J92" s="45" t="n"/>
      <c r="K92" s="45" t="n">
        <v>0.8796929599390561</v>
      </c>
      <c r="L92" s="45" t="n"/>
      <c r="M92" s="45" t="n"/>
      <c r="N92" s="45" t="n">
        <v>0.973682767695597</v>
      </c>
      <c r="O92" s="45" t="n"/>
      <c r="P92" s="45" t="n">
        <v>0.807595220732597</v>
      </c>
      <c r="Q92" s="45" t="n">
        <v>0.979739917075009</v>
      </c>
      <c r="R92" s="45" t="n">
        <v>0.944397848931866</v>
      </c>
      <c r="S92" s="45" t="n">
        <v>0.9516685845799771</v>
      </c>
      <c r="T92" s="45" t="n"/>
      <c r="U92" s="45" t="n">
        <v>0.938058489033306</v>
      </c>
      <c r="V92" s="45" t="n"/>
      <c r="W92" s="45" t="n"/>
      <c r="X92" s="45" t="n">
        <v>0.914893617021277</v>
      </c>
      <c r="Y92" s="45" t="n"/>
      <c r="Z92" s="45" t="n">
        <v>0.866245487364621</v>
      </c>
      <c r="AA92" s="45" t="n">
        <v>0.80816167897396</v>
      </c>
      <c r="AB92" s="45" t="n">
        <v>0.971448291261939</v>
      </c>
      <c r="AC92" s="45" t="n">
        <v>0.849075975359343</v>
      </c>
      <c r="AD92" s="45" t="n"/>
      <c r="AE92" s="45" t="n">
        <v>0.933943437859887</v>
      </c>
      <c r="AF92" s="75">
        <f>IFERROR(AVERAGE(L92:U92),"")</f>
        <v/>
      </c>
      <c r="AG92" s="75">
        <f>IFERROR(AVERAGE(V92:AE92),"")</f>
        <v/>
      </c>
      <c r="AH92" s="75">
        <f>IFERROR(AVERAGE(B92:K92),"")</f>
        <v/>
      </c>
      <c r="AI92" s="45" t="n">
        <v>0.935848236083984</v>
      </c>
      <c r="AJ92" s="47" t="n">
        <v>0</v>
      </c>
    </row>
    <row r="93" ht="15" customHeight="1" s="30">
      <c r="A93" s="73" t="inlineStr">
        <is>
          <t>6912.jpg</t>
        </is>
      </c>
      <c r="B93" s="45" t="n"/>
      <c r="C93" s="45" t="n"/>
      <c r="D93" s="45" t="n">
        <v>0.556701030927835</v>
      </c>
      <c r="E93" s="45" t="n"/>
      <c r="F93" s="45" t="n">
        <v>0.77753381345512</v>
      </c>
      <c r="G93" s="45" t="n"/>
      <c r="H93" s="45" t="n">
        <v>0.930418726547144</v>
      </c>
      <c r="I93" s="45" t="n"/>
      <c r="J93" s="45" t="n"/>
      <c r="K93" s="45" t="n">
        <v>0.858703973655784</v>
      </c>
      <c r="L93" s="45" t="n"/>
      <c r="M93" s="45" t="n"/>
      <c r="N93" s="45" t="n">
        <v>0.5687536571094211</v>
      </c>
      <c r="O93" s="45" t="n"/>
      <c r="P93" s="45" t="n">
        <v>0.8266878326641141</v>
      </c>
      <c r="Q93" s="45" t="n"/>
      <c r="R93" s="45" t="n">
        <v>0.947720309419081</v>
      </c>
      <c r="S93" s="45" t="n"/>
      <c r="T93" s="45" t="n"/>
      <c r="U93" s="45" t="n">
        <v>0.964417380242871</v>
      </c>
      <c r="V93" s="45" t="n"/>
      <c r="W93" s="45" t="n"/>
      <c r="X93" s="45" t="n">
        <v>0.963330029732408</v>
      </c>
      <c r="Y93" s="45" t="n"/>
      <c r="Z93" s="45" t="n">
        <v>0.928961175236097</v>
      </c>
      <c r="AA93" s="45" t="n"/>
      <c r="AB93" s="45" t="n">
        <v>0.980756311490334</v>
      </c>
      <c r="AC93" s="45" t="n"/>
      <c r="AD93" s="45" t="n"/>
      <c r="AE93" s="45" t="n">
        <v>0.886799809383529</v>
      </c>
      <c r="AF93" s="75">
        <f>IFERROR(AVERAGE(L93:U93),"")</f>
        <v/>
      </c>
      <c r="AG93" s="75">
        <f>IFERROR(AVERAGE(V93:AE93),"")</f>
        <v/>
      </c>
      <c r="AH93" s="75">
        <f>IFERROR(AVERAGE(B93:K93),"")</f>
        <v/>
      </c>
      <c r="AI93" s="45" t="n">
        <v>0.945713043212891</v>
      </c>
      <c r="AJ93" s="47" t="n">
        <v>0</v>
      </c>
    </row>
    <row r="94" ht="15" customHeight="1" s="30">
      <c r="A94" s="73" t="inlineStr">
        <is>
          <t>6915.jpg</t>
        </is>
      </c>
      <c r="B94" s="45" t="n">
        <v>0</v>
      </c>
      <c r="C94" s="45" t="n"/>
      <c r="D94" s="45" t="n"/>
      <c r="E94" s="45" t="n"/>
      <c r="F94" s="45" t="n">
        <v>0</v>
      </c>
      <c r="G94" s="45" t="n"/>
      <c r="H94" s="45" t="n">
        <v>0.969345401810272</v>
      </c>
      <c r="I94" s="45" t="n"/>
      <c r="J94" s="45" t="n"/>
      <c r="K94" s="45" t="n">
        <v>0.898028066622529</v>
      </c>
      <c r="L94" s="45" t="n"/>
      <c r="M94" s="45" t="n"/>
      <c r="N94" s="45" t="n"/>
      <c r="O94" s="45" t="n"/>
      <c r="P94" s="45" t="n">
        <v>0</v>
      </c>
      <c r="Q94" s="45" t="n"/>
      <c r="R94" s="45" t="n">
        <v>0.971780617417364</v>
      </c>
      <c r="S94" s="45" t="n"/>
      <c r="T94" s="45" t="n"/>
      <c r="U94" s="45" t="n">
        <v>0.982139307720703</v>
      </c>
      <c r="V94" s="45" t="n">
        <v>0</v>
      </c>
      <c r="W94" s="45" t="n"/>
      <c r="X94" s="45" t="n"/>
      <c r="Y94" s="45" t="n"/>
      <c r="Z94" s="45" t="n"/>
      <c r="AA94" s="45" t="n"/>
      <c r="AB94" s="45" t="n">
        <v>0.997421486847296</v>
      </c>
      <c r="AC94" s="45" t="n"/>
      <c r="AD94" s="45" t="n"/>
      <c r="AE94" s="45" t="n">
        <v>0.912937325960434</v>
      </c>
      <c r="AF94" s="75">
        <f>IFERROR(AVERAGE(L94:U94),"")</f>
        <v/>
      </c>
      <c r="AG94" s="75">
        <f>IFERROR(AVERAGE(V94:AE94),"")</f>
        <v/>
      </c>
      <c r="AH94" s="75">
        <f>IFERROR(AVERAGE(B94:K94),"")</f>
        <v/>
      </c>
      <c r="AI94" s="45" t="n">
        <v>0.92938232421875</v>
      </c>
      <c r="AJ94" s="47" t="n">
        <v>0</v>
      </c>
    </row>
    <row r="95" ht="15" customHeight="1" s="30">
      <c r="A95" s="73" t="inlineStr">
        <is>
          <t>6920.jpg</t>
        </is>
      </c>
      <c r="B95" s="45" t="n">
        <v>0</v>
      </c>
      <c r="C95" s="45" t="n"/>
      <c r="D95" s="45" t="n">
        <v>0</v>
      </c>
      <c r="E95" s="45" t="n"/>
      <c r="F95" s="45" t="n">
        <v>0.210243700950021</v>
      </c>
      <c r="G95" s="45" t="n">
        <v>0.634516899965859</v>
      </c>
      <c r="H95" s="45" t="n">
        <v>0.914128692466224</v>
      </c>
      <c r="I95" s="45" t="n"/>
      <c r="J95" s="45" t="n"/>
      <c r="K95" s="45" t="n">
        <v>0.9385478226102389</v>
      </c>
      <c r="L95" s="45" t="n"/>
      <c r="M95" s="45" t="n"/>
      <c r="N95" s="45" t="n">
        <v>0</v>
      </c>
      <c r="O95" s="45" t="n"/>
      <c r="P95" s="45" t="n">
        <v>0.237185461323392</v>
      </c>
      <c r="Q95" s="45" t="n">
        <v>0.952466367713005</v>
      </c>
      <c r="R95" s="45" t="n">
        <v>0.948572592416579</v>
      </c>
      <c r="S95" s="45" t="n"/>
      <c r="T95" s="45" t="n"/>
      <c r="U95" s="45" t="n">
        <v>0.951550925668847</v>
      </c>
      <c r="V95" s="45" t="n">
        <v>0</v>
      </c>
      <c r="W95" s="45" t="n"/>
      <c r="X95" s="45" t="n"/>
      <c r="Y95" s="45" t="n"/>
      <c r="Z95" s="45" t="n">
        <v>0.649234693877551</v>
      </c>
      <c r="AA95" s="45" t="n">
        <v>0.655266637285148</v>
      </c>
      <c r="AB95" s="45" t="n">
        <v>0.961795277758656</v>
      </c>
      <c r="AC95" s="45" t="n"/>
      <c r="AD95" s="45" t="n"/>
      <c r="AE95" s="45" t="n">
        <v>0.985649042886067</v>
      </c>
      <c r="AF95" s="75">
        <f>IFERROR(AVERAGE(L95:U95),"")</f>
        <v/>
      </c>
      <c r="AG95" s="75">
        <f>IFERROR(AVERAGE(V95:AE95),"")</f>
        <v/>
      </c>
      <c r="AH95" s="75">
        <f>IFERROR(AVERAGE(B95:K95),"")</f>
        <v/>
      </c>
      <c r="AI95" s="45" t="n">
        <v>0.908836364746094</v>
      </c>
      <c r="AJ95" s="47" t="n">
        <v>0</v>
      </c>
    </row>
    <row r="96" ht="15" customHeight="1" s="30">
      <c r="A96" s="73" t="inlineStr">
        <is>
          <t>6927.jpg</t>
        </is>
      </c>
      <c r="B96" s="45" t="n">
        <v>0</v>
      </c>
      <c r="C96" s="45" t="n"/>
      <c r="D96" s="45" t="n">
        <v>0.566294317629917</v>
      </c>
      <c r="E96" s="45" t="n"/>
      <c r="F96" s="45" t="n">
        <v>0.946734908096263</v>
      </c>
      <c r="G96" s="45" t="n"/>
      <c r="H96" s="45" t="n">
        <v>0.8842362095684</v>
      </c>
      <c r="I96" s="45" t="n">
        <v>0.394394996391629</v>
      </c>
      <c r="J96" s="45" t="n"/>
      <c r="K96" s="45" t="n">
        <v>0.82159292526059</v>
      </c>
      <c r="L96" s="45" t="n">
        <v>0</v>
      </c>
      <c r="M96" s="45" t="n"/>
      <c r="N96" s="45" t="n">
        <v>0.570380335086217</v>
      </c>
      <c r="O96" s="45" t="n"/>
      <c r="P96" s="45" t="n">
        <v>0.959273664516229</v>
      </c>
      <c r="Q96" s="45" t="n"/>
      <c r="R96" s="45" t="n">
        <v>0.898711482716442</v>
      </c>
      <c r="S96" s="45" t="n">
        <v>0.9384659416141961</v>
      </c>
      <c r="T96" s="45" t="n"/>
      <c r="U96" s="45" t="n">
        <v>0.956340050662321</v>
      </c>
      <c r="V96" s="45" t="n"/>
      <c r="W96" s="45" t="n"/>
      <c r="X96" s="45" t="n">
        <v>0.987507939868728</v>
      </c>
      <c r="Y96" s="45" t="n"/>
      <c r="Z96" s="45" t="n">
        <v>0.986381524854116</v>
      </c>
      <c r="AA96" s="45" t="n"/>
      <c r="AB96" s="45" t="n">
        <v>0.9821104865142</v>
      </c>
      <c r="AC96" s="45" t="n">
        <v>0.404864798123225</v>
      </c>
      <c r="AD96" s="45" t="n"/>
      <c r="AE96" s="45" t="n">
        <v>0.853610415046516</v>
      </c>
      <c r="AF96" s="75">
        <f>IFERROR(AVERAGE(L96:U96),"")</f>
        <v/>
      </c>
      <c r="AG96" s="75">
        <f>IFERROR(AVERAGE(V96:AE96),"")</f>
        <v/>
      </c>
      <c r="AH96" s="75">
        <f>IFERROR(AVERAGE(B96:K96),"")</f>
        <v/>
      </c>
      <c r="AI96" s="45" t="n">
        <v>0.932376861572266</v>
      </c>
      <c r="AJ96" s="47" t="n">
        <v>0</v>
      </c>
    </row>
    <row r="97" ht="15" customHeight="1" s="30">
      <c r="A97" s="73" t="inlineStr">
        <is>
          <t>6951.jpg</t>
        </is>
      </c>
      <c r="B97" s="45" t="n">
        <v>0</v>
      </c>
      <c r="C97" s="45" t="n"/>
      <c r="D97" s="45" t="n">
        <v>0.929064549534001</v>
      </c>
      <c r="E97" s="45" t="n"/>
      <c r="F97" s="45" t="n">
        <v>0.9094956837801</v>
      </c>
      <c r="G97" s="45" t="n">
        <v>0.972443564911298</v>
      </c>
      <c r="H97" s="45" t="n">
        <v>0.901137246411879</v>
      </c>
      <c r="I97" s="45" t="n"/>
      <c r="J97" s="45" t="n">
        <v>0.858143939393939</v>
      </c>
      <c r="K97" s="45" t="n">
        <v>0.868440220595886</v>
      </c>
      <c r="L97" s="45" t="n">
        <v>0</v>
      </c>
      <c r="M97" s="45" t="n"/>
      <c r="N97" s="45" t="n">
        <v>0.93487321986801</v>
      </c>
      <c r="O97" s="45" t="n"/>
      <c r="P97" s="45" t="n">
        <v>0.9289957304622239</v>
      </c>
      <c r="Q97" s="45" t="n">
        <v>0.978225444167467</v>
      </c>
      <c r="R97" s="45" t="n">
        <v>0.9511136201728559</v>
      </c>
      <c r="S97" s="45" t="n"/>
      <c r="T97" s="45" t="n">
        <v>0.996043086392614</v>
      </c>
      <c r="U97" s="45" t="n">
        <v>0.94250061169562</v>
      </c>
      <c r="V97" s="45" t="n"/>
      <c r="W97" s="45" t="n"/>
      <c r="X97" s="45" t="n">
        <v>0.993356707879683</v>
      </c>
      <c r="Y97" s="45" t="n"/>
      <c r="Z97" s="45" t="n">
        <v>0.97744140625</v>
      </c>
      <c r="AA97" s="45" t="n">
        <v>0.99395865031773</v>
      </c>
      <c r="AB97" s="45" t="n">
        <v>0.9449029191037041</v>
      </c>
      <c r="AC97" s="45" t="n"/>
      <c r="AD97" s="45" t="n">
        <v>0.861079437476245</v>
      </c>
      <c r="AE97" s="45" t="n">
        <v>0.917025289798011</v>
      </c>
      <c r="AF97" s="75">
        <f>IFERROR(AVERAGE(L97:U97),"")</f>
        <v/>
      </c>
      <c r="AG97" s="75">
        <f>IFERROR(AVERAGE(V97:AE97),"")</f>
        <v/>
      </c>
      <c r="AH97" s="75">
        <f>IFERROR(AVERAGE(B97:K97),"")</f>
        <v/>
      </c>
      <c r="AI97" s="45" t="n">
        <v>0.960594177246094</v>
      </c>
      <c r="AJ97" s="47" t="n">
        <v>0</v>
      </c>
    </row>
    <row r="98" ht="15" customHeight="1" s="30">
      <c r="A98" s="73" t="inlineStr">
        <is>
          <t>6952.jpg</t>
        </is>
      </c>
      <c r="B98" s="45" t="n"/>
      <c r="C98" s="45" t="n"/>
      <c r="D98" s="45" t="n">
        <v>0.833224695036782</v>
      </c>
      <c r="E98" s="45" t="n"/>
      <c r="F98" s="45" t="n">
        <v>0.951029098651526</v>
      </c>
      <c r="G98" s="45" t="n">
        <v>0.948973843735024</v>
      </c>
      <c r="H98" s="45" t="n">
        <v>0.870144711838731</v>
      </c>
      <c r="I98" s="45" t="n"/>
      <c r="J98" s="45" t="n">
        <v>0.771069492360769</v>
      </c>
      <c r="K98" s="45" t="n">
        <v>0.8706633209687979</v>
      </c>
      <c r="L98" s="45" t="n"/>
      <c r="M98" s="45" t="n"/>
      <c r="N98" s="45" t="n">
        <v>0.955064574661117</v>
      </c>
      <c r="O98" s="45" t="n"/>
      <c r="P98" s="45" t="n">
        <v>0.980069482537941</v>
      </c>
      <c r="Q98" s="45" t="n">
        <v>0.952537681232805</v>
      </c>
      <c r="R98" s="45" t="n">
        <v>0.970491463125445</v>
      </c>
      <c r="S98" s="45" t="n"/>
      <c r="T98" s="45" t="n">
        <v>0.989563567362429</v>
      </c>
      <c r="U98" s="45" t="n">
        <v>0.908440683754198</v>
      </c>
      <c r="V98" s="45" t="n"/>
      <c r="W98" s="45" t="n"/>
      <c r="X98" s="45" t="n">
        <v>0.867222329908897</v>
      </c>
      <c r="Y98" s="45" t="n"/>
      <c r="Z98" s="45" t="n">
        <v>0.969784693323684</v>
      </c>
      <c r="AA98" s="45" t="n">
        <v>0.996072894144641</v>
      </c>
      <c r="AB98" s="45" t="n">
        <v>0.893792143266632</v>
      </c>
      <c r="AC98" s="45" t="n"/>
      <c r="AD98" s="45" t="n">
        <v>0.777391304347826</v>
      </c>
      <c r="AE98" s="45" t="n">
        <v>0.954414989037273</v>
      </c>
      <c r="AF98" s="75">
        <f>IFERROR(AVERAGE(L98:U98),"")</f>
        <v/>
      </c>
      <c r="AG98" s="75">
        <f>IFERROR(AVERAGE(V98:AE98),"")</f>
        <v/>
      </c>
      <c r="AH98" s="75">
        <f>IFERROR(AVERAGE(B98:K98),"")</f>
        <v/>
      </c>
      <c r="AI98" s="45" t="n">
        <v>0.949977874755859</v>
      </c>
      <c r="AJ98" s="47" t="n">
        <v>0</v>
      </c>
    </row>
    <row r="99" ht="15" customHeight="1" s="30">
      <c r="A99" s="73" t="inlineStr">
        <is>
          <t>6954.jpg</t>
        </is>
      </c>
      <c r="B99" s="45" t="n">
        <v>0</v>
      </c>
      <c r="C99" s="45" t="n"/>
      <c r="D99" s="45" t="n">
        <v>0.846072411602795</v>
      </c>
      <c r="E99" s="45" t="n"/>
      <c r="F99" s="45" t="n">
        <v>0.775222551928783</v>
      </c>
      <c r="G99" s="45" t="n">
        <v>0.980029486663986</v>
      </c>
      <c r="H99" s="45" t="n">
        <v>0.938871136115516</v>
      </c>
      <c r="I99" s="45" t="n"/>
      <c r="J99" s="45" t="n">
        <v>0.701149425287356</v>
      </c>
      <c r="K99" s="45" t="n">
        <v>0.816503405525369</v>
      </c>
      <c r="L99" s="45" t="n">
        <v>0</v>
      </c>
      <c r="M99" s="45" t="n"/>
      <c r="N99" s="45" t="n">
        <v>0.945575011831519</v>
      </c>
      <c r="O99" s="45" t="n"/>
      <c r="P99" s="45" t="n">
        <v>0.91078361461057</v>
      </c>
      <c r="Q99" s="45" t="n">
        <v>0.996891530784752</v>
      </c>
      <c r="R99" s="45" t="n">
        <v>0.957550735120813</v>
      </c>
      <c r="S99" s="45" t="n"/>
      <c r="T99" s="45" t="n">
        <v>0.882894736842105</v>
      </c>
      <c r="U99" s="45" t="n">
        <v>0.900738708315745</v>
      </c>
      <c r="V99" s="45" t="n"/>
      <c r="W99" s="45" t="n"/>
      <c r="X99" s="45" t="n">
        <v>0.889383485421767</v>
      </c>
      <c r="Y99" s="45" t="n"/>
      <c r="Z99" s="45" t="n">
        <v>0.838928623558605</v>
      </c>
      <c r="AA99" s="45" t="n">
        <v>0.983033529617381</v>
      </c>
      <c r="AB99" s="45" t="n">
        <v>0.979645119984035</v>
      </c>
      <c r="AC99" s="45" t="n"/>
      <c r="AD99" s="45" t="n">
        <v>0.773041474654378</v>
      </c>
      <c r="AE99" s="45" t="n">
        <v>0.897235362136024</v>
      </c>
      <c r="AF99" s="75">
        <f>IFERROR(AVERAGE(L99:U99),"")</f>
        <v/>
      </c>
      <c r="AG99" s="75">
        <f>IFERROR(AVERAGE(V99:AE99),"")</f>
        <v/>
      </c>
      <c r="AH99" s="75">
        <f>IFERROR(AVERAGE(B99:K99),"")</f>
        <v/>
      </c>
      <c r="AI99" s="45" t="n">
        <v>0.95538330078125</v>
      </c>
      <c r="AJ99" s="47" t="n">
        <v>0</v>
      </c>
    </row>
    <row r="100" ht="15" customHeight="1" s="30">
      <c r="A100" s="73" t="inlineStr">
        <is>
          <t>6959.jpg</t>
        </is>
      </c>
      <c r="B100" s="45" t="n">
        <v>0</v>
      </c>
      <c r="C100" s="45" t="n"/>
      <c r="D100" s="45" t="n">
        <v>0.93075017088175</v>
      </c>
      <c r="E100" s="45" t="n"/>
      <c r="F100" s="45" t="n">
        <v>0.845324612403101</v>
      </c>
      <c r="G100" s="45" t="n"/>
      <c r="H100" s="45" t="n">
        <v>0.90693215719653</v>
      </c>
      <c r="I100" s="45" t="n">
        <v>0.849453322119428</v>
      </c>
      <c r="J100" s="45" t="n">
        <v>0.918353726362625</v>
      </c>
      <c r="K100" s="45" t="n">
        <v>0.863118784613382</v>
      </c>
      <c r="L100" s="45" t="n">
        <v>0</v>
      </c>
      <c r="M100" s="45" t="n"/>
      <c r="N100" s="45" t="n">
        <v>0.971203138233852</v>
      </c>
      <c r="O100" s="45" t="n"/>
      <c r="P100" s="45" t="n">
        <v>0.937281762019877</v>
      </c>
      <c r="Q100" s="45" t="n"/>
      <c r="R100" s="45" t="n">
        <v>0.947584955489881</v>
      </c>
      <c r="S100" s="45" t="n">
        <v>0.889867841409692</v>
      </c>
      <c r="T100" s="45" t="n">
        <v>0.954450867052023</v>
      </c>
      <c r="U100" s="45" t="n">
        <v>0.926252324094275</v>
      </c>
      <c r="V100" s="45" t="n"/>
      <c r="W100" s="45" t="n"/>
      <c r="X100" s="45" t="n">
        <v>0.9571654511905811</v>
      </c>
      <c r="Y100" s="45" t="n"/>
      <c r="Z100" s="45" t="n">
        <v>0.896007189626396</v>
      </c>
      <c r="AA100" s="45" t="n"/>
      <c r="AB100" s="45" t="n">
        <v>0.954832636361991</v>
      </c>
      <c r="AC100" s="45" t="n">
        <v>0.949248120300752</v>
      </c>
      <c r="AD100" s="45" t="n">
        <v>0.960446719404374</v>
      </c>
      <c r="AE100" s="45" t="n">
        <v>0.926810121409599</v>
      </c>
      <c r="AF100" s="75">
        <f>IFERROR(AVERAGE(L100:U100),"")</f>
        <v/>
      </c>
      <c r="AG100" s="75">
        <f>IFERROR(AVERAGE(V100:AE100),"")</f>
        <v/>
      </c>
      <c r="AH100" s="75">
        <f>IFERROR(AVERAGE(B100:K100),"")</f>
        <v/>
      </c>
      <c r="AI100" s="45" t="n">
        <v>0.9436187744140631</v>
      </c>
      <c r="AJ100" s="47" t="n">
        <v>0</v>
      </c>
    </row>
    <row r="101" ht="15" customHeight="1" s="30">
      <c r="A101" s="73" t="inlineStr">
        <is>
          <t>6961.jpg</t>
        </is>
      </c>
      <c r="B101" s="45" t="n"/>
      <c r="C101" s="45" t="n">
        <v>0</v>
      </c>
      <c r="D101" s="45" t="n">
        <v>0.886859949810454</v>
      </c>
      <c r="E101" s="45" t="n"/>
      <c r="F101" s="45" t="n">
        <v>0.837940608401738</v>
      </c>
      <c r="G101" s="45" t="n">
        <v>0</v>
      </c>
      <c r="H101" s="45" t="n">
        <v>0.929305762898496</v>
      </c>
      <c r="I101" s="45" t="n">
        <v>0.72469280280866</v>
      </c>
      <c r="J101" s="45" t="n">
        <v>0.835815644423596</v>
      </c>
      <c r="K101" s="45" t="n">
        <v>0.816749676811609</v>
      </c>
      <c r="L101" s="45" t="n"/>
      <c r="M101" s="45" t="n">
        <v>0</v>
      </c>
      <c r="N101" s="45" t="n">
        <v>0.922794866571603</v>
      </c>
      <c r="O101" s="45" t="n"/>
      <c r="P101" s="45" t="n">
        <v>0.923808890071866</v>
      </c>
      <c r="Q101" s="45" t="n">
        <v>0</v>
      </c>
      <c r="R101" s="45" t="n">
        <v>0.94716622782406</v>
      </c>
      <c r="S101" s="45" t="n">
        <v>0.875884016973126</v>
      </c>
      <c r="T101" s="45" t="n">
        <v>0.944473893453485</v>
      </c>
      <c r="U101" s="45" t="n">
        <v>0.9334348836942949</v>
      </c>
      <c r="V101" s="45" t="n"/>
      <c r="W101" s="45" t="n"/>
      <c r="X101" s="45" t="n">
        <v>0.957937636971817</v>
      </c>
      <c r="Y101" s="45" t="n"/>
      <c r="Z101" s="45" t="n">
        <v>0.900149127925825</v>
      </c>
      <c r="AA101" s="45" t="n"/>
      <c r="AB101" s="45" t="n">
        <v>0.980112335711813</v>
      </c>
      <c r="AC101" s="45" t="n">
        <v>0.807629605477666</v>
      </c>
      <c r="AD101" s="45" t="n">
        <v>0.87900838677849</v>
      </c>
      <c r="AE101" s="45" t="n">
        <v>0.867262569832402</v>
      </c>
      <c r="AF101" s="75">
        <f>IFERROR(AVERAGE(L101:U101),"")</f>
        <v/>
      </c>
      <c r="AG101" s="75">
        <f>IFERROR(AVERAGE(V101:AE101),"")</f>
        <v/>
      </c>
      <c r="AH101" s="75">
        <f>IFERROR(AVERAGE(B101:K101),"")</f>
        <v/>
      </c>
      <c r="AI101" s="45" t="n">
        <v>0.925407409667969</v>
      </c>
      <c r="AJ101" s="47" t="n">
        <v>0</v>
      </c>
    </row>
    <row r="102" ht="15" customHeight="1" s="30">
      <c r="A102" s="73" t="inlineStr">
        <is>
          <t>6963.jpg</t>
        </is>
      </c>
      <c r="B102" s="45" t="n"/>
      <c r="C102" s="45" t="n"/>
      <c r="D102" s="45" t="n">
        <v>0.894178918744527</v>
      </c>
      <c r="E102" s="45" t="n"/>
      <c r="F102" s="45" t="n">
        <v>0.815848572345204</v>
      </c>
      <c r="G102" s="45" t="n">
        <v>0</v>
      </c>
      <c r="H102" s="45" t="n">
        <v>0.893810512064558</v>
      </c>
      <c r="I102" s="45" t="n">
        <v>0.801087449025827</v>
      </c>
      <c r="J102" s="45" t="n">
        <v>0.472650145121679</v>
      </c>
      <c r="K102" s="45" t="n">
        <v>0.750016477256678</v>
      </c>
      <c r="L102" s="45" t="n"/>
      <c r="M102" s="45" t="n"/>
      <c r="N102" s="45" t="n">
        <v>0.908137711517308</v>
      </c>
      <c r="O102" s="45" t="n"/>
      <c r="P102" s="45" t="n">
        <v>0.844149377593361</v>
      </c>
      <c r="Q102" s="45" t="n">
        <v>0</v>
      </c>
      <c r="R102" s="45" t="n">
        <v>0.931028084206229</v>
      </c>
      <c r="S102" s="45" t="n">
        <v>0.927110644992134</v>
      </c>
      <c r="T102" s="45" t="n">
        <v>1</v>
      </c>
      <c r="U102" s="45" t="n">
        <v>0.888612480756788</v>
      </c>
      <c r="V102" s="45" t="n"/>
      <c r="W102" s="45" t="n"/>
      <c r="X102" s="45" t="n">
        <v>0.983100661278472</v>
      </c>
      <c r="Y102" s="45" t="n"/>
      <c r="Z102" s="45" t="n">
        <v>0.96052880075543</v>
      </c>
      <c r="AA102" s="45" t="n"/>
      <c r="AB102" s="45" t="n">
        <v>0.957190686494272</v>
      </c>
      <c r="AC102" s="45" t="n">
        <v>0.854932301740812</v>
      </c>
      <c r="AD102" s="45" t="n">
        <v>0.472650145121679</v>
      </c>
      <c r="AE102" s="45" t="n">
        <v>0.827846022739083</v>
      </c>
      <c r="AF102" s="75">
        <f>IFERROR(AVERAGE(L102:U102),"")</f>
        <v/>
      </c>
      <c r="AG102" s="75">
        <f>IFERROR(AVERAGE(V102:AE102),"")</f>
        <v/>
      </c>
      <c r="AH102" s="75">
        <f>IFERROR(AVERAGE(B102:K102),"")</f>
        <v/>
      </c>
      <c r="AI102" s="45" t="n">
        <v>0.896385192871094</v>
      </c>
      <c r="AJ102" s="47" t="n">
        <v>0</v>
      </c>
    </row>
    <row r="103" ht="15" customHeight="1" s="30">
      <c r="A103" s="73" t="inlineStr">
        <is>
          <t>6979.jpg</t>
        </is>
      </c>
      <c r="B103" s="45" t="n"/>
      <c r="C103" s="45" t="n"/>
      <c r="D103" s="45" t="n">
        <v>0.929805325576192</v>
      </c>
      <c r="E103" s="45" t="n"/>
      <c r="F103" s="45" t="n">
        <v>0.813804547174755</v>
      </c>
      <c r="G103" s="45" t="n"/>
      <c r="H103" s="45" t="n">
        <v>0.81121481829178</v>
      </c>
      <c r="I103" s="45" t="n">
        <v>0.813008130081301</v>
      </c>
      <c r="J103" s="45" t="n">
        <v>0</v>
      </c>
      <c r="K103" s="45" t="n">
        <v>0.7693178572885641</v>
      </c>
      <c r="L103" s="45" t="n"/>
      <c r="M103" s="45" t="n"/>
      <c r="N103" s="45" t="n">
        <v>0.961274203622736</v>
      </c>
      <c r="O103" s="45" t="n"/>
      <c r="P103" s="45" t="n">
        <v>0.863181621688384</v>
      </c>
      <c r="Q103" s="45" t="n"/>
      <c r="R103" s="45" t="n">
        <v>0.886866932459638</v>
      </c>
      <c r="S103" s="45" t="n">
        <v>0.991501416430595</v>
      </c>
      <c r="T103" s="45" t="n">
        <v>0</v>
      </c>
      <c r="U103" s="45" t="n">
        <v>0.893303804064617</v>
      </c>
      <c r="V103" s="45" t="n"/>
      <c r="W103" s="45" t="n"/>
      <c r="X103" s="45" t="n">
        <v>0.965989399293286</v>
      </c>
      <c r="Y103" s="45" t="n"/>
      <c r="Z103" s="45" t="n">
        <v>0.93432486631016</v>
      </c>
      <c r="AA103" s="45" t="n"/>
      <c r="AB103" s="45" t="n">
        <v>0.904851084395578</v>
      </c>
      <c r="AC103" s="45" t="n">
        <v>0.8187134502923979</v>
      </c>
      <c r="AD103" s="45" t="n"/>
      <c r="AE103" s="45" t="n">
        <v>0.847161228730275</v>
      </c>
      <c r="AF103" s="75">
        <f>IFERROR(AVERAGE(L103:U103),"")</f>
        <v/>
      </c>
      <c r="AG103" s="75">
        <f>IFERROR(AVERAGE(V103:AE103),"")</f>
        <v/>
      </c>
      <c r="AH103" s="75">
        <f>IFERROR(AVERAGE(B103:K103),"")</f>
        <v/>
      </c>
      <c r="AI103" s="45" t="n">
        <v>0.898372650146484</v>
      </c>
      <c r="AJ103" s="47" t="n">
        <v>0</v>
      </c>
    </row>
    <row r="104" ht="15" customHeight="1" s="30">
      <c r="A104" s="73" t="inlineStr">
        <is>
          <t>7004.jpg</t>
        </is>
      </c>
      <c r="B104" s="45" t="n"/>
      <c r="C104" s="45" t="n"/>
      <c r="D104" s="45" t="n">
        <v>0.949736716132121</v>
      </c>
      <c r="E104" s="45" t="n"/>
      <c r="F104" s="45" t="n">
        <v>0</v>
      </c>
      <c r="G104" s="45" t="n"/>
      <c r="H104" s="45" t="n">
        <v>0.879473413845549</v>
      </c>
      <c r="I104" s="45" t="n"/>
      <c r="J104" s="45" t="n"/>
      <c r="K104" s="45" t="n">
        <v>0.92099425849082</v>
      </c>
      <c r="L104" s="45" t="n"/>
      <c r="M104" s="45" t="n"/>
      <c r="N104" s="45" t="n">
        <v>0.962406015037594</v>
      </c>
      <c r="O104" s="45" t="n"/>
      <c r="P104" s="45" t="n">
        <v>0</v>
      </c>
      <c r="Q104" s="45" t="n"/>
      <c r="R104" s="45" t="n">
        <v>0.920452029812041</v>
      </c>
      <c r="S104" s="45" t="n"/>
      <c r="T104" s="45" t="n"/>
      <c r="U104" s="45" t="n">
        <v>0.972348721244215</v>
      </c>
      <c r="V104" s="45" t="n"/>
      <c r="W104" s="45" t="n"/>
      <c r="X104" s="45" t="n">
        <v>0.986328610489684</v>
      </c>
      <c r="Y104" s="45" t="n"/>
      <c r="Z104" s="45" t="n"/>
      <c r="AA104" s="45" t="n"/>
      <c r="AB104" s="45" t="n">
        <v>0.951817735869625</v>
      </c>
      <c r="AC104" s="45" t="n"/>
      <c r="AD104" s="45" t="n"/>
      <c r="AE104" s="45" t="n">
        <v>0.945764667700408</v>
      </c>
      <c r="AF104" s="75">
        <f>IFERROR(AVERAGE(L104:U104),"")</f>
        <v/>
      </c>
      <c r="AG104" s="75">
        <f>IFERROR(AVERAGE(V104:AE104),"")</f>
        <v/>
      </c>
      <c r="AH104" s="75">
        <f>IFERROR(AVERAGE(B104:K104),"")</f>
        <v/>
      </c>
      <c r="AI104" s="45" t="n">
        <v>0.948505401611328</v>
      </c>
      <c r="AJ104" s="47" t="n">
        <v>0</v>
      </c>
    </row>
    <row r="105" ht="15" customHeight="1" s="30">
      <c r="A105" s="73" t="inlineStr">
        <is>
          <t>7016.jpg</t>
        </is>
      </c>
      <c r="B105" s="45" t="n"/>
      <c r="C105" s="45" t="n"/>
      <c r="D105" s="45" t="n"/>
      <c r="E105" s="45" t="n"/>
      <c r="F105" s="45" t="n"/>
      <c r="G105" s="45" t="n"/>
      <c r="H105" s="45" t="n">
        <v>0.936159511614194</v>
      </c>
      <c r="I105" s="45" t="n"/>
      <c r="J105" s="45" t="n"/>
      <c r="K105" s="45" t="n">
        <v>0.889800317336766</v>
      </c>
      <c r="L105" s="45" t="n"/>
      <c r="M105" s="45" t="n"/>
      <c r="N105" s="45" t="n"/>
      <c r="O105" s="45" t="n"/>
      <c r="P105" s="45" t="n"/>
      <c r="Q105" s="45" t="n"/>
      <c r="R105" s="45" t="n">
        <v>0.97584124764981</v>
      </c>
      <c r="S105" s="45" t="n"/>
      <c r="T105" s="45" t="n"/>
      <c r="U105" s="45" t="n">
        <v>0.926881496881497</v>
      </c>
      <c r="V105" s="45" t="n"/>
      <c r="W105" s="45" t="n"/>
      <c r="X105" s="45" t="n"/>
      <c r="Y105" s="45" t="n"/>
      <c r="Z105" s="45" t="n"/>
      <c r="AA105" s="45" t="n"/>
      <c r="AB105" s="45" t="n">
        <v>0.958371062147495</v>
      </c>
      <c r="AC105" s="45" t="n"/>
      <c r="AD105" s="45" t="n"/>
      <c r="AE105" s="45" t="n">
        <v>0.956973437080762</v>
      </c>
      <c r="AF105" s="75">
        <f>IFERROR(AVERAGE(L105:U105),"")</f>
        <v/>
      </c>
      <c r="AG105" s="75">
        <f>IFERROR(AVERAGE(V105:AE105),"")</f>
        <v/>
      </c>
      <c r="AH105" s="75">
        <f>IFERROR(AVERAGE(B105:K105),"")</f>
        <v/>
      </c>
      <c r="AI105" s="45" t="n">
        <v>0.957874298095703</v>
      </c>
      <c r="AJ105" s="47" t="n">
        <v>0</v>
      </c>
    </row>
    <row r="106" ht="15" customHeight="1" s="30">
      <c r="A106" s="73" t="inlineStr">
        <is>
          <t>7023.jpg</t>
        </is>
      </c>
      <c r="B106" s="45" t="n"/>
      <c r="C106" s="45" t="n"/>
      <c r="D106" s="45" t="n"/>
      <c r="E106" s="45" t="n"/>
      <c r="F106" s="45" t="n"/>
      <c r="G106" s="45" t="n"/>
      <c r="H106" s="45" t="n">
        <v>0.763058407079646</v>
      </c>
      <c r="I106" s="45" t="n"/>
      <c r="J106" s="45" t="n"/>
      <c r="K106" s="45" t="n">
        <v>0.783184980759513</v>
      </c>
      <c r="L106" s="45" t="n"/>
      <c r="M106" s="45" t="n"/>
      <c r="N106" s="45" t="n"/>
      <c r="O106" s="45" t="n"/>
      <c r="P106" s="45" t="n"/>
      <c r="Q106" s="45" t="n"/>
      <c r="R106" s="45" t="n">
        <v>0.809599639450161</v>
      </c>
      <c r="S106" s="45" t="n"/>
      <c r="T106" s="45" t="n"/>
      <c r="U106" s="45" t="n">
        <v>0.937061094144822</v>
      </c>
      <c r="V106" s="45" t="n"/>
      <c r="W106" s="45" t="n"/>
      <c r="X106" s="45" t="n"/>
      <c r="Y106" s="45" t="n"/>
      <c r="Z106" s="45" t="n"/>
      <c r="AA106" s="45" t="n"/>
      <c r="AB106" s="45" t="n">
        <v>0.9299408120653661</v>
      </c>
      <c r="AC106" s="45" t="n"/>
      <c r="AD106" s="45" t="n"/>
      <c r="AE106" s="45" t="n">
        <v>0.826670860628274</v>
      </c>
      <c r="AF106" s="75">
        <f>IFERROR(AVERAGE(L106:U106),"")</f>
        <v/>
      </c>
      <c r="AG106" s="75">
        <f>IFERROR(AVERAGE(V106:AE106),"")</f>
        <v/>
      </c>
      <c r="AH106" s="75">
        <f>IFERROR(AVERAGE(B106:K106),"")</f>
        <v/>
      </c>
      <c r="AI106" s="45" t="n">
        <v>0.8723297119140631</v>
      </c>
      <c r="AJ106" s="47" t="n">
        <v>0</v>
      </c>
    </row>
    <row r="107" ht="15" customHeight="1" s="30">
      <c r="A107" s="73" t="inlineStr">
        <is>
          <t>7029.jpg</t>
        </is>
      </c>
      <c r="B107" s="45" t="n"/>
      <c r="C107" s="45" t="n"/>
      <c r="D107" s="45" t="n"/>
      <c r="E107" s="45" t="n"/>
      <c r="F107" s="45" t="n"/>
      <c r="G107" s="45" t="n"/>
      <c r="H107" s="45" t="n">
        <v>0.836736168828822</v>
      </c>
      <c r="I107" s="45" t="n"/>
      <c r="J107" s="45" t="n"/>
      <c r="K107" s="45" t="n">
        <v>0.929655022083362</v>
      </c>
      <c r="L107" s="45" t="n"/>
      <c r="M107" s="45" t="n"/>
      <c r="N107" s="45" t="n"/>
      <c r="O107" s="45" t="n"/>
      <c r="P107" s="45" t="n"/>
      <c r="Q107" s="45" t="n"/>
      <c r="R107" s="45" t="n">
        <v>0.996671305795085</v>
      </c>
      <c r="S107" s="45" t="n"/>
      <c r="T107" s="45" t="n"/>
      <c r="U107" s="45" t="n">
        <v>0.930775746049562</v>
      </c>
      <c r="V107" s="45" t="n"/>
      <c r="W107" s="45" t="n"/>
      <c r="X107" s="45" t="n"/>
      <c r="Y107" s="45" t="n"/>
      <c r="Z107" s="45" t="n"/>
      <c r="AA107" s="45" t="n"/>
      <c r="AB107" s="45" t="n">
        <v>0.839081015135227</v>
      </c>
      <c r="AC107" s="45" t="n"/>
      <c r="AD107" s="45" t="n"/>
      <c r="AE107" s="45" t="n">
        <v>0.9987064904074</v>
      </c>
      <c r="AF107" s="75">
        <f>IFERROR(AVERAGE(L107:U107),"")</f>
        <v/>
      </c>
      <c r="AG107" s="75">
        <f>IFERROR(AVERAGE(V107:AE107),"")</f>
        <v/>
      </c>
      <c r="AH107" s="75">
        <f>IFERROR(AVERAGE(B107:K107),"")</f>
        <v/>
      </c>
      <c r="AI107" s="45" t="n">
        <v>0.948295593261719</v>
      </c>
      <c r="AJ107" s="47" t="n">
        <v>0</v>
      </c>
    </row>
    <row r="108" ht="15" customHeight="1" s="30">
      <c r="A108" s="73" t="inlineStr">
        <is>
          <t>7031.jpg</t>
        </is>
      </c>
      <c r="B108" s="45" t="n"/>
      <c r="C108" s="45" t="n"/>
      <c r="D108" s="45" t="n"/>
      <c r="E108" s="45" t="n"/>
      <c r="F108" s="45" t="n"/>
      <c r="G108" s="45" t="n"/>
      <c r="H108" s="45" t="n">
        <v>0.83179810293463</v>
      </c>
      <c r="I108" s="45" t="n"/>
      <c r="J108" s="45" t="n"/>
      <c r="K108" s="45" t="n">
        <v>0.922143381711937</v>
      </c>
      <c r="L108" s="45" t="n"/>
      <c r="M108" s="45" t="n"/>
      <c r="N108" s="45" t="n"/>
      <c r="O108" s="45" t="n"/>
      <c r="P108" s="45" t="n"/>
      <c r="Q108" s="45" t="n"/>
      <c r="R108" s="45" t="n">
        <v>0.971912135397911</v>
      </c>
      <c r="S108" s="45" t="n"/>
      <c r="T108" s="45" t="n"/>
      <c r="U108" s="45" t="n">
        <v>0.932519434723372</v>
      </c>
      <c r="V108" s="45" t="n"/>
      <c r="W108" s="45" t="n"/>
      <c r="X108" s="45" t="n"/>
      <c r="Y108" s="45" t="n"/>
      <c r="Z108" s="45" t="n"/>
      <c r="AA108" s="45" t="n"/>
      <c r="AB108" s="45" t="n">
        <v>0.8522858847058</v>
      </c>
      <c r="AC108" s="45" t="n"/>
      <c r="AD108" s="45" t="n"/>
      <c r="AE108" s="45" t="n">
        <v>0.988077513148137</v>
      </c>
      <c r="AF108" s="75">
        <f>IFERROR(AVERAGE(L108:U108),"")</f>
        <v/>
      </c>
      <c r="AG108" s="75">
        <f>IFERROR(AVERAGE(V108:AE108),"")</f>
        <v/>
      </c>
      <c r="AH108" s="75">
        <f>IFERROR(AVERAGE(B108:K108),"")</f>
        <v/>
      </c>
      <c r="AI108" s="45" t="n">
        <v>0.94378662109375</v>
      </c>
      <c r="AJ108" s="47" t="n">
        <v>0</v>
      </c>
    </row>
    <row r="109" ht="15" customHeight="1" s="30">
      <c r="A109" s="73" t="inlineStr">
        <is>
          <t>7035.jpg</t>
        </is>
      </c>
      <c r="B109" s="45" t="n"/>
      <c r="C109" s="45" t="n"/>
      <c r="D109" s="45" t="n"/>
      <c r="E109" s="45" t="n"/>
      <c r="F109" s="45" t="n"/>
      <c r="G109" s="45" t="n"/>
      <c r="H109" s="45" t="n">
        <v>0.8092745892358399</v>
      </c>
      <c r="I109" s="45" t="n"/>
      <c r="J109" s="45" t="n"/>
      <c r="K109" s="45" t="n">
        <v>0.77287028436161</v>
      </c>
      <c r="L109" s="45" t="n"/>
      <c r="M109" s="45" t="n"/>
      <c r="N109" s="45" t="n"/>
      <c r="O109" s="45" t="n"/>
      <c r="P109" s="45" t="n"/>
      <c r="Q109" s="45" t="n"/>
      <c r="R109" s="45" t="n">
        <v>0.890929488511239</v>
      </c>
      <c r="S109" s="45" t="n"/>
      <c r="T109" s="45" t="n"/>
      <c r="U109" s="45" t="n">
        <v>0.8762548623261029</v>
      </c>
      <c r="V109" s="45" t="n"/>
      <c r="W109" s="45" t="n"/>
      <c r="X109" s="45" t="n"/>
      <c r="Y109" s="45" t="n"/>
      <c r="Z109" s="45" t="n"/>
      <c r="AA109" s="45" t="n"/>
      <c r="AB109" s="45" t="n">
        <v>0.898269818882574</v>
      </c>
      <c r="AC109" s="45" t="n"/>
      <c r="AD109" s="45" t="n"/>
      <c r="AE109" s="45" t="n">
        <v>0.867560249575352</v>
      </c>
      <c r="AF109" s="75">
        <f>IFERROR(AVERAGE(L109:U109),"")</f>
        <v/>
      </c>
      <c r="AG109" s="75">
        <f>IFERROR(AVERAGE(V109:AE109),"")</f>
        <v/>
      </c>
      <c r="AH109" s="75">
        <f>IFERROR(AVERAGE(B109:K109),"")</f>
        <v/>
      </c>
      <c r="AI109" s="45" t="n">
        <v>0.88433837890625</v>
      </c>
      <c r="AJ109" s="47" t="n">
        <v>0</v>
      </c>
    </row>
    <row r="110" ht="15" customHeight="1" s="30">
      <c r="A110" s="73" t="inlineStr">
        <is>
          <t>7041.jpg</t>
        </is>
      </c>
      <c r="B110" s="45" t="n"/>
      <c r="C110" s="45" t="n">
        <v>0</v>
      </c>
      <c r="D110" s="45" t="n">
        <v>0.656996485375588</v>
      </c>
      <c r="E110" s="45" t="n"/>
      <c r="F110" s="45" t="n">
        <v>0</v>
      </c>
      <c r="G110" s="45" t="n"/>
      <c r="H110" s="45" t="n">
        <v>0.781082554663558</v>
      </c>
      <c r="I110" s="45" t="n">
        <v>0.48435972629521</v>
      </c>
      <c r="J110" s="45" t="n">
        <v>0.81958195819582</v>
      </c>
      <c r="K110" s="45" t="n">
        <v>0.787474519510775</v>
      </c>
      <c r="L110" s="45" t="n"/>
      <c r="M110" s="45" t="n">
        <v>0</v>
      </c>
      <c r="N110" s="45" t="n">
        <v>0.680844496573863</v>
      </c>
      <c r="O110" s="45" t="n"/>
      <c r="P110" s="45" t="n">
        <v>0</v>
      </c>
      <c r="Q110" s="45" t="n"/>
      <c r="R110" s="45" t="n">
        <v>0.937736296229418</v>
      </c>
      <c r="S110" s="45" t="n">
        <v>0.493525896414343</v>
      </c>
      <c r="T110" s="45" t="n">
        <v>0.885850178359096</v>
      </c>
      <c r="U110" s="45" t="n">
        <v>0.87927951118397</v>
      </c>
      <c r="V110" s="45" t="n"/>
      <c r="W110" s="45" t="n"/>
      <c r="X110" s="45" t="n">
        <v>0.949384522682276</v>
      </c>
      <c r="Y110" s="45" t="n"/>
      <c r="Z110" s="45" t="n"/>
      <c r="AA110" s="45" t="n"/>
      <c r="AB110" s="45" t="n">
        <v>0.823807021544502</v>
      </c>
      <c r="AC110" s="45" t="n">
        <v>0.963070942662779</v>
      </c>
      <c r="AD110" s="45" t="n">
        <v>0.9163591635916361</v>
      </c>
      <c r="AE110" s="45" t="n">
        <v>0.882933930114073</v>
      </c>
      <c r="AF110" s="75">
        <f>IFERROR(AVERAGE(L110:U110),"")</f>
        <v/>
      </c>
      <c r="AG110" s="75">
        <f>IFERROR(AVERAGE(V110:AE110),"")</f>
        <v/>
      </c>
      <c r="AH110" s="75">
        <f>IFERROR(AVERAGE(B110:K110),"")</f>
        <v/>
      </c>
      <c r="AI110" s="45" t="n">
        <v>0.863651275634766</v>
      </c>
      <c r="AJ110" s="47" t="n">
        <v>0</v>
      </c>
    </row>
    <row r="111" ht="15" customHeight="1" s="30">
      <c r="A111" s="73" t="inlineStr">
        <is>
          <t>7042.jpg</t>
        </is>
      </c>
      <c r="B111" s="45" t="n"/>
      <c r="C111" s="45" t="n"/>
      <c r="D111" s="45" t="n">
        <v>0.7469107740629</v>
      </c>
      <c r="E111" s="45" t="n"/>
      <c r="F111" s="45" t="n">
        <v>0</v>
      </c>
      <c r="G111" s="45" t="n"/>
      <c r="H111" s="45" t="n">
        <v>0.8070588235294121</v>
      </c>
      <c r="I111" s="45" t="n">
        <v>0.5416004239533651</v>
      </c>
      <c r="J111" s="45" t="n">
        <v>0.904934032170613</v>
      </c>
      <c r="K111" s="45" t="n">
        <v>0.790922309264087</v>
      </c>
      <c r="L111" s="45" t="n"/>
      <c r="M111" s="45" t="n"/>
      <c r="N111" s="45" t="n">
        <v>0.788422108799023</v>
      </c>
      <c r="O111" s="45" t="n"/>
      <c r="P111" s="45" t="n">
        <v>0</v>
      </c>
      <c r="Q111" s="45" t="n"/>
      <c r="R111" s="45" t="n">
        <v>0.927648549448302</v>
      </c>
      <c r="S111" s="45" t="n">
        <v>0.589048991354467</v>
      </c>
      <c r="T111" s="45" t="n">
        <v>0.92294930875576</v>
      </c>
      <c r="U111" s="45" t="n">
        <v>0.895598816293374</v>
      </c>
      <c r="V111" s="45" t="n"/>
      <c r="W111" s="45" t="n"/>
      <c r="X111" s="45" t="n">
        <v>0.93414999741562</v>
      </c>
      <c r="Y111" s="45" t="n"/>
      <c r="Z111" s="45" t="n"/>
      <c r="AA111" s="45" t="n"/>
      <c r="AB111" s="45" t="n">
        <v>0.861272591076459</v>
      </c>
      <c r="AC111" s="45" t="n">
        <v>0.8705281090289611</v>
      </c>
      <c r="AD111" s="45" t="n">
        <v>0.9788856304985341</v>
      </c>
      <c r="AE111" s="45" t="n">
        <v>0.871250661492327</v>
      </c>
      <c r="AF111" s="75">
        <f>IFERROR(AVERAGE(L111:U111),"")</f>
        <v/>
      </c>
      <c r="AG111" s="75">
        <f>IFERROR(AVERAGE(V111:AE111),"")</f>
        <v/>
      </c>
      <c r="AH111" s="75">
        <f>IFERROR(AVERAGE(B111:K111),"")</f>
        <v/>
      </c>
      <c r="AI111" s="45" t="n">
        <v>0.874382019042969</v>
      </c>
      <c r="AJ111" s="47" t="n">
        <v>0</v>
      </c>
    </row>
    <row r="112" ht="15" customHeight="1" s="30">
      <c r="A112" s="73" t="inlineStr">
        <is>
          <t>7054.jpg</t>
        </is>
      </c>
      <c r="B112" s="45" t="n"/>
      <c r="C112" s="45" t="n"/>
      <c r="D112" s="45" t="n"/>
      <c r="E112" s="45" t="n"/>
      <c r="F112" s="45" t="n"/>
      <c r="G112" s="45" t="n">
        <v>0.842576644850155</v>
      </c>
      <c r="H112" s="45" t="n">
        <v>0</v>
      </c>
      <c r="I112" s="45" t="n"/>
      <c r="J112" s="45" t="n"/>
      <c r="K112" s="45" t="n">
        <v>0.985192884335391</v>
      </c>
      <c r="L112" s="45" t="n"/>
      <c r="M112" s="45" t="n"/>
      <c r="N112" s="45" t="n"/>
      <c r="O112" s="45" t="n"/>
      <c r="P112" s="45" t="n"/>
      <c r="Q112" s="45" t="n">
        <v>0.921844820276064</v>
      </c>
      <c r="R112" s="45" t="n">
        <v>0</v>
      </c>
      <c r="S112" s="45" t="n"/>
      <c r="T112" s="45" t="n"/>
      <c r="U112" s="45" t="n">
        <v>0.992223749963653</v>
      </c>
      <c r="V112" s="45" t="n"/>
      <c r="W112" s="45" t="n"/>
      <c r="X112" s="45" t="n"/>
      <c r="Y112" s="45" t="n"/>
      <c r="Z112" s="45" t="n"/>
      <c r="AA112" s="45" t="n">
        <v>0.907396243913749</v>
      </c>
      <c r="AB112" s="45" t="n"/>
      <c r="AC112" s="45" t="n"/>
      <c r="AD112" s="45" t="n"/>
      <c r="AE112" s="45" t="n">
        <v>0.992858894583484</v>
      </c>
      <c r="AF112" s="75">
        <f>IFERROR(AVERAGE(L112:U112),"")</f>
        <v/>
      </c>
      <c r="AG112" s="75">
        <f>IFERROR(AVERAGE(V112:AE112),"")</f>
        <v/>
      </c>
      <c r="AH112" s="75">
        <f>IFERROR(AVERAGE(B112:K112),"")</f>
        <v/>
      </c>
      <c r="AI112" s="45" t="n">
        <v>0.985828399658203</v>
      </c>
      <c r="AJ112" s="47" t="n">
        <v>0</v>
      </c>
    </row>
    <row r="113" ht="15" customHeight="1" s="30">
      <c r="A113" s="73" t="inlineStr">
        <is>
          <t>7056.jpg</t>
        </is>
      </c>
      <c r="B113" s="45" t="n"/>
      <c r="C113" s="45" t="n"/>
      <c r="D113" s="45" t="n"/>
      <c r="E113" s="45" t="n"/>
      <c r="F113" s="45" t="n"/>
      <c r="G113" s="45" t="n">
        <v>0.7422761228442309</v>
      </c>
      <c r="H113" s="45" t="n"/>
      <c r="I113" s="45" t="n"/>
      <c r="J113" s="45" t="n"/>
      <c r="K113" s="45" t="n">
        <v>0.9772848276955221</v>
      </c>
      <c r="L113" s="45" t="n"/>
      <c r="M113" s="45" t="n"/>
      <c r="N113" s="45" t="n"/>
      <c r="O113" s="45" t="n"/>
      <c r="P113" s="45" t="n"/>
      <c r="Q113" s="45" t="n">
        <v>0.915851160673646</v>
      </c>
      <c r="R113" s="45" t="n"/>
      <c r="S113" s="45" t="n"/>
      <c r="T113" s="45" t="n"/>
      <c r="U113" s="45" t="n">
        <v>0.983194857871839</v>
      </c>
      <c r="V113" s="45" t="n"/>
      <c r="W113" s="45" t="n"/>
      <c r="X113" s="45" t="n"/>
      <c r="Y113" s="45" t="n"/>
      <c r="Z113" s="45" t="n"/>
      <c r="AA113" s="45" t="n">
        <v>0.79660513683377</v>
      </c>
      <c r="AB113" s="45" t="n"/>
      <c r="AC113" s="45" t="n"/>
      <c r="AD113" s="45" t="n"/>
      <c r="AE113" s="45" t="n">
        <v>0.993886838309147</v>
      </c>
      <c r="AF113" s="75">
        <f>IFERROR(AVERAGE(L113:U113),"")</f>
        <v/>
      </c>
      <c r="AG113" s="75">
        <f>IFERROR(AVERAGE(V113:AE113),"")</f>
        <v/>
      </c>
      <c r="AH113" s="75">
        <f>IFERROR(AVERAGE(B113:K113),"")</f>
        <v/>
      </c>
      <c r="AI113" s="45" t="n">
        <v>0.978679656982422</v>
      </c>
      <c r="AJ113" s="47" t="n">
        <v>0</v>
      </c>
    </row>
    <row r="114" ht="15" customHeight="1" s="30">
      <c r="A114" s="73" t="inlineStr">
        <is>
          <t>7057.jpg</t>
        </is>
      </c>
      <c r="B114" s="45" t="n"/>
      <c r="C114" s="45" t="n"/>
      <c r="D114" s="45" t="n"/>
      <c r="E114" s="45" t="n"/>
      <c r="F114" s="45" t="n"/>
      <c r="G114" s="45" t="n">
        <v>0.844262722016772</v>
      </c>
      <c r="H114" s="45" t="n">
        <v>0</v>
      </c>
      <c r="I114" s="45" t="n"/>
      <c r="J114" s="45" t="n"/>
      <c r="K114" s="45" t="n">
        <v>0.987220200459471</v>
      </c>
      <c r="L114" s="45" t="n"/>
      <c r="M114" s="45" t="n"/>
      <c r="N114" s="45" t="n"/>
      <c r="O114" s="45" t="n"/>
      <c r="P114" s="45" t="n"/>
      <c r="Q114" s="45" t="n">
        <v>0.956904185607179</v>
      </c>
      <c r="R114" s="45" t="n">
        <v>0</v>
      </c>
      <c r="S114" s="45" t="n"/>
      <c r="T114" s="45" t="n"/>
      <c r="U114" s="45" t="n">
        <v>0.990777467639522</v>
      </c>
      <c r="V114" s="45" t="n"/>
      <c r="W114" s="45" t="n"/>
      <c r="X114" s="45" t="n"/>
      <c r="Y114" s="45" t="n"/>
      <c r="Z114" s="45" t="n"/>
      <c r="AA114" s="45" t="n">
        <v>0.877632790080676</v>
      </c>
      <c r="AB114" s="45" t="n"/>
      <c r="AC114" s="45" t="n"/>
      <c r="AD114" s="45" t="n"/>
      <c r="AE114" s="45" t="n">
        <v>0.996376320919257</v>
      </c>
      <c r="AF114" s="75">
        <f>IFERROR(AVERAGE(L114:U114),"")</f>
        <v/>
      </c>
      <c r="AG114" s="75">
        <f>IFERROR(AVERAGE(V114:AE114),"")</f>
        <v/>
      </c>
      <c r="AH114" s="75">
        <f>IFERROR(AVERAGE(B114:K114),"")</f>
        <v/>
      </c>
      <c r="AI114" s="45" t="n">
        <v>0.988010406494141</v>
      </c>
      <c r="AJ114" s="47" t="n">
        <v>0</v>
      </c>
    </row>
    <row r="115" ht="15" customHeight="1" s="30">
      <c r="A115" s="73" t="inlineStr">
        <is>
          <t>7063.jpg</t>
        </is>
      </c>
      <c r="B115" s="45" t="n"/>
      <c r="C115" s="45" t="n"/>
      <c r="D115" s="45" t="n"/>
      <c r="E115" s="45" t="n"/>
      <c r="F115" s="45" t="n">
        <v>0.654330919817646</v>
      </c>
      <c r="G115" s="45" t="n">
        <v>0.800319403779611</v>
      </c>
      <c r="H115" s="45" t="n"/>
      <c r="I115" s="45" t="n"/>
      <c r="J115" s="45" t="n"/>
      <c r="K115" s="45" t="n">
        <v>0.973871939891838</v>
      </c>
      <c r="L115" s="45" t="n"/>
      <c r="M115" s="45" t="n"/>
      <c r="N115" s="45" t="n"/>
      <c r="O115" s="45" t="n"/>
      <c r="P115" s="45" t="n">
        <v>0.8972237543666119</v>
      </c>
      <c r="Q115" s="45" t="n">
        <v>0.957457648707171</v>
      </c>
      <c r="R115" s="45" t="n"/>
      <c r="S115" s="45" t="n"/>
      <c r="T115" s="45" t="n"/>
      <c r="U115" s="45" t="n">
        <v>0.978830139043912</v>
      </c>
      <c r="V115" s="45" t="n"/>
      <c r="W115" s="45" t="n"/>
      <c r="X115" s="45" t="n"/>
      <c r="Y115" s="45" t="n"/>
      <c r="Z115" s="45" t="n">
        <v>0.707348891143644</v>
      </c>
      <c r="AA115" s="45" t="n">
        <v>0.829828338025059</v>
      </c>
      <c r="AB115" s="45" t="n"/>
      <c r="AC115" s="45" t="n"/>
      <c r="AD115" s="45" t="n"/>
      <c r="AE115" s="45" t="n">
        <v>0.994825579433892</v>
      </c>
      <c r="AF115" s="75">
        <f>IFERROR(AVERAGE(L115:U115),"")</f>
        <v/>
      </c>
      <c r="AG115" s="75">
        <f>IFERROR(AVERAGE(V115:AE115),"")</f>
        <v/>
      </c>
      <c r="AH115" s="75">
        <f>IFERROR(AVERAGE(B115:K115),"")</f>
        <v/>
      </c>
      <c r="AI115" s="45" t="n">
        <v>0.975856781005859</v>
      </c>
      <c r="AJ115" s="47" t="n">
        <v>0</v>
      </c>
    </row>
    <row r="116" ht="15" customHeight="1" s="30">
      <c r="A116" s="73" t="inlineStr">
        <is>
          <t>7069.jpg</t>
        </is>
      </c>
      <c r="B116" s="45" t="n"/>
      <c r="C116" s="45" t="n"/>
      <c r="D116" s="45" t="n">
        <v>0</v>
      </c>
      <c r="E116" s="45" t="n"/>
      <c r="F116" s="45" t="n">
        <v>0.833797024313536</v>
      </c>
      <c r="G116" s="45" t="n">
        <v>0.873016525528241</v>
      </c>
      <c r="H116" s="45" t="n">
        <v>0</v>
      </c>
      <c r="I116" s="45" t="n"/>
      <c r="J116" s="45" t="n"/>
      <c r="K116" s="45" t="n">
        <v>0.979584946622563</v>
      </c>
      <c r="L116" s="45" t="n"/>
      <c r="M116" s="45" t="n"/>
      <c r="N116" s="45" t="n">
        <v>0</v>
      </c>
      <c r="O116" s="45" t="n"/>
      <c r="P116" s="45" t="n">
        <v>0.968662169758291</v>
      </c>
      <c r="Q116" s="45" t="n">
        <v>0.945673954668923</v>
      </c>
      <c r="R116" s="45" t="n">
        <v>0</v>
      </c>
      <c r="S116" s="45" t="n"/>
      <c r="T116" s="45" t="n"/>
      <c r="U116" s="45" t="n">
        <v>0.987081049191058</v>
      </c>
      <c r="V116" s="45" t="n"/>
      <c r="W116" s="45" t="n"/>
      <c r="X116" s="45" t="n"/>
      <c r="Y116" s="45" t="n"/>
      <c r="Z116" s="45" t="n">
        <v>0.856911984087519</v>
      </c>
      <c r="AA116" s="45" t="n">
        <v>0.919111918982083</v>
      </c>
      <c r="AB116" s="45" t="n"/>
      <c r="AC116" s="45" t="n"/>
      <c r="AD116" s="45" t="n"/>
      <c r="AE116" s="45" t="n">
        <v>0.99230715949332</v>
      </c>
      <c r="AF116" s="75">
        <f>IFERROR(AVERAGE(L116:U116),"")</f>
        <v/>
      </c>
      <c r="AG116" s="75">
        <f>IFERROR(AVERAGE(V116:AE116),"")</f>
        <v/>
      </c>
      <c r="AH116" s="75">
        <f>IFERROR(AVERAGE(B116:K116),"")</f>
        <v/>
      </c>
      <c r="AI116" s="45" t="n">
        <v>0.981700897216797</v>
      </c>
      <c r="AJ116" s="47" t="n">
        <v>0</v>
      </c>
    </row>
    <row r="117" ht="15" customHeight="1" s="30">
      <c r="A117" s="73" t="inlineStr">
        <is>
          <t>7085.jpg</t>
        </is>
      </c>
      <c r="B117" s="45" t="n"/>
      <c r="C117" s="45" t="n"/>
      <c r="D117" s="45" t="n"/>
      <c r="E117" s="45" t="n"/>
      <c r="F117" s="45" t="n"/>
      <c r="G117" s="45" t="n">
        <v>0.76685129062598</v>
      </c>
      <c r="H117" s="45" t="n"/>
      <c r="I117" s="45" t="n"/>
      <c r="J117" s="45" t="n"/>
      <c r="K117" s="45" t="n">
        <v>0.991244319207554</v>
      </c>
      <c r="L117" s="45" t="n"/>
      <c r="M117" s="45" t="n"/>
      <c r="N117" s="45" t="n"/>
      <c r="O117" s="45" t="n"/>
      <c r="P117" s="45" t="n"/>
      <c r="Q117" s="45" t="n">
        <v>0.810828729281768</v>
      </c>
      <c r="R117" s="45" t="n"/>
      <c r="S117" s="45" t="n"/>
      <c r="T117" s="45" t="n"/>
      <c r="U117" s="45" t="n">
        <v>0.997949378491786</v>
      </c>
      <c r="V117" s="45" t="n"/>
      <c r="W117" s="45" t="n"/>
      <c r="X117" s="45" t="n"/>
      <c r="Y117" s="45" t="n"/>
      <c r="Z117" s="45" t="n"/>
      <c r="AA117" s="45" t="n">
        <v>0.933944253531882</v>
      </c>
      <c r="AB117" s="45" t="n"/>
      <c r="AC117" s="45" t="n"/>
      <c r="AD117" s="45" t="n"/>
      <c r="AE117" s="45" t="n">
        <v>0.993267449771321</v>
      </c>
      <c r="AF117" s="75">
        <f>IFERROR(AVERAGE(L117:U117),"")</f>
        <v/>
      </c>
      <c r="AG117" s="75">
        <f>IFERROR(AVERAGE(V117:AE117),"")</f>
        <v/>
      </c>
      <c r="AH117" s="75">
        <f>IFERROR(AVERAGE(B117:K117),"")</f>
        <v/>
      </c>
      <c r="AI117" s="45" t="n">
        <v>0.991489410400391</v>
      </c>
      <c r="AJ117" s="47" t="n">
        <v>0</v>
      </c>
    </row>
    <row r="118" ht="15" customHeight="1" s="30">
      <c r="A118" s="73" t="inlineStr">
        <is>
          <t>7092.jpg</t>
        </is>
      </c>
      <c r="B118" s="45" t="n"/>
      <c r="C118" s="45" t="n"/>
      <c r="D118" s="45" t="n"/>
      <c r="E118" s="45" t="n"/>
      <c r="F118" s="45" t="n"/>
      <c r="G118" s="45" t="n">
        <v>0.716847538380095</v>
      </c>
      <c r="H118" s="45" t="n">
        <v>0</v>
      </c>
      <c r="I118" s="45" t="n"/>
      <c r="J118" s="45" t="n"/>
      <c r="K118" s="45" t="n">
        <v>0.981969255013072</v>
      </c>
      <c r="L118" s="45" t="n"/>
      <c r="M118" s="45" t="n"/>
      <c r="N118" s="45" t="n"/>
      <c r="O118" s="45" t="n"/>
      <c r="P118" s="45" t="n"/>
      <c r="Q118" s="45" t="n">
        <v>0.814695043994886</v>
      </c>
      <c r="R118" s="45" t="n"/>
      <c r="S118" s="45" t="n"/>
      <c r="T118" s="45" t="n"/>
      <c r="U118" s="45" t="n">
        <v>0.99162135770172</v>
      </c>
      <c r="V118" s="45" t="n"/>
      <c r="W118" s="45" t="n"/>
      <c r="X118" s="45" t="n"/>
      <c r="Y118" s="45" t="n"/>
      <c r="Z118" s="45" t="n"/>
      <c r="AA118" s="45" t="n">
        <v>0.856499051233397</v>
      </c>
      <c r="AB118" s="45" t="n">
        <v>0</v>
      </c>
      <c r="AC118" s="45" t="n"/>
      <c r="AD118" s="45" t="n"/>
      <c r="AE118" s="45" t="n">
        <v>0.990184905781516</v>
      </c>
      <c r="AF118" s="75">
        <f>IFERROR(AVERAGE(L118:U118),"")</f>
        <v/>
      </c>
      <c r="AG118" s="75">
        <f>IFERROR(AVERAGE(V118:AE118),"")</f>
        <v/>
      </c>
      <c r="AH118" s="75">
        <f>IFERROR(AVERAGE(B118:K118),"")</f>
        <v/>
      </c>
      <c r="AI118" s="45" t="n">
        <v>0.982646942138672</v>
      </c>
      <c r="AJ118" s="47" t="n">
        <v>0</v>
      </c>
    </row>
    <row r="119" ht="15" customHeight="1" s="30">
      <c r="A119" s="73" t="inlineStr">
        <is>
          <t>7105.jpg</t>
        </is>
      </c>
      <c r="B119" s="45" t="n"/>
      <c r="C119" s="45" t="n"/>
      <c r="D119" s="45" t="n">
        <v>0.893027284538761</v>
      </c>
      <c r="E119" s="45" t="n"/>
      <c r="F119" s="45" t="n">
        <v>0.438350340136054</v>
      </c>
      <c r="G119" s="45" t="n">
        <v>0.6511821271057771</v>
      </c>
      <c r="H119" s="45" t="n">
        <v>0.700966679650154</v>
      </c>
      <c r="I119" s="45" t="n"/>
      <c r="J119" s="45" t="n"/>
      <c r="K119" s="45" t="n">
        <v>0.955946335389824</v>
      </c>
      <c r="L119" s="45" t="n"/>
      <c r="M119" s="45" t="n"/>
      <c r="N119" s="45" t="n">
        <v>0.948918545789232</v>
      </c>
      <c r="O119" s="45" t="n"/>
      <c r="P119" s="45" t="n">
        <v>0.844389844389844</v>
      </c>
      <c r="Q119" s="45" t="n">
        <v>0.908233751827762</v>
      </c>
      <c r="R119" s="45" t="n">
        <v>0.731289250092353</v>
      </c>
      <c r="S119" s="45" t="n"/>
      <c r="T119" s="45" t="n"/>
      <c r="U119" s="45" t="n">
        <v>0.973270156580859</v>
      </c>
      <c r="V119" s="45" t="n"/>
      <c r="W119" s="45" t="n"/>
      <c r="X119" s="45" t="n">
        <v>0.938125568698817</v>
      </c>
      <c r="Y119" s="45" t="n"/>
      <c r="Z119" s="45" t="n">
        <v>0.476873265494912</v>
      </c>
      <c r="AA119" s="45" t="n">
        <v>0.69704357247891</v>
      </c>
      <c r="AB119" s="45" t="n">
        <v>0.944150331473268</v>
      </c>
      <c r="AC119" s="45" t="n"/>
      <c r="AD119" s="45" t="n"/>
      <c r="AE119" s="45" t="n">
        <v>0.981720486751304</v>
      </c>
      <c r="AF119" s="75">
        <f>IFERROR(AVERAGE(L119:U119),"")</f>
        <v/>
      </c>
      <c r="AG119" s="75">
        <f>IFERROR(AVERAGE(V119:AE119),"")</f>
        <v/>
      </c>
      <c r="AH119" s="75">
        <f>IFERROR(AVERAGE(B119:K119),"")</f>
        <v/>
      </c>
      <c r="AI119" s="45" t="n">
        <v>0.941959381103516</v>
      </c>
      <c r="AJ119" s="47" t="n">
        <v>0</v>
      </c>
    </row>
    <row r="120" ht="15" customHeight="1" s="30">
      <c r="A120" s="73" t="inlineStr">
        <is>
          <t>7126.jpg</t>
        </is>
      </c>
      <c r="B120" s="45" t="n"/>
      <c r="C120" s="45" t="n"/>
      <c r="D120" s="45" t="n">
        <v>0.878340584213797</v>
      </c>
      <c r="E120" s="45" t="n"/>
      <c r="F120" s="45" t="n">
        <v>0.711628379751982</v>
      </c>
      <c r="G120" s="45" t="n">
        <v>0.719283631820075</v>
      </c>
      <c r="H120" s="45" t="n">
        <v>0.823702086365842</v>
      </c>
      <c r="I120" s="45" t="n"/>
      <c r="J120" s="45" t="n"/>
      <c r="K120" s="45" t="n">
        <v>0.920289473838042</v>
      </c>
      <c r="L120" s="45" t="n"/>
      <c r="M120" s="45" t="n"/>
      <c r="N120" s="45" t="n">
        <v>0.972642807983483</v>
      </c>
      <c r="O120" s="45" t="n"/>
      <c r="P120" s="45" t="n">
        <v>0.818926190197684</v>
      </c>
      <c r="Q120" s="45" t="n">
        <v>0.8536826495304</v>
      </c>
      <c r="R120" s="45" t="n">
        <v>0.914497340246448</v>
      </c>
      <c r="S120" s="45" t="n"/>
      <c r="T120" s="45" t="n"/>
      <c r="U120" s="45" t="n">
        <v>0.951624797504775</v>
      </c>
      <c r="V120" s="45" t="n"/>
      <c r="W120" s="45" t="n"/>
      <c r="X120" s="45" t="n">
        <v>0.900589453560618</v>
      </c>
      <c r="Y120" s="45" t="n"/>
      <c r="Z120" s="45" t="n">
        <v>0.844511459589867</v>
      </c>
      <c r="AA120" s="45" t="n">
        <v>0.8204275534441809</v>
      </c>
      <c r="AB120" s="45" t="n">
        <v>0.892431430786821</v>
      </c>
      <c r="AC120" s="45" t="n"/>
      <c r="AD120" s="45" t="n"/>
      <c r="AE120" s="45" t="n">
        <v>0.965455705051942</v>
      </c>
      <c r="AF120" s="75">
        <f>IFERROR(AVERAGE(L120:U120),"")</f>
        <v/>
      </c>
      <c r="AG120" s="75">
        <f>IFERROR(AVERAGE(V120:AE120),"")</f>
        <v/>
      </c>
      <c r="AH120" s="75">
        <f>IFERROR(AVERAGE(B120:K120),"")</f>
        <v/>
      </c>
      <c r="AI120" s="45" t="n">
        <v>0.934223175048828</v>
      </c>
      <c r="AJ120" s="47" t="n">
        <v>0</v>
      </c>
    </row>
    <row r="121" ht="15" customHeight="1" s="30">
      <c r="A121" s="73" t="inlineStr">
        <is>
          <t>7141.jpg</t>
        </is>
      </c>
      <c r="B121" s="45" t="n"/>
      <c r="C121" s="45" t="n"/>
      <c r="D121" s="45" t="n">
        <v>0.710080829647705</v>
      </c>
      <c r="E121" s="45" t="n"/>
      <c r="F121" s="45" t="n">
        <v>0.755251710384874</v>
      </c>
      <c r="G121" s="45" t="n"/>
      <c r="H121" s="45" t="n">
        <v>0.6963925836356309</v>
      </c>
      <c r="I121" s="45" t="n"/>
      <c r="J121" s="45" t="n"/>
      <c r="K121" s="45" t="n">
        <v>0.824204515928693</v>
      </c>
      <c r="L121" s="45" t="n"/>
      <c r="M121" s="45" t="n"/>
      <c r="N121" s="45" t="n">
        <v>0.994659260841701</v>
      </c>
      <c r="O121" s="45" t="n"/>
      <c r="P121" s="45" t="n">
        <v>0.922892779100886</v>
      </c>
      <c r="Q121" s="45" t="n"/>
      <c r="R121" s="45" t="n">
        <v>0.861828158124455</v>
      </c>
      <c r="S121" s="45" t="n"/>
      <c r="T121" s="45" t="n"/>
      <c r="U121" s="45" t="n">
        <v>0.855930976386659</v>
      </c>
      <c r="V121" s="45" t="n"/>
      <c r="W121" s="45" t="n"/>
      <c r="X121" s="45" t="n">
        <v>0.712798530312309</v>
      </c>
      <c r="Y121" s="45" t="n"/>
      <c r="Z121" s="45" t="n">
        <v>0.806118509940166</v>
      </c>
      <c r="AA121" s="45" t="n"/>
      <c r="AB121" s="45" t="n">
        <v>0.783915607985481</v>
      </c>
      <c r="AC121" s="45" t="n"/>
      <c r="AD121" s="45" t="n"/>
      <c r="AE121" s="45" t="n">
        <v>0.956962900828514</v>
      </c>
      <c r="AF121" s="75">
        <f>IFERROR(AVERAGE(L121:U121),"")</f>
        <v/>
      </c>
      <c r="AG121" s="75">
        <f>IFERROR(AVERAGE(V121:AE121),"")</f>
        <v/>
      </c>
      <c r="AH121" s="75">
        <f>IFERROR(AVERAGE(B121:K121),"")</f>
        <v/>
      </c>
      <c r="AI121" s="45" t="n">
        <v>0.879756927490234</v>
      </c>
      <c r="AJ121" s="47" t="n">
        <v>0</v>
      </c>
    </row>
    <row r="122" ht="15" customHeight="1" s="30">
      <c r="A122" s="73" t="inlineStr">
        <is>
          <t>7143.jpg</t>
        </is>
      </c>
      <c r="B122" s="45" t="n"/>
      <c r="C122" s="45" t="n"/>
      <c r="D122" s="45" t="n">
        <v>0.783277744087326</v>
      </c>
      <c r="E122" s="45" t="n"/>
      <c r="F122" s="45" t="n">
        <v>0.7443766734652451</v>
      </c>
      <c r="G122" s="45" t="n"/>
      <c r="H122" s="45" t="n">
        <v>0.598314965320625</v>
      </c>
      <c r="I122" s="45" t="n"/>
      <c r="J122" s="45" t="n"/>
      <c r="K122" s="45" t="n">
        <v>0.805733846812152</v>
      </c>
      <c r="L122" s="45" t="n"/>
      <c r="M122" s="45" t="n"/>
      <c r="N122" s="45" t="n">
        <v>0.980732725892179</v>
      </c>
      <c r="O122" s="45" t="n"/>
      <c r="P122" s="45" t="n">
        <v>0.927349140785877</v>
      </c>
      <c r="Q122" s="45" t="n"/>
      <c r="R122" s="45" t="n">
        <v>0.872054080873232</v>
      </c>
      <c r="S122" s="45" t="n"/>
      <c r="T122" s="45" t="n"/>
      <c r="U122" s="45" t="n">
        <v>0.827594576333449</v>
      </c>
      <c r="V122" s="45" t="n"/>
      <c r="W122" s="45" t="n"/>
      <c r="X122" s="45" t="n">
        <v>0.795519285549311</v>
      </c>
      <c r="Y122" s="45" t="n"/>
      <c r="Z122" s="45" t="n">
        <v>0.790474235269965</v>
      </c>
      <c r="AA122" s="45" t="n"/>
      <c r="AB122" s="45" t="n">
        <v>0.655891407780577</v>
      </c>
      <c r="AC122" s="45" t="n"/>
      <c r="AD122" s="45" t="n"/>
      <c r="AE122" s="45" t="n">
        <v>0.968257135620928</v>
      </c>
      <c r="AF122" s="75">
        <f>IFERROR(AVERAGE(L122:U122),"")</f>
        <v/>
      </c>
      <c r="AG122" s="75">
        <f>IFERROR(AVERAGE(V122:AE122),"")</f>
        <v/>
      </c>
      <c r="AH122" s="75">
        <f>IFERROR(AVERAGE(B122:K122),"")</f>
        <v/>
      </c>
      <c r="AI122" s="45" t="n">
        <v>0.868083953857422</v>
      </c>
      <c r="AJ122" s="47" t="n">
        <v>0</v>
      </c>
    </row>
    <row r="123" ht="15" customHeight="1" s="30">
      <c r="A123" s="73" t="inlineStr">
        <is>
          <t>7149.jpg</t>
        </is>
      </c>
      <c r="B123" s="45" t="n"/>
      <c r="C123" s="45" t="n"/>
      <c r="D123" s="45" t="n">
        <v>0.918908256222653</v>
      </c>
      <c r="E123" s="45" t="n"/>
      <c r="F123" s="45" t="n">
        <v>0.85200620952967</v>
      </c>
      <c r="G123" s="45" t="n"/>
      <c r="H123" s="45" t="n">
        <v>0.765532782487391</v>
      </c>
      <c r="I123" s="45" t="n">
        <v>0.635474860335196</v>
      </c>
      <c r="J123" s="45" t="n"/>
      <c r="K123" s="45" t="n">
        <v>0.879609364177864</v>
      </c>
      <c r="L123" s="45" t="n"/>
      <c r="M123" s="45" t="n"/>
      <c r="N123" s="45" t="n">
        <v>0.991486397585233</v>
      </c>
      <c r="O123" s="45" t="n"/>
      <c r="P123" s="45" t="n">
        <v>0.87477384337038</v>
      </c>
      <c r="Q123" s="45" t="n"/>
      <c r="R123" s="45" t="n">
        <v>0.839713974634376</v>
      </c>
      <c r="S123" s="45" t="n">
        <v>0.758333333333333</v>
      </c>
      <c r="T123" s="45" t="n"/>
      <c r="U123" s="45" t="n">
        <v>0.961537879132028</v>
      </c>
      <c r="V123" s="45" t="n"/>
      <c r="W123" s="45" t="n"/>
      <c r="X123" s="45" t="n">
        <v>0.926216470247994</v>
      </c>
      <c r="Y123" s="45" t="n"/>
      <c r="Z123" s="45" t="n">
        <v>0.970357745850722</v>
      </c>
      <c r="AA123" s="45" t="n"/>
      <c r="AB123" s="45" t="n">
        <v>0.896540890382984</v>
      </c>
      <c r="AC123" s="45" t="n">
        <v>0.796847635726795</v>
      </c>
      <c r="AD123" s="45" t="n"/>
      <c r="AE123" s="45" t="n">
        <v>0.911687006460876</v>
      </c>
      <c r="AF123" s="75">
        <f>IFERROR(AVERAGE(L123:U123),"")</f>
        <v/>
      </c>
      <c r="AG123" s="75">
        <f>IFERROR(AVERAGE(V123:AE123),"")</f>
        <v/>
      </c>
      <c r="AH123" s="75">
        <f>IFERROR(AVERAGE(B123:K123),"")</f>
        <v/>
      </c>
      <c r="AI123" s="45" t="n">
        <v>0.925182342529297</v>
      </c>
      <c r="AJ123" s="47" t="n">
        <v>0</v>
      </c>
    </row>
    <row r="124" ht="15" customHeight="1" s="30">
      <c r="A124" s="73" t="inlineStr">
        <is>
          <t>7154.jpg</t>
        </is>
      </c>
      <c r="B124" s="45" t="n"/>
      <c r="C124" s="45" t="n"/>
      <c r="D124" s="45" t="n">
        <v>0.971715624171356</v>
      </c>
      <c r="E124" s="45" t="n"/>
      <c r="F124" s="45" t="n">
        <v>0.86458849009901</v>
      </c>
      <c r="G124" s="45" t="n"/>
      <c r="H124" s="45" t="n">
        <v>0.696153688272238</v>
      </c>
      <c r="I124" s="45" t="n">
        <v>0.6404320987654319</v>
      </c>
      <c r="J124" s="45" t="n"/>
      <c r="K124" s="45" t="n">
        <v>0.863342696629214</v>
      </c>
      <c r="L124" s="45" t="n"/>
      <c r="M124" s="45" t="n"/>
      <c r="N124" s="45" t="n">
        <v>0.98775082359988</v>
      </c>
      <c r="O124" s="45" t="n"/>
      <c r="P124" s="45" t="n">
        <v>0.905976948141424</v>
      </c>
      <c r="Q124" s="45" t="n"/>
      <c r="R124" s="45" t="n">
        <v>0.762048125098295</v>
      </c>
      <c r="S124" s="45" t="n">
        <v>0.829170829170829</v>
      </c>
      <c r="T124" s="45" t="n"/>
      <c r="U124" s="45" t="n">
        <v>0.960808509588095</v>
      </c>
      <c r="V124" s="45" t="n"/>
      <c r="W124" s="45" t="n"/>
      <c r="X124" s="45" t="n">
        <v>0.983567935106764</v>
      </c>
      <c r="Y124" s="45" t="n"/>
      <c r="Z124" s="45" t="n">
        <v>0.949813052345343</v>
      </c>
      <c r="AA124" s="45" t="n"/>
      <c r="AB124" s="45" t="n">
        <v>0.889512470168629</v>
      </c>
      <c r="AC124" s="45" t="n">
        <v>0.737777777777778</v>
      </c>
      <c r="AD124" s="45" t="n"/>
      <c r="AE124" s="45" t="n">
        <v>0.894855803119924</v>
      </c>
      <c r="AF124" s="75">
        <f>IFERROR(AVERAGE(L124:U124),"")</f>
        <v/>
      </c>
      <c r="AG124" s="75">
        <f>IFERROR(AVERAGE(V124:AE124),"")</f>
        <v/>
      </c>
      <c r="AH124" s="75">
        <f>IFERROR(AVERAGE(B124:K124),"")</f>
        <v/>
      </c>
      <c r="AI124" s="45" t="n">
        <v>0.917087554931641</v>
      </c>
      <c r="AJ124" s="47" t="n">
        <v>0</v>
      </c>
    </row>
    <row r="125" ht="15" customHeight="1" s="30">
      <c r="A125" s="73" t="inlineStr">
        <is>
          <t>7158.jpg</t>
        </is>
      </c>
      <c r="B125" s="45" t="n"/>
      <c r="C125" s="45" t="n"/>
      <c r="D125" s="45" t="n"/>
      <c r="E125" s="45" t="n"/>
      <c r="F125" s="45" t="n"/>
      <c r="G125" s="45" t="n">
        <v>0.773743016759777</v>
      </c>
      <c r="H125" s="45" t="n">
        <v>0.838820214377752</v>
      </c>
      <c r="I125" s="45" t="n"/>
      <c r="J125" s="45" t="n"/>
      <c r="K125" s="45" t="n">
        <v>0.939075819201135</v>
      </c>
      <c r="L125" s="45" t="n"/>
      <c r="M125" s="45" t="n"/>
      <c r="N125" s="45" t="n"/>
      <c r="O125" s="45" t="n"/>
      <c r="P125" s="45" t="n"/>
      <c r="Q125" s="45" t="n">
        <v>0.773959206482258</v>
      </c>
      <c r="R125" s="45" t="n">
        <v>0.903765179715628</v>
      </c>
      <c r="S125" s="45" t="n"/>
      <c r="T125" s="45" t="n"/>
      <c r="U125" s="45" t="n">
        <v>0.9737017982871981</v>
      </c>
      <c r="V125" s="45" t="n"/>
      <c r="W125" s="45" t="n"/>
      <c r="X125" s="45" t="n"/>
      <c r="Y125" s="45" t="n"/>
      <c r="Z125" s="45" t="n"/>
      <c r="AA125" s="45" t="n">
        <v>0.999639119451462</v>
      </c>
      <c r="AB125" s="45" t="n">
        <v>0.921091502759854</v>
      </c>
      <c r="AC125" s="45" t="n"/>
      <c r="AD125" s="45" t="n"/>
      <c r="AE125" s="45" t="n">
        <v>0.963513416522265</v>
      </c>
      <c r="AF125" s="75">
        <f>IFERROR(AVERAGE(L125:U125),"")</f>
        <v/>
      </c>
      <c r="AG125" s="75">
        <f>IFERROR(AVERAGE(V125:AE125),"")</f>
        <v/>
      </c>
      <c r="AH125" s="75">
        <f>IFERROR(AVERAGE(B125:K125),"")</f>
        <v/>
      </c>
      <c r="AI125" s="45" t="n">
        <v>0.953487396240234</v>
      </c>
      <c r="AJ125" s="47" t="n">
        <v>0</v>
      </c>
    </row>
    <row r="126" ht="15" customHeight="1" s="30">
      <c r="A126" s="73" t="inlineStr">
        <is>
          <t>7172.jpg</t>
        </is>
      </c>
      <c r="B126" s="45" t="n"/>
      <c r="C126" s="45" t="n"/>
      <c r="D126" s="45" t="n"/>
      <c r="E126" s="45" t="n"/>
      <c r="F126" s="45" t="n"/>
      <c r="G126" s="45" t="n"/>
      <c r="H126" s="45" t="n">
        <v>0.69649835558135</v>
      </c>
      <c r="I126" s="45" t="n"/>
      <c r="J126" s="45" t="n"/>
      <c r="K126" s="45" t="n">
        <v>0.967871288548105</v>
      </c>
      <c r="L126" s="45" t="n"/>
      <c r="M126" s="45" t="n"/>
      <c r="N126" s="45" t="n"/>
      <c r="O126" s="45" t="n"/>
      <c r="P126" s="45" t="n"/>
      <c r="Q126" s="45" t="n"/>
      <c r="R126" s="45" t="n">
        <v>0.862902066056277</v>
      </c>
      <c r="S126" s="45" t="n"/>
      <c r="T126" s="45" t="n"/>
      <c r="U126" s="45" t="n">
        <v>0.979343758159506</v>
      </c>
      <c r="V126" s="45" t="n"/>
      <c r="W126" s="45" t="n"/>
      <c r="X126" s="45" t="n"/>
      <c r="Y126" s="45" t="n"/>
      <c r="Z126" s="45" t="n"/>
      <c r="AA126" s="45" t="n"/>
      <c r="AB126" s="45" t="n">
        <v>0.783162932347183</v>
      </c>
      <c r="AC126" s="45" t="n"/>
      <c r="AD126" s="45" t="n"/>
      <c r="AE126" s="45" t="n">
        <v>0.988041428505722</v>
      </c>
      <c r="AF126" s="75">
        <f>IFERROR(AVERAGE(L126:U126),"")</f>
        <v/>
      </c>
      <c r="AG126" s="75">
        <f>IFERROR(AVERAGE(V126:AE126),"")</f>
        <v/>
      </c>
      <c r="AH126" s="75">
        <f>IFERROR(AVERAGE(B126:K126),"")</f>
        <v/>
      </c>
      <c r="AI126" s="45" t="n">
        <v>0.9700775146484381</v>
      </c>
      <c r="AJ126" s="47" t="n">
        <v>0</v>
      </c>
    </row>
    <row r="127" ht="15" customHeight="1" s="30">
      <c r="A127" s="73" t="inlineStr">
        <is>
          <t>7191.jpg</t>
        </is>
      </c>
      <c r="B127" s="45" t="n"/>
      <c r="C127" s="45" t="n"/>
      <c r="D127" s="45" t="n"/>
      <c r="E127" s="45" t="n"/>
      <c r="F127" s="45" t="n"/>
      <c r="G127" s="45" t="n"/>
      <c r="H127" s="45" t="n">
        <v>0.832000271706828</v>
      </c>
      <c r="I127" s="45" t="n"/>
      <c r="J127" s="45" t="n"/>
      <c r="K127" s="45" t="n">
        <v>0.95358667604973</v>
      </c>
      <c r="L127" s="45" t="n"/>
      <c r="M127" s="45" t="n"/>
      <c r="N127" s="45" t="n"/>
      <c r="O127" s="45" t="n"/>
      <c r="P127" s="45" t="n"/>
      <c r="Q127" s="45" t="n"/>
      <c r="R127" s="45" t="n">
        <v>0.8585196607555901</v>
      </c>
      <c r="S127" s="45" t="n"/>
      <c r="T127" s="45" t="n"/>
      <c r="U127" s="45" t="n">
        <v>0.991130117614933</v>
      </c>
      <c r="V127" s="45" t="n"/>
      <c r="W127" s="45" t="n"/>
      <c r="X127" s="45" t="n"/>
      <c r="Y127" s="45" t="n"/>
      <c r="Z127" s="45" t="n"/>
      <c r="AA127" s="45" t="n"/>
      <c r="AB127" s="45" t="n">
        <v>0.964202074272332</v>
      </c>
      <c r="AC127" s="45" t="n"/>
      <c r="AD127" s="45" t="n"/>
      <c r="AE127" s="45" t="n">
        <v>0.961794530854442</v>
      </c>
      <c r="AF127" s="75">
        <f>IFERROR(AVERAGE(L127:U127),"")</f>
        <v/>
      </c>
      <c r="AG127" s="75">
        <f>IFERROR(AVERAGE(V127:AE127),"")</f>
        <v/>
      </c>
      <c r="AH127" s="75">
        <f>IFERROR(AVERAGE(B127:K127),"")</f>
        <v/>
      </c>
      <c r="AI127" s="45" t="n">
        <v>0.962261199951172</v>
      </c>
      <c r="AJ127" s="47" t="n">
        <v>0</v>
      </c>
    </row>
    <row r="128" ht="15" customHeight="1" s="30">
      <c r="A128" s="73" t="inlineStr">
        <is>
          <t>7213.jpg</t>
        </is>
      </c>
      <c r="B128" s="45" t="n"/>
      <c r="C128" s="45" t="n"/>
      <c r="D128" s="45" t="n">
        <v>0</v>
      </c>
      <c r="E128" s="45" t="n"/>
      <c r="F128" s="45" t="n">
        <v>0.893998695368558</v>
      </c>
      <c r="G128" s="45" t="n">
        <v>0.944405497497432</v>
      </c>
      <c r="H128" s="45" t="n">
        <v>0.9368615689900111</v>
      </c>
      <c r="I128" s="45" t="n"/>
      <c r="J128" s="45" t="n"/>
      <c r="K128" s="45" t="n">
        <v>0.922424274003057</v>
      </c>
      <c r="L128" s="45" t="n"/>
      <c r="M128" s="45" t="n"/>
      <c r="N128" s="45" t="n">
        <v>0</v>
      </c>
      <c r="O128" s="45" t="n"/>
      <c r="P128" s="45" t="n">
        <v>0.975097829953753</v>
      </c>
      <c r="Q128" s="45" t="n">
        <v>0.972043696407296</v>
      </c>
      <c r="R128" s="45" t="n">
        <v>0.9531314521679281</v>
      </c>
      <c r="S128" s="45" t="n"/>
      <c r="T128" s="45" t="n"/>
      <c r="U128" s="45" t="n">
        <v>0.970054247566166</v>
      </c>
      <c r="V128" s="45" t="n"/>
      <c r="W128" s="45" t="n"/>
      <c r="X128" s="45" t="n"/>
      <c r="Y128" s="45" t="n"/>
      <c r="Z128" s="45" t="n">
        <v>0.9148865153538051</v>
      </c>
      <c r="AA128" s="45" t="n">
        <v>0.970773072346701</v>
      </c>
      <c r="AB128" s="45" t="n">
        <v>0.982105711043873</v>
      </c>
      <c r="AC128" s="45" t="n"/>
      <c r="AD128" s="45" t="n"/>
      <c r="AE128" s="45" t="n">
        <v>0.949460549015401</v>
      </c>
      <c r="AF128" s="75">
        <f>IFERROR(AVERAGE(L128:U128),"")</f>
        <v/>
      </c>
      <c r="AG128" s="75">
        <f>IFERROR(AVERAGE(V128:AE128),"")</f>
        <v/>
      </c>
      <c r="AH128" s="75">
        <f>IFERROR(AVERAGE(B128:K128),"")</f>
        <v/>
      </c>
      <c r="AI128" s="45" t="n">
        <v>0.964057922363281</v>
      </c>
      <c r="AJ128" s="47" t="n">
        <v>0</v>
      </c>
    </row>
    <row r="129" ht="15" customHeight="1" s="30">
      <c r="A129" s="73" t="inlineStr">
        <is>
          <t>7215.jpg</t>
        </is>
      </c>
      <c r="B129" s="45" t="n"/>
      <c r="C129" s="45" t="n"/>
      <c r="D129" s="45" t="n"/>
      <c r="E129" s="45" t="n"/>
      <c r="F129" s="45" t="n">
        <v>0.767419575633128</v>
      </c>
      <c r="G129" s="45" t="n">
        <v>0.8949519496299571</v>
      </c>
      <c r="H129" s="45" t="n">
        <v>0.941863646887958</v>
      </c>
      <c r="I129" s="45" t="n"/>
      <c r="J129" s="45" t="n"/>
      <c r="K129" s="45" t="n">
        <v>0.946345397265643</v>
      </c>
      <c r="L129" s="45" t="n"/>
      <c r="M129" s="45" t="n"/>
      <c r="N129" s="45" t="n"/>
      <c r="O129" s="45" t="n"/>
      <c r="P129" s="45" t="n">
        <v>0.885064730028418</v>
      </c>
      <c r="Q129" s="45" t="n">
        <v>0.933410138248848</v>
      </c>
      <c r="R129" s="45" t="n">
        <v>0.961649635193364</v>
      </c>
      <c r="S129" s="45" t="n"/>
      <c r="T129" s="45" t="n"/>
      <c r="U129" s="45" t="n">
        <v>0.980754059690534</v>
      </c>
      <c r="V129" s="45" t="n"/>
      <c r="W129" s="45" t="n"/>
      <c r="X129" s="45" t="n"/>
      <c r="Y129" s="45" t="n"/>
      <c r="Z129" s="45" t="n">
        <v>0.852364299832751</v>
      </c>
      <c r="AA129" s="45" t="n">
        <v>0.955988200589971</v>
      </c>
      <c r="AB129" s="45" t="n">
        <v>0.978621964154884</v>
      </c>
      <c r="AC129" s="45" t="n"/>
      <c r="AD129" s="45" t="n"/>
      <c r="AE129" s="45" t="n">
        <v>0.96425225391267</v>
      </c>
      <c r="AF129" s="75">
        <f>IFERROR(AVERAGE(L129:U129),"")</f>
        <v/>
      </c>
      <c r="AG129" s="75">
        <f>IFERROR(AVERAGE(V129:AE129),"")</f>
        <v/>
      </c>
      <c r="AH129" s="75">
        <f>IFERROR(AVERAGE(B129:K129),"")</f>
        <v/>
      </c>
      <c r="AI129" s="45" t="n">
        <v>0.965389251708984</v>
      </c>
      <c r="AJ129" s="47" t="n">
        <v>0</v>
      </c>
    </row>
    <row r="130" ht="15" customHeight="1" s="30">
      <c r="A130" s="73" t="inlineStr">
        <is>
          <t>7220.jpg</t>
        </is>
      </c>
      <c r="B130" s="45" t="n"/>
      <c r="C130" s="45" t="n"/>
      <c r="D130" s="45" t="n"/>
      <c r="E130" s="45" t="n"/>
      <c r="F130" s="45" t="n">
        <v>0.855437776479426</v>
      </c>
      <c r="G130" s="45" t="n"/>
      <c r="H130" s="45" t="n">
        <v>0.813598121116628</v>
      </c>
      <c r="I130" s="45" t="n"/>
      <c r="J130" s="45" t="n"/>
      <c r="K130" s="45" t="n">
        <v>0.964360792417872</v>
      </c>
      <c r="L130" s="45" t="n"/>
      <c r="M130" s="45" t="n"/>
      <c r="N130" s="45" t="n"/>
      <c r="O130" s="45" t="n"/>
      <c r="P130" s="45" t="n">
        <v>0.977584891262877</v>
      </c>
      <c r="Q130" s="45" t="n"/>
      <c r="R130" s="45" t="n">
        <v>0.938704808945599</v>
      </c>
      <c r="S130" s="45" t="n"/>
      <c r="T130" s="45" t="n"/>
      <c r="U130" s="45" t="n">
        <v>0.97312432024305</v>
      </c>
      <c r="V130" s="45" t="n"/>
      <c r="W130" s="45" t="n"/>
      <c r="X130" s="45" t="n"/>
      <c r="Y130" s="45" t="n"/>
      <c r="Z130" s="45" t="n">
        <v>0.872552358249617</v>
      </c>
      <c r="AA130" s="45" t="n"/>
      <c r="AB130" s="45" t="n">
        <v>0.859246467817896</v>
      </c>
      <c r="AC130" s="45" t="n"/>
      <c r="AD130" s="45" t="n"/>
      <c r="AE130" s="45" t="n">
        <v>0.9907480278931859</v>
      </c>
      <c r="AF130" s="75">
        <f>IFERROR(AVERAGE(L130:U130),"")</f>
        <v/>
      </c>
      <c r="AG130" s="75">
        <f>IFERROR(AVERAGE(V130:AE130),"")</f>
        <v/>
      </c>
      <c r="AH130" s="75">
        <f>IFERROR(AVERAGE(B130:K130),"")</f>
        <v/>
      </c>
      <c r="AI130" s="45" t="n">
        <v>0.969474792480469</v>
      </c>
      <c r="AJ130" s="47" t="n">
        <v>0</v>
      </c>
    </row>
    <row r="131" ht="15" customHeight="1" s="30">
      <c r="A131" s="73" t="inlineStr">
        <is>
          <t>7223.jpg</t>
        </is>
      </c>
      <c r="B131" s="45" t="n"/>
      <c r="C131" s="45" t="n"/>
      <c r="D131" s="45" t="n"/>
      <c r="E131" s="45" t="n"/>
      <c r="F131" s="45" t="n">
        <v>0.898109928307626</v>
      </c>
      <c r="G131" s="45" t="n"/>
      <c r="H131" s="45" t="n">
        <v>0.920423622201801</v>
      </c>
      <c r="I131" s="45" t="n"/>
      <c r="J131" s="45" t="n"/>
      <c r="K131" s="45" t="n">
        <v>0.939126907064285</v>
      </c>
      <c r="L131" s="45" t="n"/>
      <c r="M131" s="45" t="n"/>
      <c r="N131" s="45" t="n"/>
      <c r="O131" s="45" t="n"/>
      <c r="P131" s="45" t="n">
        <v>0.952863893050594</v>
      </c>
      <c r="Q131" s="45" t="n"/>
      <c r="R131" s="45" t="n">
        <v>0.931502149023007</v>
      </c>
      <c r="S131" s="45" t="n"/>
      <c r="T131" s="45" t="n"/>
      <c r="U131" s="45" t="n">
        <v>0.989419768916542</v>
      </c>
      <c r="V131" s="45" t="n"/>
      <c r="W131" s="45" t="n"/>
      <c r="X131" s="45" t="n"/>
      <c r="Y131" s="45" t="n"/>
      <c r="Z131" s="45" t="n">
        <v>0.93986586336251</v>
      </c>
      <c r="AA131" s="45" t="n"/>
      <c r="AB131" s="45" t="n">
        <v>0.98724340877554</v>
      </c>
      <c r="AC131" s="45" t="n"/>
      <c r="AD131" s="45" t="n"/>
      <c r="AE131" s="45" t="n">
        <v>0.948653696288931</v>
      </c>
      <c r="AF131" s="75">
        <f>IFERROR(AVERAGE(L131:U131),"")</f>
        <v/>
      </c>
      <c r="AG131" s="75">
        <f>IFERROR(AVERAGE(V131:AE131),"")</f>
        <v/>
      </c>
      <c r="AH131" s="75">
        <f>IFERROR(AVERAGE(B131:K131),"")</f>
        <v/>
      </c>
      <c r="AI131" s="45" t="n">
        <v>0.963741302490234</v>
      </c>
      <c r="AJ131" s="47" t="n">
        <v>0</v>
      </c>
    </row>
    <row r="132" ht="15" customHeight="1" s="30">
      <c r="A132" s="73" t="inlineStr">
        <is>
          <t>7231.jpg</t>
        </is>
      </c>
      <c r="B132" s="45" t="n"/>
      <c r="C132" s="45" t="n"/>
      <c r="D132" s="45" t="n">
        <v>0.930352590013059</v>
      </c>
      <c r="E132" s="45" t="n"/>
      <c r="F132" s="45" t="n">
        <v>0.802565747273894</v>
      </c>
      <c r="G132" s="45" t="n"/>
      <c r="H132" s="45" t="n">
        <v>0.930427659647087</v>
      </c>
      <c r="I132" s="45" t="n">
        <v>0</v>
      </c>
      <c r="J132" s="45" t="n"/>
      <c r="K132" s="45" t="n">
        <v>0.870583406023911</v>
      </c>
      <c r="L132" s="45" t="n"/>
      <c r="M132" s="45" t="n"/>
      <c r="N132" s="45" t="n">
        <v>0.938758863023154</v>
      </c>
      <c r="O132" s="45" t="n"/>
      <c r="P132" s="45" t="n">
        <v>0.879578207381371</v>
      </c>
      <c r="Q132" s="45" t="n"/>
      <c r="R132" s="45" t="n">
        <v>0.966749650686923</v>
      </c>
      <c r="S132" s="45" t="n">
        <v>0</v>
      </c>
      <c r="T132" s="45" t="n"/>
      <c r="U132" s="45" t="n">
        <v>0.933020984558532</v>
      </c>
      <c r="V132" s="45" t="n"/>
      <c r="W132" s="45" t="n"/>
      <c r="X132" s="45" t="n">
        <v>0.990466732869911</v>
      </c>
      <c r="Y132" s="45" t="n"/>
      <c r="Z132" s="45" t="n">
        <v>0.90163580024501</v>
      </c>
      <c r="AA132" s="45" t="n"/>
      <c r="AB132" s="45" t="n">
        <v>0.961186683309005</v>
      </c>
      <c r="AC132" s="45" t="n"/>
      <c r="AD132" s="45" t="n"/>
      <c r="AE132" s="45" t="n">
        <v>0.9286191232007009</v>
      </c>
      <c r="AF132" s="75">
        <f>IFERROR(AVERAGE(L132:U132),"")</f>
        <v/>
      </c>
      <c r="AG132" s="75">
        <f>IFERROR(AVERAGE(V132:AE132),"")</f>
        <v/>
      </c>
      <c r="AH132" s="75">
        <f>IFERROR(AVERAGE(B132:K132),"")</f>
        <v/>
      </c>
      <c r="AI132" s="45" t="n">
        <v>0.948371887207031</v>
      </c>
      <c r="AJ132" s="47" t="n">
        <v>0</v>
      </c>
    </row>
    <row r="133" ht="15" customHeight="1" s="30">
      <c r="A133" s="73" t="inlineStr">
        <is>
          <t>7232.jpg</t>
        </is>
      </c>
      <c r="B133" s="45" t="n"/>
      <c r="C133" s="45" t="n"/>
      <c r="D133" s="45" t="n">
        <v>0.9243909172475669</v>
      </c>
      <c r="E133" s="45" t="n"/>
      <c r="F133" s="45" t="n">
        <v>0.767723749119098</v>
      </c>
      <c r="G133" s="45" t="n"/>
      <c r="H133" s="45" t="n">
        <v>0.914510599832859</v>
      </c>
      <c r="I133" s="45" t="n"/>
      <c r="J133" s="45" t="n"/>
      <c r="K133" s="45" t="n">
        <v>0.883140230003699</v>
      </c>
      <c r="L133" s="45" t="n"/>
      <c r="M133" s="45" t="n"/>
      <c r="N133" s="45" t="n">
        <v>0.948413822404759</v>
      </c>
      <c r="O133" s="45" t="n"/>
      <c r="P133" s="45" t="n">
        <v>0.891489361702128</v>
      </c>
      <c r="Q133" s="45" t="n"/>
      <c r="R133" s="45" t="n">
        <v>0.963756133508277</v>
      </c>
      <c r="S133" s="45" t="n"/>
      <c r="T133" s="45" t="n"/>
      <c r="U133" s="45" t="n">
        <v>0.929958516747278</v>
      </c>
      <c r="V133" s="45" t="n"/>
      <c r="W133" s="45" t="n"/>
      <c r="X133" s="45" t="n">
        <v>0.973329457505178</v>
      </c>
      <c r="Y133" s="45" t="n"/>
      <c r="Z133" s="45" t="n">
        <v>0.846859452736319</v>
      </c>
      <c r="AA133" s="45" t="n"/>
      <c r="AB133" s="45" t="n">
        <v>0.947082564270133</v>
      </c>
      <c r="AC133" s="45" t="n"/>
      <c r="AD133" s="45" t="n"/>
      <c r="AE133" s="45" t="n">
        <v>0.9460682232829</v>
      </c>
      <c r="AF133" s="75">
        <f>IFERROR(AVERAGE(L133:U133),"")</f>
        <v/>
      </c>
      <c r="AG133" s="75">
        <f>IFERROR(AVERAGE(V133:AE133),"")</f>
        <v/>
      </c>
      <c r="AH133" s="75">
        <f>IFERROR(AVERAGE(B133:K133),"")</f>
        <v/>
      </c>
      <c r="AI133" s="45" t="n">
        <v>0.944499969482422</v>
      </c>
      <c r="AJ133" s="47" t="n">
        <v>0</v>
      </c>
    </row>
    <row r="134" ht="15" customHeight="1" s="30">
      <c r="A134" s="73" t="inlineStr">
        <is>
          <t>7233.jpg</t>
        </is>
      </c>
      <c r="B134" s="45" t="n"/>
      <c r="C134" s="45" t="n"/>
      <c r="D134" s="45" t="n">
        <v>0.924841331700256</v>
      </c>
      <c r="E134" s="45" t="n"/>
      <c r="F134" s="45" t="n">
        <v>0.825625473843821</v>
      </c>
      <c r="G134" s="45" t="n"/>
      <c r="H134" s="45" t="n">
        <v>0.892198375546047</v>
      </c>
      <c r="I134" s="45" t="n"/>
      <c r="J134" s="45" t="n"/>
      <c r="K134" s="45" t="n">
        <v>0.895924601400685</v>
      </c>
      <c r="L134" s="45" t="n"/>
      <c r="M134" s="45" t="n"/>
      <c r="N134" s="45" t="n">
        <v>0.946013667425968</v>
      </c>
      <c r="O134" s="45" t="n"/>
      <c r="P134" s="45" t="n">
        <v>0.9755374862183021</v>
      </c>
      <c r="Q134" s="45" t="n"/>
      <c r="R134" s="45" t="n">
        <v>0.980430192014929</v>
      </c>
      <c r="S134" s="45" t="n"/>
      <c r="T134" s="45" t="n"/>
      <c r="U134" s="45" t="n">
        <v>0.917526323821151</v>
      </c>
      <c r="V134" s="45" t="n"/>
      <c r="W134" s="45" t="n"/>
      <c r="X134" s="45" t="n">
        <v>0.976372399200658</v>
      </c>
      <c r="Y134" s="45" t="n"/>
      <c r="Z134" s="45" t="n">
        <v>0.8430800381133871</v>
      </c>
      <c r="AA134" s="45" t="n"/>
      <c r="AB134" s="45" t="n">
        <v>0.908375325605997</v>
      </c>
      <c r="AC134" s="45" t="n"/>
      <c r="AD134" s="45" t="n"/>
      <c r="AE134" s="45" t="n">
        <v>0.9743945029211341</v>
      </c>
      <c r="AF134" s="75">
        <f>IFERROR(AVERAGE(L134:U134),"")</f>
        <v/>
      </c>
      <c r="AG134" s="75">
        <f>IFERROR(AVERAGE(V134:AE134),"")</f>
        <v/>
      </c>
      <c r="AH134" s="75">
        <f>IFERROR(AVERAGE(B134:K134),"")</f>
        <v/>
      </c>
      <c r="AI134" s="45" t="n">
        <v>0.944099426269531</v>
      </c>
      <c r="AJ134" s="47" t="n">
        <v>0</v>
      </c>
    </row>
    <row r="135" ht="15" customHeight="1" s="30">
      <c r="A135" s="73" t="inlineStr">
        <is>
          <t>7241.jpg</t>
        </is>
      </c>
      <c r="B135" s="45" t="n"/>
      <c r="C135" s="45" t="n">
        <v>0.890780531337956</v>
      </c>
      <c r="D135" s="45" t="n"/>
      <c r="E135" s="45" t="n">
        <v>0.74611356300639</v>
      </c>
      <c r="F135" s="45" t="n"/>
      <c r="G135" s="45" t="n">
        <v>0.739295155258317</v>
      </c>
      <c r="H135" s="45" t="n">
        <v>0.842413826727122</v>
      </c>
      <c r="I135" s="45" t="n">
        <v>0.642600717989629</v>
      </c>
      <c r="J135" s="45" t="n">
        <v>0.813223140495868</v>
      </c>
      <c r="K135" s="45" t="n">
        <v>0</v>
      </c>
      <c r="L135" s="45" t="n"/>
      <c r="M135" s="45" t="n">
        <v>0.918394790855687</v>
      </c>
      <c r="N135" s="45" t="n"/>
      <c r="O135" s="45" t="n">
        <v>0.836601669251791</v>
      </c>
      <c r="P135" s="45" t="n"/>
      <c r="Q135" s="45" t="n">
        <v>0.920491430304869</v>
      </c>
      <c r="R135" s="45" t="n">
        <v>0.923034803280002</v>
      </c>
      <c r="S135" s="45" t="n">
        <v>0.728629579375848</v>
      </c>
      <c r="T135" s="45" t="n">
        <v>0.861646234676007</v>
      </c>
      <c r="U135" s="45" t="n">
        <v>0</v>
      </c>
      <c r="V135" s="45" t="n"/>
      <c r="W135" s="45" t="n">
        <v>0.967347547338602</v>
      </c>
      <c r="X135" s="45" t="n"/>
      <c r="Y135" s="45" t="n">
        <v>0.8733879518072289</v>
      </c>
      <c r="Z135" s="45" t="n"/>
      <c r="AA135" s="45" t="n">
        <v>0.789725038062644</v>
      </c>
      <c r="AB135" s="45" t="n">
        <v>0.906057864999148</v>
      </c>
      <c r="AC135" s="45" t="n">
        <v>0.844782380702674</v>
      </c>
      <c r="AD135" s="45" t="n">
        <v>0.935361216730038</v>
      </c>
      <c r="AE135" s="45" t="n"/>
      <c r="AF135" s="75">
        <f>IFERROR(AVERAGE(L135:U135),"")</f>
        <v/>
      </c>
      <c r="AG135" s="75">
        <f>IFERROR(AVERAGE(V135:AE135),"")</f>
        <v/>
      </c>
      <c r="AH135" s="75">
        <f>IFERROR(AVERAGE(B135:K135),"")</f>
        <v/>
      </c>
      <c r="AI135" s="45" t="n">
        <v>0.877765655517578</v>
      </c>
      <c r="AJ135" s="47" t="n">
        <v>0</v>
      </c>
    </row>
    <row r="136" ht="15" customHeight="1" s="30">
      <c r="A136" s="73" t="inlineStr">
        <is>
          <t>7253.jpg</t>
        </is>
      </c>
      <c r="B136" s="45" t="n"/>
      <c r="C136" s="45" t="n">
        <v>0.886729222520107</v>
      </c>
      <c r="D136" s="45" t="n"/>
      <c r="E136" s="45" t="n">
        <v>0.896060426064761</v>
      </c>
      <c r="F136" s="45" t="n"/>
      <c r="G136" s="45" t="n">
        <v>0.758439915671117</v>
      </c>
      <c r="H136" s="45" t="n">
        <v>0.80947112192963</v>
      </c>
      <c r="I136" s="45" t="n">
        <v>0.56038961038961</v>
      </c>
      <c r="J136" s="45" t="n">
        <v>0.877591312931886</v>
      </c>
      <c r="K136" s="45" t="n">
        <v>0</v>
      </c>
      <c r="L136" s="45" t="n"/>
      <c r="M136" s="45" t="n">
        <v>0.906863165110102</v>
      </c>
      <c r="N136" s="45" t="n"/>
      <c r="O136" s="45" t="n">
        <v>0.971921851329468</v>
      </c>
      <c r="P136" s="45" t="n"/>
      <c r="Q136" s="45" t="n">
        <v>0.877532767424464</v>
      </c>
      <c r="R136" s="45" t="n">
        <v>0.86849680961567</v>
      </c>
      <c r="S136" s="45" t="n">
        <v>0.681136543014996</v>
      </c>
      <c r="T136" s="45" t="n">
        <v>0.900709219858156</v>
      </c>
      <c r="U136" s="45" t="n">
        <v>0</v>
      </c>
      <c r="V136" s="45" t="n"/>
      <c r="W136" s="45" t="n">
        <v>0.97557378560236</v>
      </c>
      <c r="X136" s="45" t="n"/>
      <c r="Y136" s="45" t="n">
        <v>0.9198727720691841</v>
      </c>
      <c r="Z136" s="45" t="n"/>
      <c r="AA136" s="45" t="n">
        <v>0.848221443279523</v>
      </c>
      <c r="AB136" s="45" t="n">
        <v>0.922543425491</v>
      </c>
      <c r="AC136" s="45" t="n">
        <v>0.759683098591549</v>
      </c>
      <c r="AD136" s="45" t="n">
        <v>0.971584699453552</v>
      </c>
      <c r="AE136" s="45" t="n"/>
      <c r="AF136" s="75">
        <f>IFERROR(AVERAGE(L136:U136),"")</f>
        <v/>
      </c>
      <c r="AG136" s="75">
        <f>IFERROR(AVERAGE(V136:AE136),"")</f>
        <v/>
      </c>
      <c r="AH136" s="75">
        <f>IFERROR(AVERAGE(B136:K136),"")</f>
        <v/>
      </c>
      <c r="AI136" s="45" t="n">
        <v>0.9115142822265631</v>
      </c>
      <c r="AJ136" s="47" t="n">
        <v>0</v>
      </c>
    </row>
    <row r="137" ht="15" customHeight="1" s="30">
      <c r="A137" s="73" t="inlineStr">
        <is>
          <t>7268.jpg</t>
        </is>
      </c>
      <c r="B137" s="45" t="n">
        <v>0</v>
      </c>
      <c r="C137" s="45" t="n"/>
      <c r="D137" s="45" t="n"/>
      <c r="E137" s="45" t="n"/>
      <c r="F137" s="45" t="n"/>
      <c r="G137" s="45" t="n">
        <v>0.865552031966882</v>
      </c>
      <c r="H137" s="45" t="n">
        <v>0.885078605233096</v>
      </c>
      <c r="I137" s="45" t="n"/>
      <c r="J137" s="45" t="n"/>
      <c r="K137" s="45" t="n">
        <v>0</v>
      </c>
      <c r="L137" s="45" t="n"/>
      <c r="M137" s="45" t="n"/>
      <c r="N137" s="45" t="n"/>
      <c r="O137" s="45" t="n"/>
      <c r="P137" s="45" t="n"/>
      <c r="Q137" s="45" t="n">
        <v>0.972623697106893</v>
      </c>
      <c r="R137" s="45" t="n">
        <v>0.930311277817167</v>
      </c>
      <c r="S137" s="45" t="n"/>
      <c r="T137" s="45" t="n"/>
      <c r="U137" s="45" t="n">
        <v>0</v>
      </c>
      <c r="V137" s="45" t="n">
        <v>0</v>
      </c>
      <c r="W137" s="45" t="n"/>
      <c r="X137" s="45" t="n"/>
      <c r="Y137" s="45" t="n"/>
      <c r="Z137" s="45" t="n"/>
      <c r="AA137" s="45" t="n">
        <v>0.887165669228806</v>
      </c>
      <c r="AB137" s="45" t="n">
        <v>0.947926498176437</v>
      </c>
      <c r="AC137" s="45" t="n"/>
      <c r="AD137" s="45" t="n"/>
      <c r="AE137" s="45" t="n"/>
      <c r="AF137" s="75">
        <f>IFERROR(AVERAGE(L137:U137),"")</f>
        <v/>
      </c>
      <c r="AG137" s="75">
        <f>IFERROR(AVERAGE(V137:AE137),"")</f>
        <v/>
      </c>
      <c r="AH137" s="75">
        <f>IFERROR(AVERAGE(B137:K137),"")</f>
        <v/>
      </c>
      <c r="AI137" s="45" t="n">
        <v>0.906929016113281</v>
      </c>
      <c r="AJ137" s="47" t="n">
        <v>0</v>
      </c>
    </row>
    <row r="138" ht="15" customHeight="1" s="30">
      <c r="A138" s="73" t="inlineStr">
        <is>
          <t>7279.jpg</t>
        </is>
      </c>
      <c r="B138" s="45" t="n"/>
      <c r="C138" s="45" t="n">
        <v>0.748760330578512</v>
      </c>
      <c r="D138" s="45" t="n">
        <v>0.807254623044097</v>
      </c>
      <c r="E138" s="45" t="n">
        <v>0</v>
      </c>
      <c r="F138" s="45" t="n">
        <v>0</v>
      </c>
      <c r="G138" s="45" t="n">
        <v>0.702534747896018</v>
      </c>
      <c r="H138" s="45" t="n">
        <v>0.778771384136858</v>
      </c>
      <c r="I138" s="45" t="n"/>
      <c r="J138" s="45" t="n">
        <v>0.365644171779141</v>
      </c>
      <c r="K138" s="45" t="n">
        <v>0</v>
      </c>
      <c r="L138" s="45" t="n"/>
      <c r="M138" s="45" t="n">
        <v>0.994667503136763</v>
      </c>
      <c r="N138" s="45" t="n">
        <v>0.962680237489398</v>
      </c>
      <c r="O138" s="45" t="n"/>
      <c r="P138" s="45" t="n"/>
      <c r="Q138" s="45" t="n">
        <v>0.9926981592787379</v>
      </c>
      <c r="R138" s="45" t="n">
        <v>0.904152873909118</v>
      </c>
      <c r="S138" s="45" t="n"/>
      <c r="T138" s="45" t="n">
        <v>0.8142076502732239</v>
      </c>
      <c r="U138" s="45" t="n">
        <v>0</v>
      </c>
      <c r="V138" s="45" t="n"/>
      <c r="W138" s="45" t="n">
        <v>0.751778093883357</v>
      </c>
      <c r="X138" s="45" t="n">
        <v>0.833333333333333</v>
      </c>
      <c r="Y138" s="45" t="n">
        <v>0</v>
      </c>
      <c r="Z138" s="45" t="n">
        <v>0</v>
      </c>
      <c r="AA138" s="45" t="n">
        <v>0.706183974278676</v>
      </c>
      <c r="AB138" s="45" t="n">
        <v>0.848848707444554</v>
      </c>
      <c r="AC138" s="45" t="n"/>
      <c r="AD138" s="45" t="n">
        <v>0.398929049531459</v>
      </c>
      <c r="AE138" s="45" t="n"/>
      <c r="AF138" s="75">
        <f>IFERROR(AVERAGE(L138:U138),"")</f>
        <v/>
      </c>
      <c r="AG138" s="75">
        <f>IFERROR(AVERAGE(V138:AE138),"")</f>
        <v/>
      </c>
      <c r="AH138" s="75">
        <f>IFERROR(AVERAGE(B138:K138),"")</f>
        <v/>
      </c>
      <c r="AI138" s="45" t="n">
        <v>0.685642242431641</v>
      </c>
      <c r="AJ138" s="47" t="n">
        <v>0</v>
      </c>
    </row>
    <row r="139" ht="15" customHeight="1" s="30">
      <c r="A139" s="73" t="inlineStr">
        <is>
          <t>7284.jpg</t>
        </is>
      </c>
      <c r="B139" s="45" t="n">
        <v>0</v>
      </c>
      <c r="C139" s="45" t="n">
        <v>0.361269664485591</v>
      </c>
      <c r="D139" s="45" t="n">
        <v>0.306306306306306</v>
      </c>
      <c r="E139" s="45" t="n">
        <v>0</v>
      </c>
      <c r="F139" s="45" t="n"/>
      <c r="G139" s="45" t="n">
        <v>0.834345054328215</v>
      </c>
      <c r="H139" s="45" t="n">
        <v>0.31338818249813</v>
      </c>
      <c r="I139" s="45" t="n">
        <v>0</v>
      </c>
      <c r="J139" s="45" t="n">
        <v>0.780065005417118</v>
      </c>
      <c r="K139" s="45" t="n">
        <v>0</v>
      </c>
      <c r="L139" s="45" t="n">
        <v>0</v>
      </c>
      <c r="M139" s="45" t="n">
        <v>0.381842260153031</v>
      </c>
      <c r="N139" s="45" t="n">
        <v>0.7906976744186049</v>
      </c>
      <c r="O139" s="45" t="n">
        <v>0</v>
      </c>
      <c r="P139" s="45" t="n"/>
      <c r="Q139" s="45" t="n">
        <v>0.999462071217928</v>
      </c>
      <c r="R139" s="45" t="n">
        <v>0.955530216647663</v>
      </c>
      <c r="S139" s="45" t="n">
        <v>0</v>
      </c>
      <c r="T139" s="45" t="n">
        <v>0.857142857142857</v>
      </c>
      <c r="U139" s="45" t="n">
        <v>0</v>
      </c>
      <c r="V139" s="45" t="n"/>
      <c r="W139" s="45" t="n">
        <v>0.870221327967807</v>
      </c>
      <c r="X139" s="45" t="n">
        <v>0.333333333333333</v>
      </c>
      <c r="Y139" s="45" t="n"/>
      <c r="Z139" s="45" t="n"/>
      <c r="AA139" s="45" t="n">
        <v>0.834719893460838</v>
      </c>
      <c r="AB139" s="45" t="n">
        <v>0.318026565464896</v>
      </c>
      <c r="AC139" s="45" t="n"/>
      <c r="AD139" s="45" t="n">
        <v>0.896637608966376</v>
      </c>
      <c r="AE139" s="45" t="n"/>
      <c r="AF139" s="75">
        <f>IFERROR(AVERAGE(L139:U139),"")</f>
        <v/>
      </c>
      <c r="AG139" s="75">
        <f>IFERROR(AVERAGE(V139:AE139),"")</f>
        <v/>
      </c>
      <c r="AH139" s="75">
        <f>IFERROR(AVERAGE(B139:K139),"")</f>
        <v/>
      </c>
      <c r="AI139" s="45" t="n">
        <v>0.817829132080078</v>
      </c>
      <c r="AJ139" s="47" t="n">
        <v>0</v>
      </c>
    </row>
    <row r="140" ht="15" customHeight="1" s="30">
      <c r="A140" s="73" t="inlineStr">
        <is>
          <t>7291.jpg</t>
        </is>
      </c>
      <c r="B140" s="45" t="n"/>
      <c r="C140" s="45" t="n"/>
      <c r="D140" s="45" t="n">
        <v>0.812474849094567</v>
      </c>
      <c r="E140" s="45" t="n">
        <v>0.82570996008625</v>
      </c>
      <c r="F140" s="45" t="n">
        <v>0</v>
      </c>
      <c r="G140" s="45" t="n">
        <v>0.9591788738072839</v>
      </c>
      <c r="H140" s="45" t="n">
        <v>0.831475702184574</v>
      </c>
      <c r="I140" s="45" t="n">
        <v>0.389105058365759</v>
      </c>
      <c r="J140" s="45" t="n"/>
      <c r="K140" s="45" t="n">
        <v>0.9067310458926769</v>
      </c>
      <c r="L140" s="45" t="n"/>
      <c r="M140" s="45" t="n"/>
      <c r="N140" s="45" t="n">
        <v>0.97677793904209</v>
      </c>
      <c r="O140" s="45" t="n">
        <v>0.927445120065959</v>
      </c>
      <c r="P140" s="45" t="n">
        <v>0</v>
      </c>
      <c r="Q140" s="45" t="n">
        <v>0.993699965193178</v>
      </c>
      <c r="R140" s="45" t="n">
        <v>0.93290814731445</v>
      </c>
      <c r="S140" s="45" t="n">
        <v>0.39714058776807</v>
      </c>
      <c r="T140" s="45" t="n"/>
      <c r="U140" s="45" t="n">
        <v>0.929685627362404</v>
      </c>
      <c r="V140" s="45" t="n"/>
      <c r="W140" s="45" t="n"/>
      <c r="X140" s="45" t="n">
        <v>0.828477636438244</v>
      </c>
      <c r="Y140" s="45" t="n">
        <v>0.882730884300358</v>
      </c>
      <c r="Z140" s="45" t="n"/>
      <c r="AA140" s="45" t="n">
        <v>0.965047493492884</v>
      </c>
      <c r="AB140" s="45" t="n">
        <v>0.884357773694505</v>
      </c>
      <c r="AC140" s="45" t="n">
        <v>0.950570342205323</v>
      </c>
      <c r="AD140" s="45" t="n"/>
      <c r="AE140" s="45" t="n">
        <v>0.973491393873867</v>
      </c>
      <c r="AF140" s="75">
        <f>IFERROR(AVERAGE(L140:U140),"")</f>
        <v/>
      </c>
      <c r="AG140" s="75">
        <f>IFERROR(AVERAGE(V140:AE140),"")</f>
        <v/>
      </c>
      <c r="AH140" s="75">
        <f>IFERROR(AVERAGE(B140:K140),"")</f>
        <v/>
      </c>
      <c r="AI140" s="45" t="n">
        <v>0.9554901123046881</v>
      </c>
      <c r="AJ140" s="47" t="n">
        <v>0</v>
      </c>
    </row>
    <row r="141" ht="15" customHeight="1" s="30">
      <c r="A141" s="73" t="inlineStr">
        <is>
          <t>7294.jpg</t>
        </is>
      </c>
      <c r="B141" s="45" t="n"/>
      <c r="C141" s="45" t="n">
        <v>0.8164696199927201</v>
      </c>
      <c r="D141" s="45" t="n">
        <v>0</v>
      </c>
      <c r="E141" s="45" t="n">
        <v>0.663558910921109</v>
      </c>
      <c r="F141" s="45" t="n">
        <v>0</v>
      </c>
      <c r="G141" s="45" t="n">
        <v>0</v>
      </c>
      <c r="H141" s="45" t="n">
        <v>0.811619070964579</v>
      </c>
      <c r="I141" s="45" t="n">
        <v>0.39707750952986</v>
      </c>
      <c r="J141" s="45" t="n">
        <v>0.41029810298103</v>
      </c>
      <c r="K141" s="45" t="n">
        <v>0.5841069572386109</v>
      </c>
      <c r="L141" s="45" t="n"/>
      <c r="M141" s="45" t="n">
        <v>0.919652725781724</v>
      </c>
      <c r="N141" s="45" t="n">
        <v>0</v>
      </c>
      <c r="O141" s="45" t="n">
        <v>0.749452092322444</v>
      </c>
      <c r="P141" s="45" t="n">
        <v>0</v>
      </c>
      <c r="Q141" s="45" t="n"/>
      <c r="R141" s="45" t="n">
        <v>0.856730558707032</v>
      </c>
      <c r="S141" s="45" t="n">
        <v>0.514827018121911</v>
      </c>
      <c r="T141" s="45" t="n">
        <v>0.90442054958184</v>
      </c>
      <c r="U141" s="45" t="n">
        <v>0.750448998388211</v>
      </c>
      <c r="V141" s="45" t="n"/>
      <c r="W141" s="45" t="n">
        <v>0.879183993455587</v>
      </c>
      <c r="X141" s="45" t="n">
        <v>0</v>
      </c>
      <c r="Y141" s="45" t="n">
        <v>0.8527205782081</v>
      </c>
      <c r="Z141" s="45" t="n"/>
      <c r="AA141" s="45" t="n">
        <v>0</v>
      </c>
      <c r="AB141" s="45" t="n">
        <v>0.939075607334926</v>
      </c>
      <c r="AC141" s="45" t="n">
        <v>0.6345177664974621</v>
      </c>
      <c r="AD141" s="45" t="n">
        <v>0.428895184135977</v>
      </c>
      <c r="AE141" s="45" t="n">
        <v>0.72491103202847</v>
      </c>
      <c r="AF141" s="75">
        <f>IFERROR(AVERAGE(L141:U141),"")</f>
        <v/>
      </c>
      <c r="AG141" s="75">
        <f>IFERROR(AVERAGE(V141:AE141),"")</f>
        <v/>
      </c>
      <c r="AH141" s="75">
        <f>IFERROR(AVERAGE(B141:K141),"")</f>
        <v/>
      </c>
      <c r="AI141" s="45" t="n">
        <v>0.821754455566406</v>
      </c>
      <c r="AJ141" s="47" t="n">
        <v>0</v>
      </c>
    </row>
    <row r="142" ht="15" customHeight="1" s="30">
      <c r="A142" s="73" t="inlineStr">
        <is>
          <t>7300.jpg</t>
        </is>
      </c>
      <c r="B142" s="45" t="n">
        <v>0</v>
      </c>
      <c r="C142" s="45" t="n">
        <v>0.857266551218862</v>
      </c>
      <c r="D142" s="45" t="n">
        <v>0</v>
      </c>
      <c r="E142" s="45" t="n">
        <v>0.749043784599899</v>
      </c>
      <c r="F142" s="45" t="n">
        <v>0</v>
      </c>
      <c r="G142" s="45" t="n"/>
      <c r="H142" s="45" t="n">
        <v>0.750693306053024</v>
      </c>
      <c r="I142" s="45" t="n">
        <v>0.60852407261247</v>
      </c>
      <c r="J142" s="45" t="n">
        <v>0.586404066073698</v>
      </c>
      <c r="K142" s="45" t="n">
        <v>0.7193598021311171</v>
      </c>
      <c r="L142" s="45" t="n">
        <v>0</v>
      </c>
      <c r="M142" s="45" t="n">
        <v>0.949293800936682</v>
      </c>
      <c r="N142" s="45" t="n">
        <v>0</v>
      </c>
      <c r="O142" s="45" t="n">
        <v>0.814752976597783</v>
      </c>
      <c r="P142" s="45" t="n"/>
      <c r="Q142" s="45" t="n"/>
      <c r="R142" s="45" t="n">
        <v>0.887997900507377</v>
      </c>
      <c r="S142" s="45" t="n">
        <v>0.692722371967655</v>
      </c>
      <c r="T142" s="45" t="n">
        <v>0.655539772727273</v>
      </c>
      <c r="U142" s="45" t="n">
        <v>0.836412580046481</v>
      </c>
      <c r="V142" s="45" t="n"/>
      <c r="W142" s="45" t="n">
        <v>0.898405053572052</v>
      </c>
      <c r="X142" s="45" t="n"/>
      <c r="Y142" s="45" t="n">
        <v>0.902796312022322</v>
      </c>
      <c r="Z142" s="45" t="n">
        <v>0</v>
      </c>
      <c r="AA142" s="45" t="n"/>
      <c r="AB142" s="45" t="n">
        <v>0.8292058651345799</v>
      </c>
      <c r="AC142" s="45" t="n">
        <v>0.833513513513514</v>
      </c>
      <c r="AD142" s="45" t="n">
        <v>0.847566574839302</v>
      </c>
      <c r="AE142" s="45" t="n">
        <v>0.837140418695718</v>
      </c>
      <c r="AF142" s="75">
        <f>IFERROR(AVERAGE(L142:U142),"")</f>
        <v/>
      </c>
      <c r="AG142" s="75">
        <f>IFERROR(AVERAGE(V142:AE142),"")</f>
        <v/>
      </c>
      <c r="AH142" s="75">
        <f>IFERROR(AVERAGE(B142:K142),"")</f>
        <v/>
      </c>
      <c r="AI142" s="45" t="n">
        <v>0.856651306152344</v>
      </c>
      <c r="AJ142" s="47" t="n">
        <v>0</v>
      </c>
    </row>
    <row r="143" ht="15" customHeight="1" s="30">
      <c r="A143" s="73" t="inlineStr">
        <is>
          <t>7301.jpg</t>
        </is>
      </c>
      <c r="B143" s="45" t="n"/>
      <c r="C143" s="45" t="n">
        <v>0.753839720194647</v>
      </c>
      <c r="D143" s="45" t="n">
        <v>0</v>
      </c>
      <c r="E143" s="45" t="n">
        <v>0.7035434839136701</v>
      </c>
      <c r="F143" s="45" t="n">
        <v>0</v>
      </c>
      <c r="G143" s="45" t="n"/>
      <c r="H143" s="45" t="n">
        <v>0.705094335211465</v>
      </c>
      <c r="I143" s="45" t="n">
        <v>0.635665529010239</v>
      </c>
      <c r="J143" s="45" t="n">
        <v>0.669718976949795</v>
      </c>
      <c r="K143" s="45" t="n">
        <v>0.690505879355885</v>
      </c>
      <c r="L143" s="45" t="n"/>
      <c r="M143" s="45" t="n">
        <v>0.8630309888579391</v>
      </c>
      <c r="N143" s="45" t="n">
        <v>0</v>
      </c>
      <c r="O143" s="45" t="n">
        <v>0.773953633514933</v>
      </c>
      <c r="P143" s="45" t="n"/>
      <c r="Q143" s="45" t="n"/>
      <c r="R143" s="45" t="n">
        <v>0.834354640144966</v>
      </c>
      <c r="S143" s="45" t="n">
        <v>0.7704239917269911</v>
      </c>
      <c r="T143" s="45" t="n">
        <v>0.771272727272727</v>
      </c>
      <c r="U143" s="45" t="n">
        <v>0.859307214843489</v>
      </c>
      <c r="V143" s="45" t="n"/>
      <c r="W143" s="45" t="n">
        <v>0.856285356479682</v>
      </c>
      <c r="X143" s="45" t="n">
        <v>0</v>
      </c>
      <c r="Y143" s="45" t="n">
        <v>0.885497091682659</v>
      </c>
      <c r="Z143" s="45" t="n">
        <v>0</v>
      </c>
      <c r="AA143" s="45" t="n"/>
      <c r="AB143" s="45" t="n">
        <v>0.819861086569436</v>
      </c>
      <c r="AC143" s="45" t="n">
        <v>0.78421052631579</v>
      </c>
      <c r="AD143" s="45" t="n">
        <v>0.835697399527187</v>
      </c>
      <c r="AE143" s="45" t="n">
        <v>0.778521866638448</v>
      </c>
      <c r="AF143" s="75">
        <f>IFERROR(AVERAGE(L143:U143),"")</f>
        <v/>
      </c>
      <c r="AG143" s="75">
        <f>IFERROR(AVERAGE(V143:AE143),"")</f>
        <v/>
      </c>
      <c r="AH143" s="75">
        <f>IFERROR(AVERAGE(B143:K143),"")</f>
        <v/>
      </c>
      <c r="AI143" s="45" t="n">
        <v>0.815834045410156</v>
      </c>
      <c r="AJ143" s="47" t="n">
        <v>0</v>
      </c>
    </row>
    <row r="144" ht="15" customHeight="1" s="30">
      <c r="A144" s="73" t="inlineStr">
        <is>
          <t>7307.jpg</t>
        </is>
      </c>
      <c r="B144" s="45" t="n"/>
      <c r="C144" s="45" t="n">
        <v>0.6655693884117519</v>
      </c>
      <c r="D144" s="45" t="n">
        <v>0.174489795918367</v>
      </c>
      <c r="E144" s="45" t="n">
        <v>0.835292223474481</v>
      </c>
      <c r="F144" s="45" t="n"/>
      <c r="G144" s="45" t="n">
        <v>0.023121387283237</v>
      </c>
      <c r="H144" s="45" t="n">
        <v>0.819231508449267</v>
      </c>
      <c r="I144" s="45" t="n">
        <v>0.625994694960212</v>
      </c>
      <c r="J144" s="45" t="n">
        <v>0.799489144316731</v>
      </c>
      <c r="K144" s="45" t="n">
        <v>0.8317028928522751</v>
      </c>
      <c r="L144" s="45" t="n"/>
      <c r="M144" s="45" t="n">
        <v>0.755004632619255</v>
      </c>
      <c r="N144" s="45" t="n">
        <v>0.388518630717964</v>
      </c>
      <c r="O144" s="45" t="n">
        <v>0.951010494477797</v>
      </c>
      <c r="P144" s="45" t="n"/>
      <c r="Q144" s="45" t="n">
        <v>1</v>
      </c>
      <c r="R144" s="45" t="n">
        <v>0.87002669178835</v>
      </c>
      <c r="S144" s="45" t="n">
        <v>0.726899383983573</v>
      </c>
      <c r="T144" s="45" t="n">
        <v>0.905933429811867</v>
      </c>
      <c r="U144" s="45" t="n">
        <v>0.890627982439397</v>
      </c>
      <c r="V144" s="45" t="n"/>
      <c r="W144" s="45" t="n">
        <v>0.848912460144584</v>
      </c>
      <c r="X144" s="45" t="n">
        <v>0.240551439557348</v>
      </c>
      <c r="Y144" s="45" t="n">
        <v>0.872849631966351</v>
      </c>
      <c r="Z144" s="45" t="n"/>
      <c r="AA144" s="45" t="n">
        <v>0.023121387283237</v>
      </c>
      <c r="AB144" s="45" t="n">
        <v>0.933474840383417</v>
      </c>
      <c r="AC144" s="45" t="n">
        <v>0.81849710982659</v>
      </c>
      <c r="AD144" s="45" t="n">
        <v>0.871866295264624</v>
      </c>
      <c r="AE144" s="45" t="n">
        <v>0.926312593423019</v>
      </c>
      <c r="AF144" s="75">
        <f>IFERROR(AVERAGE(L144:U144),"")</f>
        <v/>
      </c>
      <c r="AG144" s="75">
        <f>IFERROR(AVERAGE(V144:AE144),"")</f>
        <v/>
      </c>
      <c r="AH144" s="75">
        <f>IFERROR(AVERAGE(B144:K144),"")</f>
        <v/>
      </c>
      <c r="AI144" s="45" t="n">
        <v>0.86907958984375</v>
      </c>
      <c r="AJ144" s="47" t="n">
        <v>0</v>
      </c>
    </row>
    <row r="145" ht="15" customHeight="1" s="30">
      <c r="A145" s="73" t="inlineStr">
        <is>
          <t>7308.jpg</t>
        </is>
      </c>
      <c r="B145" s="45" t="n"/>
      <c r="C145" s="45" t="n">
        <v>0.714894913189156</v>
      </c>
      <c r="D145" s="45" t="n">
        <v>0.19627004848937</v>
      </c>
      <c r="E145" s="45" t="n">
        <v>0.858775359743012</v>
      </c>
      <c r="F145" s="45" t="n"/>
      <c r="G145" s="45" t="n"/>
      <c r="H145" s="45" t="n">
        <v>0.84788590656792</v>
      </c>
      <c r="I145" s="45" t="n">
        <v>0.613785557986871</v>
      </c>
      <c r="J145" s="45" t="n">
        <v>0</v>
      </c>
      <c r="K145" s="45" t="n">
        <v>0.839001169024023</v>
      </c>
      <c r="L145" s="45" t="n"/>
      <c r="M145" s="45" t="n">
        <v>0.741620281471039</v>
      </c>
      <c r="N145" s="45" t="n">
        <v>0.9491341991341991</v>
      </c>
      <c r="O145" s="45" t="n">
        <v>0.943871275810676</v>
      </c>
      <c r="P145" s="45" t="n"/>
      <c r="Q145" s="45" t="n"/>
      <c r="R145" s="45" t="n">
        <v>0.902039177637632</v>
      </c>
      <c r="S145" s="45" t="n">
        <v>0.678355501813785</v>
      </c>
      <c r="T145" s="45" t="n">
        <v>0</v>
      </c>
      <c r="U145" s="45" t="n">
        <v>0.902697986425083</v>
      </c>
      <c r="V145" s="45" t="n"/>
      <c r="W145" s="45" t="n">
        <v>0.9520109831820029</v>
      </c>
      <c r="X145" s="45" t="n">
        <v>0.198356453558504</v>
      </c>
      <c r="Y145" s="45" t="n">
        <v>0.904991814423264</v>
      </c>
      <c r="Z145" s="45" t="n"/>
      <c r="AA145" s="45" t="n"/>
      <c r="AB145" s="45" t="n">
        <v>0.933877141026307</v>
      </c>
      <c r="AC145" s="45" t="n">
        <v>0.865740740740741</v>
      </c>
      <c r="AD145" s="45" t="n"/>
      <c r="AE145" s="45" t="n">
        <v>0.922421379278403</v>
      </c>
      <c r="AF145" s="75">
        <f>IFERROR(AVERAGE(L145:U145),"")</f>
        <v/>
      </c>
      <c r="AG145" s="75">
        <f>IFERROR(AVERAGE(V145:AE145),"")</f>
        <v/>
      </c>
      <c r="AH145" s="75">
        <f>IFERROR(AVERAGE(B145:K145),"")</f>
        <v/>
      </c>
      <c r="AI145" s="45" t="n">
        <v>0.886993408203125</v>
      </c>
      <c r="AJ145" s="47" t="n">
        <v>0</v>
      </c>
    </row>
    <row r="146" ht="15" customHeight="1" s="30">
      <c r="A146" s="73" t="inlineStr">
        <is>
          <t>7315.jpg</t>
        </is>
      </c>
      <c r="B146" s="45" t="n">
        <v>0.000392266741384141</v>
      </c>
      <c r="C146" s="45" t="n">
        <v>0.859506354552917</v>
      </c>
      <c r="D146" s="45" t="n">
        <v>0</v>
      </c>
      <c r="E146" s="45" t="n">
        <v>0.7587567834237789</v>
      </c>
      <c r="F146" s="45" t="n"/>
      <c r="G146" s="45" t="n">
        <v>0</v>
      </c>
      <c r="H146" s="45" t="n">
        <v>0.805457998387055</v>
      </c>
      <c r="I146" s="45" t="n">
        <v>0.510123734533183</v>
      </c>
      <c r="J146" s="45" t="n">
        <v>0.831429367511842</v>
      </c>
      <c r="K146" s="45" t="n">
        <v>0</v>
      </c>
      <c r="L146" s="45" t="n">
        <v>1</v>
      </c>
      <c r="M146" s="45" t="n">
        <v>0.920668849675581</v>
      </c>
      <c r="N146" s="45" t="n">
        <v>0</v>
      </c>
      <c r="O146" s="45" t="n">
        <v>0.910739886554884</v>
      </c>
      <c r="P146" s="45" t="n"/>
      <c r="Q146" s="45" t="n">
        <v>0</v>
      </c>
      <c r="R146" s="45" t="n">
        <v>0.871588429868393</v>
      </c>
      <c r="S146" s="45" t="n">
        <v>0.545072115384615</v>
      </c>
      <c r="T146" s="45" t="n">
        <v>0.861680623736645</v>
      </c>
      <c r="U146" s="45" t="n">
        <v>0</v>
      </c>
      <c r="V146" s="45" t="n">
        <v>0.000392266741384141</v>
      </c>
      <c r="W146" s="45" t="n">
        <v>0.928253725640046</v>
      </c>
      <c r="X146" s="45" t="n"/>
      <c r="Y146" s="45" t="n">
        <v>0.819714437992651</v>
      </c>
      <c r="Z146" s="45" t="n"/>
      <c r="AA146" s="45" t="n"/>
      <c r="AB146" s="45" t="n">
        <v>0.9139104125156819</v>
      </c>
      <c r="AC146" s="45" t="n">
        <v>0.888344760039177</v>
      </c>
      <c r="AD146" s="45" t="n">
        <v>0.959485530546624</v>
      </c>
      <c r="AE146" s="45" t="n"/>
      <c r="AF146" s="75">
        <f>IFERROR(AVERAGE(L146:U146),"")</f>
        <v/>
      </c>
      <c r="AG146" s="75">
        <f>IFERROR(AVERAGE(V146:AE146),"")</f>
        <v/>
      </c>
      <c r="AH146" s="75">
        <f>IFERROR(AVERAGE(B146:K146),"")</f>
        <v/>
      </c>
      <c r="AI146" s="45" t="n">
        <v>0.705753326416016</v>
      </c>
      <c r="AJ146" s="47" t="n">
        <v>0</v>
      </c>
    </row>
    <row r="147" ht="15" customHeight="1" s="30">
      <c r="A147" s="73" t="inlineStr">
        <is>
          <t>7320.jpg</t>
        </is>
      </c>
      <c r="B147" s="45" t="n"/>
      <c r="C147" s="45" t="n">
        <v>0.889359291144022</v>
      </c>
      <c r="D147" s="45" t="n"/>
      <c r="E147" s="45" t="n">
        <v>0.79774661521707</v>
      </c>
      <c r="F147" s="45" t="n"/>
      <c r="G147" s="45" t="n"/>
      <c r="H147" s="45" t="n">
        <v>0.878000413137781</v>
      </c>
      <c r="I147" s="45" t="n">
        <v>0.592198581560284</v>
      </c>
      <c r="J147" s="45" t="n">
        <v>0.709433962264151</v>
      </c>
      <c r="K147" s="45" t="n">
        <v>0.608665091668782</v>
      </c>
      <c r="L147" s="45" t="n"/>
      <c r="M147" s="45" t="n">
        <v>0.949475771221184</v>
      </c>
      <c r="N147" s="45" t="n"/>
      <c r="O147" s="45" t="n">
        <v>0.847495393581009</v>
      </c>
      <c r="P147" s="45" t="n"/>
      <c r="Q147" s="45" t="n"/>
      <c r="R147" s="45" t="n">
        <v>0.922345792871481</v>
      </c>
      <c r="S147" s="45" t="n">
        <v>0.703898840885142</v>
      </c>
      <c r="T147" s="45" t="n">
        <v>0.877138413685848</v>
      </c>
      <c r="U147" s="45" t="n">
        <v>0.836481700118064</v>
      </c>
      <c r="V147" s="45" t="n"/>
      <c r="W147" s="45" t="n">
        <v>0.933539285006278</v>
      </c>
      <c r="X147" s="45" t="n"/>
      <c r="Y147" s="45" t="n">
        <v>0.931459968602826</v>
      </c>
      <c r="Z147" s="45" t="n"/>
      <c r="AA147" s="45" t="n"/>
      <c r="AB147" s="45" t="n">
        <v>0.948083378874229</v>
      </c>
      <c r="AC147" s="45" t="n">
        <v>0.788665879574971</v>
      </c>
      <c r="AD147" s="45" t="n">
        <v>0.787709497206704</v>
      </c>
      <c r="AE147" s="45" t="n">
        <v>0.690867185249208</v>
      </c>
      <c r="AF147" s="75">
        <f>IFERROR(AVERAGE(L147:U147),"")</f>
        <v/>
      </c>
      <c r="AG147" s="75">
        <f>IFERROR(AVERAGE(V147:AE147),"")</f>
        <v/>
      </c>
      <c r="AH147" s="75">
        <f>IFERROR(AVERAGE(B147:K147),"")</f>
        <v/>
      </c>
      <c r="AI147" s="45" t="n">
        <v>0.894504547119141</v>
      </c>
      <c r="AJ147" s="47" t="n">
        <v>0</v>
      </c>
    </row>
    <row r="148" ht="15" customHeight="1" s="30">
      <c r="A148" s="73" t="inlineStr">
        <is>
          <t>7323.jpg</t>
        </is>
      </c>
      <c r="B148" s="45" t="n"/>
      <c r="C148" s="45" t="n">
        <v>0.8149235109806759</v>
      </c>
      <c r="D148" s="45" t="n">
        <v>0.148743120630671</v>
      </c>
      <c r="E148" s="45" t="n">
        <v>0.739321473704676</v>
      </c>
      <c r="F148" s="45" t="n"/>
      <c r="G148" s="45" t="n"/>
      <c r="H148" s="45" t="n">
        <v>0.807076960427288</v>
      </c>
      <c r="I148" s="45" t="n">
        <v>0.569124423963134</v>
      </c>
      <c r="J148" s="45" t="n">
        <v>0.826901874310915</v>
      </c>
      <c r="K148" s="45" t="n">
        <v>0.776246879741569</v>
      </c>
      <c r="L148" s="45" t="n"/>
      <c r="M148" s="45" t="n">
        <v>0.868512110726644</v>
      </c>
      <c r="N148" s="45" t="n">
        <v>0.964320154291225</v>
      </c>
      <c r="O148" s="45" t="n">
        <v>0.877897312771262</v>
      </c>
      <c r="P148" s="45" t="n"/>
      <c r="Q148" s="45" t="n"/>
      <c r="R148" s="45" t="n">
        <v>0.902718188236572</v>
      </c>
      <c r="S148" s="45" t="n">
        <v>0.685730149916713</v>
      </c>
      <c r="T148" s="45" t="n">
        <v>0.846501128668172</v>
      </c>
      <c r="U148" s="45" t="n">
        <v>0.84279470181079</v>
      </c>
      <c r="V148" s="45" t="n"/>
      <c r="W148" s="45" t="n">
        <v>0.929614594620821</v>
      </c>
      <c r="X148" s="45" t="n">
        <v>0.149566257852229</v>
      </c>
      <c r="Y148" s="45" t="n">
        <v>0.824058423265288</v>
      </c>
      <c r="Z148" s="45" t="n"/>
      <c r="AA148" s="45" t="n"/>
      <c r="AB148" s="45" t="n">
        <v>0.883959316625673</v>
      </c>
      <c r="AC148" s="45" t="n">
        <v>0.7699501246882789</v>
      </c>
      <c r="AD148" s="45" t="n">
        <v>0.972762645914397</v>
      </c>
      <c r="AE148" s="45" t="n">
        <v>0.907670515517019</v>
      </c>
      <c r="AF148" s="75">
        <f>IFERROR(AVERAGE(L148:U148),"")</f>
        <v/>
      </c>
      <c r="AG148" s="75">
        <f>IFERROR(AVERAGE(V148:AE148),"")</f>
        <v/>
      </c>
      <c r="AH148" s="75">
        <f>IFERROR(AVERAGE(B148:K148),"")</f>
        <v/>
      </c>
      <c r="AI148" s="45" t="n">
        <v>0.871337890625</v>
      </c>
      <c r="AJ148" s="47" t="n">
        <v>0</v>
      </c>
    </row>
    <row r="149" ht="15" customHeight="1" s="30">
      <c r="A149" s="73" t="inlineStr">
        <is>
          <t>7333.jpg</t>
        </is>
      </c>
      <c r="B149" s="45" t="n"/>
      <c r="C149" s="45" t="n">
        <v>0.888242011688573</v>
      </c>
      <c r="D149" s="45" t="n"/>
      <c r="E149" s="45" t="n">
        <v>0.869780784773482</v>
      </c>
      <c r="F149" s="45" t="n"/>
      <c r="G149" s="45" t="n">
        <v>0</v>
      </c>
      <c r="H149" s="45" t="n">
        <v>0.821057073143885</v>
      </c>
      <c r="I149" s="45" t="n">
        <v>0.542703429724277</v>
      </c>
      <c r="J149" s="45" t="n">
        <v>0.738376674546887</v>
      </c>
      <c r="K149" s="45" t="n">
        <v>0.454208943385002</v>
      </c>
      <c r="L149" s="45" t="n"/>
      <c r="M149" s="45" t="n">
        <v>0.9356763769312419</v>
      </c>
      <c r="N149" s="45" t="n"/>
      <c r="O149" s="45" t="n">
        <v>0.9524420856343691</v>
      </c>
      <c r="P149" s="45" t="n"/>
      <c r="Q149" s="45" t="n">
        <v>0</v>
      </c>
      <c r="R149" s="45" t="n">
        <v>0.920487032352276</v>
      </c>
      <c r="S149" s="45" t="n">
        <v>0.606766917293233</v>
      </c>
      <c r="T149" s="45" t="n">
        <v>0.957099080694586</v>
      </c>
      <c r="U149" s="45" t="n">
        <v>0.606166196189132</v>
      </c>
      <c r="V149" s="45" t="n"/>
      <c r="W149" s="45" t="n">
        <v>0.946007822188305</v>
      </c>
      <c r="X149" s="45" t="n"/>
      <c r="Y149" s="45" t="n">
        <v>0.90927079767203</v>
      </c>
      <c r="Z149" s="45" t="n"/>
      <c r="AA149" s="45" t="n"/>
      <c r="AB149" s="45" t="n">
        <v>0.883735165768221</v>
      </c>
      <c r="AC149" s="45" t="n">
        <v>0.837136929460581</v>
      </c>
      <c r="AD149" s="45" t="n">
        <v>0.763651181744091</v>
      </c>
      <c r="AE149" s="45" t="n">
        <v>0.6443642160540139</v>
      </c>
      <c r="AF149" s="75">
        <f>IFERROR(AVERAGE(L149:U149),"")</f>
        <v/>
      </c>
      <c r="AG149" s="75">
        <f>IFERROR(AVERAGE(V149:AE149),"")</f>
        <v/>
      </c>
      <c r="AH149" s="75">
        <f>IFERROR(AVERAGE(B149:K149),"")</f>
        <v/>
      </c>
      <c r="AI149" s="45" t="n">
        <v>0.887714385986328</v>
      </c>
      <c r="AJ149" s="47" t="n">
        <v>0</v>
      </c>
    </row>
    <row r="150" ht="15" customHeight="1" s="30">
      <c r="A150" s="73" t="inlineStr">
        <is>
          <t>7339.jpg</t>
        </is>
      </c>
      <c r="B150" s="45" t="n"/>
      <c r="C150" s="45" t="n">
        <v>0.893374931180033</v>
      </c>
      <c r="D150" s="45" t="n"/>
      <c r="E150" s="45" t="n">
        <v>0.894061496099128</v>
      </c>
      <c r="F150" s="45" t="n"/>
      <c r="G150" s="45" t="n"/>
      <c r="H150" s="45" t="n">
        <v>0.814913722267872</v>
      </c>
      <c r="I150" s="45" t="n">
        <v>0.42482206405694</v>
      </c>
      <c r="J150" s="45" t="n">
        <v>0</v>
      </c>
      <c r="K150" s="45" t="n">
        <v>0.746547567880702</v>
      </c>
      <c r="L150" s="45" t="n"/>
      <c r="M150" s="45" t="n">
        <v>0.944600756767246</v>
      </c>
      <c r="N150" s="45" t="n"/>
      <c r="O150" s="45" t="n">
        <v>0.942870970864389</v>
      </c>
      <c r="P150" s="45" t="n"/>
      <c r="Q150" s="45" t="n"/>
      <c r="R150" s="45" t="n">
        <v>0.9317376265106549</v>
      </c>
      <c r="S150" s="45" t="n">
        <v>0.499738356881214</v>
      </c>
      <c r="T150" s="45" t="n">
        <v>0</v>
      </c>
      <c r="U150" s="45" t="n">
        <v>0.83277745351455</v>
      </c>
      <c r="V150" s="45" t="n"/>
      <c r="W150" s="45" t="n">
        <v>0.942771376004648</v>
      </c>
      <c r="X150" s="45" t="n"/>
      <c r="Y150" s="45" t="n">
        <v>0.94526822451673</v>
      </c>
      <c r="Z150" s="45" t="n"/>
      <c r="AA150" s="45" t="n"/>
      <c r="AB150" s="45" t="n">
        <v>0.866656074358007</v>
      </c>
      <c r="AC150" s="45" t="n">
        <v>0.739164086687307</v>
      </c>
      <c r="AD150" s="45" t="n"/>
      <c r="AE150" s="45" t="n">
        <v>0.878195687058979</v>
      </c>
      <c r="AF150" s="75">
        <f>IFERROR(AVERAGE(L150:U150),"")</f>
        <v/>
      </c>
      <c r="AG150" s="75">
        <f>IFERROR(AVERAGE(V150:AE150),"")</f>
        <v/>
      </c>
      <c r="AH150" s="75">
        <f>IFERROR(AVERAGE(B150:K150),"")</f>
        <v/>
      </c>
      <c r="AI150" s="45" t="n">
        <v>0.916923522949219</v>
      </c>
      <c r="AJ150" s="47" t="n">
        <v>0</v>
      </c>
    </row>
    <row r="151" ht="15" customHeight="1" s="30">
      <c r="A151" s="73" t="inlineStr">
        <is>
          <t>7348.jpg</t>
        </is>
      </c>
      <c r="B151" s="45" t="n"/>
      <c r="C151" s="45" t="n"/>
      <c r="D151" s="45" t="n"/>
      <c r="E151" s="45" t="n">
        <v>0</v>
      </c>
      <c r="F151" s="45" t="n"/>
      <c r="G151" s="45" t="n">
        <v>0.221316836655034</v>
      </c>
      <c r="H151" s="45" t="n">
        <v>0.9788036714374611</v>
      </c>
      <c r="I151" s="45" t="n"/>
      <c r="J151" s="45" t="n"/>
      <c r="K151" s="45" t="n">
        <v>0</v>
      </c>
      <c r="L151" s="45" t="n"/>
      <c r="M151" s="45" t="n"/>
      <c r="N151" s="45" t="n"/>
      <c r="O151" s="45" t="n">
        <v>0</v>
      </c>
      <c r="P151" s="45" t="n"/>
      <c r="Q151" s="45" t="n">
        <v>0.99291948278147</v>
      </c>
      <c r="R151" s="45" t="n">
        <v>0.9932512431920441</v>
      </c>
      <c r="S151" s="45" t="n"/>
      <c r="T151" s="45" t="n"/>
      <c r="U151" s="45" t="n">
        <v>0</v>
      </c>
      <c r="V151" s="45" t="n"/>
      <c r="W151" s="45" t="n"/>
      <c r="X151" s="45" t="n"/>
      <c r="Y151" s="45" t="n"/>
      <c r="Z151" s="45" t="n"/>
      <c r="AA151" s="45" t="n">
        <v>0.221666673710815</v>
      </c>
      <c r="AB151" s="45" t="n">
        <v>0.985356877177871</v>
      </c>
      <c r="AC151" s="45" t="n"/>
      <c r="AD151" s="45" t="n"/>
      <c r="AE151" s="45" t="n"/>
      <c r="AF151" s="75">
        <f>IFERROR(AVERAGE(L151:U151),"")</f>
        <v/>
      </c>
      <c r="AG151" s="75">
        <f>IFERROR(AVERAGE(V151:AE151),"")</f>
        <v/>
      </c>
      <c r="AH151" s="75">
        <f>IFERROR(AVERAGE(B151:K151),"")</f>
        <v/>
      </c>
      <c r="AI151" s="45" t="n">
        <v>0.296073913574219</v>
      </c>
      <c r="AJ151" s="47" t="n">
        <v>0</v>
      </c>
    </row>
    <row r="152" ht="15" customHeight="1" s="30">
      <c r="A152" s="73" t="inlineStr">
        <is>
          <t>7355.jpg</t>
        </is>
      </c>
      <c r="B152" s="45" t="n"/>
      <c r="C152" s="45" t="n">
        <v>0.747065868263473</v>
      </c>
      <c r="D152" s="45" t="n">
        <v>0</v>
      </c>
      <c r="E152" s="45" t="n">
        <v>0.00710900473933649</v>
      </c>
      <c r="F152" s="45" t="n"/>
      <c r="G152" s="45" t="n">
        <v>0.983673186803341</v>
      </c>
      <c r="H152" s="45" t="n">
        <v>0.781</v>
      </c>
      <c r="I152" s="45" t="n">
        <v>0</v>
      </c>
      <c r="J152" s="45" t="n"/>
      <c r="K152" s="45" t="n">
        <v>0</v>
      </c>
      <c r="L152" s="45" t="n"/>
      <c r="M152" s="45" t="n">
        <v>0.792630241423126</v>
      </c>
      <c r="N152" s="45" t="n"/>
      <c r="O152" s="45" t="n">
        <v>1</v>
      </c>
      <c r="P152" s="45" t="n"/>
      <c r="Q152" s="45" t="n">
        <v>0.9936972888468339</v>
      </c>
      <c r="R152" s="45" t="n">
        <v>0.8472438809410811</v>
      </c>
      <c r="S152" s="45" t="n">
        <v>0</v>
      </c>
      <c r="T152" s="45" t="n"/>
      <c r="U152" s="45" t="n">
        <v>0</v>
      </c>
      <c r="V152" s="45" t="n"/>
      <c r="W152" s="45" t="n">
        <v>0.928550163739208</v>
      </c>
      <c r="X152" s="45" t="n">
        <v>0</v>
      </c>
      <c r="Y152" s="45" t="n">
        <v>0.00710900473933649</v>
      </c>
      <c r="Z152" s="45" t="n"/>
      <c r="AA152" s="45" t="n">
        <v>0.989848984693564</v>
      </c>
      <c r="AB152" s="45" t="n">
        <v>0.908998326907689</v>
      </c>
      <c r="AC152" s="45" t="n"/>
      <c r="AD152" s="45" t="n"/>
      <c r="AE152" s="45" t="n"/>
      <c r="AF152" s="75">
        <f>IFERROR(AVERAGE(L152:U152),"")</f>
        <v/>
      </c>
      <c r="AG152" s="75">
        <f>IFERROR(AVERAGE(V152:AE152),"")</f>
        <v/>
      </c>
      <c r="AH152" s="75">
        <f>IFERROR(AVERAGE(B152:K152),"")</f>
        <v/>
      </c>
      <c r="AI152" s="45" t="n">
        <v>0.9809722900390631</v>
      </c>
      <c r="AJ152" s="47" t="n">
        <v>0</v>
      </c>
    </row>
    <row r="153" ht="15" customHeight="1" s="30">
      <c r="A153" s="73" t="inlineStr">
        <is>
          <t>7359.jpg</t>
        </is>
      </c>
      <c r="B153" s="45" t="n"/>
      <c r="C153" s="45" t="n">
        <v>0.659606033132778</v>
      </c>
      <c r="D153" s="45" t="n">
        <v>0</v>
      </c>
      <c r="E153" s="45" t="n">
        <v>0.735258432419316</v>
      </c>
      <c r="F153" s="45" t="n"/>
      <c r="G153" s="45" t="n">
        <v>0.810296697161396</v>
      </c>
      <c r="H153" s="45" t="n">
        <v>0.8236482471776591</v>
      </c>
      <c r="I153" s="45" t="n">
        <v>0.594254937163375</v>
      </c>
      <c r="J153" s="45" t="n"/>
      <c r="K153" s="45" t="n">
        <v>0</v>
      </c>
      <c r="L153" s="45" t="n"/>
      <c r="M153" s="45" t="n">
        <v>0.704241464273143</v>
      </c>
      <c r="N153" s="45" t="n">
        <v>0</v>
      </c>
      <c r="O153" s="45" t="n">
        <v>0.860795454545455</v>
      </c>
      <c r="P153" s="45" t="n"/>
      <c r="Q153" s="45" t="n">
        <v>0.999994574652778</v>
      </c>
      <c r="R153" s="45" t="n">
        <v>0.873692171939998</v>
      </c>
      <c r="S153" s="45" t="n">
        <v>0.720348204570185</v>
      </c>
      <c r="T153" s="45" t="n"/>
      <c r="U153" s="45" t="n">
        <v>0</v>
      </c>
      <c r="V153" s="45" t="n"/>
      <c r="W153" s="45" t="n">
        <v>0.91233470132239</v>
      </c>
      <c r="X153" s="45" t="n">
        <v>0</v>
      </c>
      <c r="Y153" s="45" t="n">
        <v>0.834480859267419</v>
      </c>
      <c r="Z153" s="45" t="n"/>
      <c r="AA153" s="45" t="n">
        <v>0.8103002593748631</v>
      </c>
      <c r="AB153" s="45" t="n">
        <v>0.934979090786456</v>
      </c>
      <c r="AC153" s="45" t="n">
        <v>0.772462077012835</v>
      </c>
      <c r="AD153" s="45" t="n"/>
      <c r="AE153" s="45" t="n"/>
      <c r="AF153" s="75">
        <f>IFERROR(AVERAGE(L153:U153),"")</f>
        <v/>
      </c>
      <c r="AG153" s="75">
        <f>IFERROR(AVERAGE(V153:AE153),"")</f>
        <v/>
      </c>
      <c r="AH153" s="75">
        <f>IFERROR(AVERAGE(B153:K153),"")</f>
        <v/>
      </c>
      <c r="AI153" s="45" t="n">
        <v>0.812171936035156</v>
      </c>
      <c r="AJ153" s="47" t="n">
        <v>0</v>
      </c>
    </row>
    <row r="154" ht="15" customHeight="1" s="30">
      <c r="A154" s="73" t="inlineStr">
        <is>
          <t>7361.jpg</t>
        </is>
      </c>
      <c r="B154" s="45" t="n"/>
      <c r="C154" s="45" t="n">
        <v>0.879785604900459</v>
      </c>
      <c r="D154" s="45" t="n"/>
      <c r="E154" s="45" t="n">
        <v>0.6879199874980469</v>
      </c>
      <c r="F154" s="45" t="n"/>
      <c r="G154" s="45" t="n">
        <v>0.838918777824504</v>
      </c>
      <c r="H154" s="45" t="n">
        <v>0.856689145094627</v>
      </c>
      <c r="I154" s="45" t="n">
        <v>0.578369905956113</v>
      </c>
      <c r="J154" s="45" t="n">
        <v>0.795608108108108</v>
      </c>
      <c r="K154" s="45" t="n">
        <v>0</v>
      </c>
      <c r="L154" s="45" t="n"/>
      <c r="M154" s="45" t="n">
        <v>0.938427333363583</v>
      </c>
      <c r="N154" s="45" t="n"/>
      <c r="O154" s="45" t="n">
        <v>0.765166000347645</v>
      </c>
      <c r="P154" s="45" t="n"/>
      <c r="Q154" s="45" t="n">
        <v>0.999994238104567</v>
      </c>
      <c r="R154" s="45" t="n">
        <v>0.91107203997594</v>
      </c>
      <c r="S154" s="45" t="n">
        <v>0.66546438232642</v>
      </c>
      <c r="T154" s="45" t="n">
        <v>0.8779123951537749</v>
      </c>
      <c r="U154" s="45" t="n">
        <v>0</v>
      </c>
      <c r="V154" s="45" t="n"/>
      <c r="W154" s="45" t="n">
        <v>0.933682452259492</v>
      </c>
      <c r="X154" s="45" t="n"/>
      <c r="Y154" s="45" t="n">
        <v>0.87202852614897</v>
      </c>
      <c r="Z154" s="45" t="n"/>
      <c r="AA154" s="45" t="n">
        <v>0.838922833001412</v>
      </c>
      <c r="AB154" s="45" t="n">
        <v>0.934862080425391</v>
      </c>
      <c r="AC154" s="45" t="n">
        <v>0.815469613259669</v>
      </c>
      <c r="AD154" s="45" t="n">
        <v>0.894586894586895</v>
      </c>
      <c r="AE154" s="45" t="n"/>
      <c r="AF154" s="75">
        <f>IFERROR(AVERAGE(L154:U154),"")</f>
        <v/>
      </c>
      <c r="AG154" s="75">
        <f>IFERROR(AVERAGE(V154:AE154),"")</f>
        <v/>
      </c>
      <c r="AH154" s="75">
        <f>IFERROR(AVERAGE(B154:K154),"")</f>
        <v/>
      </c>
      <c r="AI154" s="45" t="n">
        <v>0.856056213378906</v>
      </c>
      <c r="AJ154" s="47" t="n">
        <v>0</v>
      </c>
    </row>
    <row r="155" ht="15" customHeight="1" s="30">
      <c r="A155" s="73" t="inlineStr">
        <is>
          <t>7370.jpg</t>
        </is>
      </c>
      <c r="B155" s="45" t="n"/>
      <c r="C155" s="45" t="n">
        <v>0.634388019367188</v>
      </c>
      <c r="D155" s="45" t="n">
        <v>0</v>
      </c>
      <c r="E155" s="45" t="n">
        <v>0.0490367775831874</v>
      </c>
      <c r="F155" s="45" t="n"/>
      <c r="G155" s="45" t="n">
        <v>0.795473104250946</v>
      </c>
      <c r="H155" s="45" t="n">
        <v>0.804818520972072</v>
      </c>
      <c r="I155" s="45" t="n">
        <v>0.694817658349328</v>
      </c>
      <c r="J155" s="45" t="n">
        <v>0.880619287446372</v>
      </c>
      <c r="K155" s="45" t="n">
        <v>0</v>
      </c>
      <c r="L155" s="45" t="n"/>
      <c r="M155" s="45" t="n">
        <v>0.946413572988409</v>
      </c>
      <c r="N155" s="45" t="n">
        <v>0</v>
      </c>
      <c r="O155" s="45" t="n">
        <v>0.0541861886331228</v>
      </c>
      <c r="P155" s="45" t="n"/>
      <c r="Q155" s="45" t="n">
        <v>0.996965009381415</v>
      </c>
      <c r="R155" s="45" t="n">
        <v>0.873925718396244</v>
      </c>
      <c r="S155" s="45" t="n">
        <v>0.773504273504274</v>
      </c>
      <c r="T155" s="45" t="n">
        <v>0.952390558805729</v>
      </c>
      <c r="U155" s="45" t="n">
        <v>0</v>
      </c>
      <c r="V155" s="45" t="n"/>
      <c r="W155" s="45" t="n">
        <v>0.65802382620883</v>
      </c>
      <c r="X155" s="45" t="n"/>
      <c r="Y155" s="45" t="n">
        <v>0.340371081253999</v>
      </c>
      <c r="Z155" s="45" t="n"/>
      <c r="AA155" s="45" t="n">
        <v>0.797404100373531</v>
      </c>
      <c r="AB155" s="45" t="n">
        <v>0.910536073527672</v>
      </c>
      <c r="AC155" s="45" t="n">
        <v>0.872289156626506</v>
      </c>
      <c r="AD155" s="45" t="n">
        <v>0.921170731707317</v>
      </c>
      <c r="AE155" s="45" t="n"/>
      <c r="AF155" s="75">
        <f>IFERROR(AVERAGE(L155:U155),"")</f>
        <v/>
      </c>
      <c r="AG155" s="75">
        <f>IFERROR(AVERAGE(V155:AE155),"")</f>
        <v/>
      </c>
      <c r="AH155" s="75">
        <f>IFERROR(AVERAGE(B155:K155),"")</f>
        <v/>
      </c>
      <c r="AI155" s="45" t="n">
        <v>0.799053192138672</v>
      </c>
      <c r="AJ155" s="47" t="n">
        <v>0</v>
      </c>
    </row>
    <row r="156" ht="15" customHeight="1" s="30">
      <c r="A156" s="73" t="inlineStr">
        <is>
          <t>7376.jpg</t>
        </is>
      </c>
      <c r="B156" s="45" t="n"/>
      <c r="C156" s="45" t="n">
        <v>0</v>
      </c>
      <c r="D156" s="45" t="n">
        <v>0.349301675977654</v>
      </c>
      <c r="E156" s="45" t="n">
        <v>0.698989569752282</v>
      </c>
      <c r="F156" s="45" t="n"/>
      <c r="G156" s="45" t="n">
        <v>0.936350811470843</v>
      </c>
      <c r="H156" s="45" t="n">
        <v>0.825458052073288</v>
      </c>
      <c r="I156" s="45" t="n">
        <v>0</v>
      </c>
      <c r="J156" s="45" t="n">
        <v>0.505324298160697</v>
      </c>
      <c r="K156" s="45" t="n">
        <v>0.928153248702803</v>
      </c>
      <c r="L156" s="45" t="n"/>
      <c r="M156" s="45" t="n">
        <v>0</v>
      </c>
      <c r="N156" s="45" t="n">
        <v>0.370244263508512</v>
      </c>
      <c r="O156" s="45" t="n">
        <v>0.972782943978226</v>
      </c>
      <c r="P156" s="45" t="n"/>
      <c r="Q156" s="45" t="n">
        <v>0.993084718485176</v>
      </c>
      <c r="R156" s="45" t="n">
        <v>0.921268316913652</v>
      </c>
      <c r="S156" s="45" t="n">
        <v>0</v>
      </c>
      <c r="T156" s="45" t="n">
        <v>0.8969072164948449</v>
      </c>
      <c r="U156" s="45" t="n">
        <v>0.939708321493944</v>
      </c>
      <c r="V156" s="45" t="n"/>
      <c r="W156" s="45" t="n">
        <v>0</v>
      </c>
      <c r="X156" s="45" t="n">
        <v>0.860633172746043</v>
      </c>
      <c r="Y156" s="45" t="n">
        <v>0.712932180851064</v>
      </c>
      <c r="Z156" s="45" t="n"/>
      <c r="AA156" s="45" t="n">
        <v>0.942496092025345</v>
      </c>
      <c r="AB156" s="45" t="n">
        <v>0.888108539505188</v>
      </c>
      <c r="AC156" s="45" t="n"/>
      <c r="AD156" s="45" t="n">
        <v>0.536485097636177</v>
      </c>
      <c r="AE156" s="45" t="n">
        <v>0.9869249293849029</v>
      </c>
      <c r="AF156" s="75">
        <f>IFERROR(AVERAGE(L156:U156),"")</f>
        <v/>
      </c>
      <c r="AG156" s="75">
        <f>IFERROR(AVERAGE(V156:AE156),"")</f>
        <v/>
      </c>
      <c r="AH156" s="75">
        <f>IFERROR(AVERAGE(B156:K156),"")</f>
        <v/>
      </c>
      <c r="AI156" s="45" t="n">
        <v>0.9236602783203131</v>
      </c>
      <c r="AJ156" s="47" t="n">
        <v>0</v>
      </c>
    </row>
    <row r="157" ht="15" customHeight="1" s="30">
      <c r="A157" s="73" t="inlineStr">
        <is>
          <t>7406.jpg</t>
        </is>
      </c>
      <c r="B157" s="45" t="n"/>
      <c r="C157" s="45" t="n">
        <v>0.747072320897425</v>
      </c>
      <c r="D157" s="45" t="n">
        <v>0.167629415685403</v>
      </c>
      <c r="E157" s="45" t="n">
        <v>0.768799745304043</v>
      </c>
      <c r="F157" s="45" t="n"/>
      <c r="G157" s="45" t="n"/>
      <c r="H157" s="45" t="n">
        <v>0.676403411726919</v>
      </c>
      <c r="I157" s="45" t="n">
        <v>0.438880126182965</v>
      </c>
      <c r="J157" s="45" t="n">
        <v>0.494819466248038</v>
      </c>
      <c r="K157" s="45" t="n">
        <v>0.756687218212812</v>
      </c>
      <c r="L157" s="45" t="n"/>
      <c r="M157" s="45" t="n">
        <v>0.829414650715175</v>
      </c>
      <c r="N157" s="45" t="n">
        <v>0.311648079306072</v>
      </c>
      <c r="O157" s="45" t="n">
        <v>0.806779963026483</v>
      </c>
      <c r="P157" s="45" t="n"/>
      <c r="Q157" s="45" t="n"/>
      <c r="R157" s="45" t="n">
        <v>0.791559648353484</v>
      </c>
      <c r="S157" s="45" t="n">
        <v>0.5272382756987209</v>
      </c>
      <c r="T157" s="45" t="n">
        <v>0.698581560283688</v>
      </c>
      <c r="U157" s="45" t="n">
        <v>0.905566306637814</v>
      </c>
      <c r="V157" s="45" t="n"/>
      <c r="W157" s="45" t="n">
        <v>0.882699066171302</v>
      </c>
      <c r="X157" s="45" t="n">
        <v>0.266184512259658</v>
      </c>
      <c r="Y157" s="45" t="n">
        <v>0.942299687825182</v>
      </c>
      <c r="Z157" s="45" t="n"/>
      <c r="AA157" s="45" t="n"/>
      <c r="AB157" s="45" t="n">
        <v>0.822991749891446</v>
      </c>
      <c r="AC157" s="45" t="n">
        <v>0.723667100130039</v>
      </c>
      <c r="AD157" s="45" t="n">
        <v>0.629141716566866</v>
      </c>
      <c r="AE157" s="45" t="n">
        <v>0.821511346340114</v>
      </c>
      <c r="AF157" s="75">
        <f>IFERROR(AVERAGE(L157:U157),"")</f>
        <v/>
      </c>
      <c r="AG157" s="75">
        <f>IFERROR(AVERAGE(V157:AE157),"")</f>
        <v/>
      </c>
      <c r="AH157" s="75">
        <f>IFERROR(AVERAGE(B157:K157),"")</f>
        <v/>
      </c>
      <c r="AI157" s="45" t="n">
        <v>0.834846496582031</v>
      </c>
      <c r="AJ157" s="47" t="n">
        <v>0</v>
      </c>
    </row>
    <row r="158" ht="15" customHeight="1" s="30">
      <c r="A158" s="73" t="inlineStr">
        <is>
          <t>7413.jpg</t>
        </is>
      </c>
      <c r="B158" s="45" t="n"/>
      <c r="C158" s="45" t="n">
        <v>0.837278463814498</v>
      </c>
      <c r="D158" s="45" t="n"/>
      <c r="E158" s="45" t="n">
        <v>0.61177138079312</v>
      </c>
      <c r="F158" s="45" t="n"/>
      <c r="G158" s="45" t="n"/>
      <c r="H158" s="45" t="n">
        <v>0.759222114748256</v>
      </c>
      <c r="I158" s="45" t="n">
        <v>0.459136822773186</v>
      </c>
      <c r="J158" s="45" t="n">
        <v>0</v>
      </c>
      <c r="K158" s="45" t="n">
        <v>0.463154512537229</v>
      </c>
      <c r="L158" s="45" t="n"/>
      <c r="M158" s="45" t="n">
        <v>0.891215271640448</v>
      </c>
      <c r="N158" s="45" t="n"/>
      <c r="O158" s="45" t="n">
        <v>0.719827131864657</v>
      </c>
      <c r="P158" s="45" t="n"/>
      <c r="Q158" s="45" t="n"/>
      <c r="R158" s="45" t="n">
        <v>0.826758470817811</v>
      </c>
      <c r="S158" s="45" t="n">
        <v>0.513874614594039</v>
      </c>
      <c r="T158" s="45" t="n">
        <v>0</v>
      </c>
      <c r="U158" s="45" t="n">
        <v>0.741038062283737</v>
      </c>
      <c r="V158" s="45" t="n"/>
      <c r="W158" s="45" t="n">
        <v>0.932590126446059</v>
      </c>
      <c r="X158" s="45" t="n"/>
      <c r="Y158" s="45" t="n">
        <v>0.802970917927412</v>
      </c>
      <c r="Z158" s="45" t="n"/>
      <c r="AA158" s="45" t="n"/>
      <c r="AB158" s="45" t="n">
        <v>0.902857488800097</v>
      </c>
      <c r="AC158" s="45" t="n">
        <v>0.811688311688312</v>
      </c>
      <c r="AD158" s="45" t="n"/>
      <c r="AE158" s="45" t="n">
        <v>0.552593553714134</v>
      </c>
      <c r="AF158" s="75">
        <f>IFERROR(AVERAGE(L158:U158),"")</f>
        <v/>
      </c>
      <c r="AG158" s="75">
        <f>IFERROR(AVERAGE(V158:AE158),"")</f>
        <v/>
      </c>
      <c r="AH158" s="75">
        <f>IFERROR(AVERAGE(B158:K158),"")</f>
        <v/>
      </c>
      <c r="AI158" s="45" t="n">
        <v>0.799110412597656</v>
      </c>
      <c r="AJ158" s="47" t="n">
        <v>0</v>
      </c>
    </row>
    <row r="159" ht="15" customHeight="1" s="30">
      <c r="A159" s="73" t="inlineStr">
        <is>
          <t>7415.jpg</t>
        </is>
      </c>
      <c r="B159" s="45" t="n"/>
      <c r="C159" s="45" t="n">
        <v>0.845979772660017</v>
      </c>
      <c r="D159" s="45" t="n"/>
      <c r="E159" s="45" t="n">
        <v>0.753259448429233</v>
      </c>
      <c r="F159" s="45" t="n"/>
      <c r="G159" s="45" t="n">
        <v>0</v>
      </c>
      <c r="H159" s="45" t="n">
        <v>0.801577316683879</v>
      </c>
      <c r="I159" s="45" t="n">
        <v>0.538867562380038</v>
      </c>
      <c r="J159" s="45" t="n">
        <v>0.495034756703078</v>
      </c>
      <c r="K159" s="45" t="n">
        <v>0</v>
      </c>
      <c r="L159" s="45" t="n"/>
      <c r="M159" s="45" t="n">
        <v>0.911869558691084</v>
      </c>
      <c r="N159" s="45" t="n"/>
      <c r="O159" s="45" t="n">
        <v>0.8449287280701751</v>
      </c>
      <c r="P159" s="45" t="n"/>
      <c r="Q159" s="45" t="n"/>
      <c r="R159" s="45" t="n">
        <v>0.854076008123006</v>
      </c>
      <c r="S159" s="45" t="n">
        <v>0.648757943385326</v>
      </c>
      <c r="T159" s="45" t="n">
        <v>0.802737520128825</v>
      </c>
      <c r="U159" s="45" t="n">
        <v>0</v>
      </c>
      <c r="V159" s="45" t="n"/>
      <c r="W159" s="45" t="n">
        <v>0.921308056872038</v>
      </c>
      <c r="X159" s="45" t="n"/>
      <c r="Y159" s="45" t="n">
        <v>0.874101382488479</v>
      </c>
      <c r="Z159" s="45" t="n"/>
      <c r="AA159" s="45" t="n">
        <v>0</v>
      </c>
      <c r="AB159" s="45" t="n">
        <v>0.928777346257194</v>
      </c>
      <c r="AC159" s="45" t="n">
        <v>0.760840108401084</v>
      </c>
      <c r="AD159" s="45" t="n">
        <v>0.563595251554551</v>
      </c>
      <c r="AE159" s="45" t="n"/>
      <c r="AF159" s="75">
        <f>IFERROR(AVERAGE(L159:U159),"")</f>
        <v/>
      </c>
      <c r="AG159" s="75">
        <f>IFERROR(AVERAGE(V159:AE159),"")</f>
        <v/>
      </c>
      <c r="AH159" s="75">
        <f>IFERROR(AVERAGE(B159:K159),"")</f>
        <v/>
      </c>
      <c r="AI159" s="45" t="n">
        <v>0.754322052001953</v>
      </c>
      <c r="AJ159" s="47" t="n">
        <v>0</v>
      </c>
    </row>
    <row r="160" ht="15" customHeight="1" s="30">
      <c r="A160" s="73" t="inlineStr">
        <is>
          <t>7420.jpg</t>
        </is>
      </c>
      <c r="B160" s="45" t="n"/>
      <c r="C160" s="45" t="n">
        <v>0.890074332198174</v>
      </c>
      <c r="D160" s="45" t="n"/>
      <c r="E160" s="45" t="n">
        <v>0.706401563740761</v>
      </c>
      <c r="F160" s="45" t="n"/>
      <c r="G160" s="45" t="n">
        <v>0</v>
      </c>
      <c r="H160" s="45" t="n">
        <v>0.848968237199803</v>
      </c>
      <c r="I160" s="45" t="n">
        <v>0.549874055415617</v>
      </c>
      <c r="J160" s="45" t="n">
        <v>0.232424677187948</v>
      </c>
      <c r="K160" s="45" t="n">
        <v>0.687613179074447</v>
      </c>
      <c r="L160" s="45" t="n"/>
      <c r="M160" s="45" t="n">
        <v>0.925628294427711</v>
      </c>
      <c r="N160" s="45" t="n"/>
      <c r="O160" s="45" t="n">
        <v>0.741147819399494</v>
      </c>
      <c r="P160" s="45" t="n"/>
      <c r="Q160" s="45" t="n"/>
      <c r="R160" s="45" t="n">
        <v>0.895734773239541</v>
      </c>
      <c r="S160" s="45" t="n">
        <v>0.653984421809467</v>
      </c>
      <c r="T160" s="45" t="n">
        <v>0.554794520547945</v>
      </c>
      <c r="U160" s="45" t="n">
        <v>0.888093033831961</v>
      </c>
      <c r="V160" s="45" t="n"/>
      <c r="W160" s="45" t="n">
        <v>0.95863085808983</v>
      </c>
      <c r="X160" s="45" t="n"/>
      <c r="Y160" s="45" t="n">
        <v>0.937763542004541</v>
      </c>
      <c r="Z160" s="45" t="n"/>
      <c r="AA160" s="45" t="n">
        <v>0</v>
      </c>
      <c r="AB160" s="45" t="n">
        <v>0.942064474112667</v>
      </c>
      <c r="AC160" s="45" t="n">
        <v>0.775488454706927</v>
      </c>
      <c r="AD160" s="45" t="n">
        <v>0.285714285714286</v>
      </c>
      <c r="AE160" s="45" t="n">
        <v>0.752843177750241</v>
      </c>
      <c r="AF160" s="75">
        <f>IFERROR(AVERAGE(L160:U160),"")</f>
        <v/>
      </c>
      <c r="AG160" s="75">
        <f>IFERROR(AVERAGE(V160:AE160),"")</f>
        <v/>
      </c>
      <c r="AH160" s="75">
        <f>IFERROR(AVERAGE(B160:K160),"")</f>
        <v/>
      </c>
      <c r="AI160" s="45" t="n">
        <v>0.881771087646484</v>
      </c>
      <c r="AJ160" s="47" t="n">
        <v>0</v>
      </c>
    </row>
    <row r="161" ht="15" customHeight="1" s="30">
      <c r="A161" s="73" t="inlineStr">
        <is>
          <t>7423.jpg</t>
        </is>
      </c>
      <c r="B161" s="45" t="n"/>
      <c r="C161" s="45" t="n">
        <v>0.838203403535855</v>
      </c>
      <c r="D161" s="45" t="n">
        <v>0.000653167864141084</v>
      </c>
      <c r="E161" s="45" t="n">
        <v>0.781323849948377</v>
      </c>
      <c r="F161" s="45" t="n"/>
      <c r="G161" s="45" t="n">
        <v>0.00915564598168871</v>
      </c>
      <c r="H161" s="45" t="n">
        <v>0.822437843023164</v>
      </c>
      <c r="I161" s="45" t="n">
        <v>0.500384714029238</v>
      </c>
      <c r="J161" s="45" t="n">
        <v>0.6424517593643591</v>
      </c>
      <c r="K161" s="45" t="n">
        <v>0.707004528374603</v>
      </c>
      <c r="L161" s="45" t="n"/>
      <c r="M161" s="45" t="n">
        <v>0.866319708251026</v>
      </c>
      <c r="N161" s="45" t="n">
        <v>1</v>
      </c>
      <c r="O161" s="45" t="n">
        <v>0.8169169505349519</v>
      </c>
      <c r="P161" s="45" t="n"/>
      <c r="Q161" s="45" t="n">
        <v>1</v>
      </c>
      <c r="R161" s="45" t="n">
        <v>0.875207095640532</v>
      </c>
      <c r="S161" s="45" t="n">
        <v>0.611790529946692</v>
      </c>
      <c r="T161" s="45" t="n">
        <v>0.773224043715847</v>
      </c>
      <c r="U161" s="45" t="n">
        <v>0.849862950237424</v>
      </c>
      <c r="V161" s="45" t="n"/>
      <c r="W161" s="45" t="n">
        <v>0.962723741979061</v>
      </c>
      <c r="X161" s="45" t="n">
        <v>0.000653167864141084</v>
      </c>
      <c r="Y161" s="45" t="n">
        <v>0.947181041915835</v>
      </c>
      <c r="Z161" s="45" t="n"/>
      <c r="AA161" s="45" t="n">
        <v>0.00915564598168871</v>
      </c>
      <c r="AB161" s="45" t="n">
        <v>0.931696714886339</v>
      </c>
      <c r="AC161" s="45" t="n">
        <v>0.733183013904547</v>
      </c>
      <c r="AD161" s="45" t="n">
        <v>0.791608391608392</v>
      </c>
      <c r="AE161" s="45" t="n">
        <v>0.807912507339988</v>
      </c>
      <c r="AF161" s="75">
        <f>IFERROR(AVERAGE(L161:U161),"")</f>
        <v/>
      </c>
      <c r="AG161" s="75">
        <f>IFERROR(AVERAGE(V161:AE161),"")</f>
        <v/>
      </c>
      <c r="AH161" s="75">
        <f>IFERROR(AVERAGE(B161:K161),"")</f>
        <v/>
      </c>
      <c r="AI161" s="45" t="n">
        <v>0.852306365966797</v>
      </c>
      <c r="AJ161" s="47" t="n">
        <v>0</v>
      </c>
    </row>
    <row r="162" ht="15" customHeight="1" s="30">
      <c r="A162" s="73" t="inlineStr">
        <is>
          <t>7431.jpg</t>
        </is>
      </c>
      <c r="B162" s="45" t="n"/>
      <c r="C162" s="45" t="n">
        <v>0.88770197486535</v>
      </c>
      <c r="D162" s="45" t="n"/>
      <c r="E162" s="45" t="n">
        <v>0.0629847189414052</v>
      </c>
      <c r="F162" s="45" t="n"/>
      <c r="G162" s="45" t="n">
        <v>0.298839367892298</v>
      </c>
      <c r="H162" s="45" t="n">
        <v>0.722611599793029</v>
      </c>
      <c r="I162" s="45" t="n">
        <v>0.319719953325554</v>
      </c>
      <c r="J162" s="45" t="n">
        <v>0</v>
      </c>
      <c r="K162" s="45" t="n">
        <v>0.770094163682338</v>
      </c>
      <c r="L162" s="45" t="n"/>
      <c r="M162" s="45" t="n">
        <v>0.944147412640825</v>
      </c>
      <c r="N162" s="45" t="n"/>
      <c r="O162" s="45" t="n">
        <v>0.0630598576810381</v>
      </c>
      <c r="P162" s="45" t="n"/>
      <c r="Q162" s="45" t="n">
        <v>0.981302666291013</v>
      </c>
      <c r="R162" s="45" t="n">
        <v>0.831187100963099</v>
      </c>
      <c r="S162" s="45" t="n">
        <v>0.491921005385996</v>
      </c>
      <c r="T162" s="45" t="n"/>
      <c r="U162" s="45" t="n">
        <v>0.873209652309289</v>
      </c>
      <c r="V162" s="45" t="n"/>
      <c r="W162" s="45" t="n">
        <v>0.936901942207485</v>
      </c>
      <c r="X162" s="45" t="n"/>
      <c r="Y162" s="45" t="n">
        <v>0.9814332247557001</v>
      </c>
      <c r="Z162" s="45" t="n"/>
      <c r="AA162" s="45" t="n">
        <v>0.300550691894945</v>
      </c>
      <c r="AB162" s="45" t="n">
        <v>0.846904460003308</v>
      </c>
      <c r="AC162" s="45" t="n">
        <v>0.477351916376307</v>
      </c>
      <c r="AD162" s="45" t="n">
        <v>0</v>
      </c>
      <c r="AE162" s="45" t="n">
        <v>0.8670453959911369</v>
      </c>
      <c r="AF162" s="75">
        <f>IFERROR(AVERAGE(L162:U162),"")</f>
        <v/>
      </c>
      <c r="AG162" s="75">
        <f>IFERROR(AVERAGE(V162:AE162),"")</f>
        <v/>
      </c>
      <c r="AH162" s="75">
        <f>IFERROR(AVERAGE(B162:K162),"")</f>
        <v/>
      </c>
      <c r="AI162" s="45" t="n">
        <v>0.598712921142578</v>
      </c>
      <c r="AJ162" s="47" t="n">
        <v>0</v>
      </c>
    </row>
    <row r="163" ht="15" customHeight="1" s="30">
      <c r="A163" s="73" t="inlineStr">
        <is>
          <t>7450.jpg</t>
        </is>
      </c>
      <c r="B163" s="45" t="n">
        <v>0</v>
      </c>
      <c r="C163" s="45" t="n">
        <v>0.890610545790934</v>
      </c>
      <c r="D163" s="45" t="n"/>
      <c r="E163" s="45" t="n">
        <v>0</v>
      </c>
      <c r="F163" s="45" t="n"/>
      <c r="G163" s="45" t="n">
        <v>0.589172551149737</v>
      </c>
      <c r="H163" s="45" t="n">
        <v>0.588978462278908</v>
      </c>
      <c r="I163" s="45" t="n">
        <v>0</v>
      </c>
      <c r="J163" s="45" t="n"/>
      <c r="K163" s="45" t="n">
        <v>0</v>
      </c>
      <c r="L163" s="45" t="n"/>
      <c r="M163" s="45" t="n">
        <v>0.940966622684846</v>
      </c>
      <c r="N163" s="45" t="n"/>
      <c r="O163" s="45" t="n">
        <v>0</v>
      </c>
      <c r="P163" s="45" t="n"/>
      <c r="Q163" s="45" t="n">
        <v>0.769703850884663</v>
      </c>
      <c r="R163" s="45" t="n">
        <v>0.698387787130832</v>
      </c>
      <c r="S163" s="45" t="n">
        <v>0</v>
      </c>
      <c r="T163" s="45" t="n"/>
      <c r="U163" s="45" t="n">
        <v>0</v>
      </c>
      <c r="V163" s="45" t="n">
        <v>0</v>
      </c>
      <c r="W163" s="45" t="n">
        <v>0.943317656280619</v>
      </c>
      <c r="X163" s="45" t="n"/>
      <c r="Y163" s="45" t="n"/>
      <c r="Z163" s="45" t="n"/>
      <c r="AA163" s="45" t="n">
        <v>0.715259155053414</v>
      </c>
      <c r="AB163" s="45" t="n">
        <v>0.789898337905438</v>
      </c>
      <c r="AC163" s="45" t="n"/>
      <c r="AD163" s="45" t="n"/>
      <c r="AE163" s="45" t="n"/>
      <c r="AF163" s="75">
        <f>IFERROR(AVERAGE(L163:U163),"")</f>
        <v/>
      </c>
      <c r="AG163" s="75">
        <f>IFERROR(AVERAGE(V163:AE163),"")</f>
        <v/>
      </c>
      <c r="AH163" s="75">
        <f>IFERROR(AVERAGE(B163:K163),"")</f>
        <v/>
      </c>
      <c r="AI163" s="45" t="n">
        <v>0.154190063476563</v>
      </c>
      <c r="AJ163" s="47" t="n">
        <v>0</v>
      </c>
    </row>
    <row r="164" ht="15" customHeight="1" s="30">
      <c r="A164" s="73" t="inlineStr">
        <is>
          <t>7457.jpg</t>
        </is>
      </c>
      <c r="B164" s="45" t="n"/>
      <c r="C164" s="45" t="n">
        <v>0.82642659063391</v>
      </c>
      <c r="D164" s="45" t="n"/>
      <c r="E164" s="45" t="n">
        <v>0.951466295618506</v>
      </c>
      <c r="F164" s="45" t="n"/>
      <c r="G164" s="45" t="n">
        <v>0</v>
      </c>
      <c r="H164" s="45" t="n">
        <v>0.726672811059908</v>
      </c>
      <c r="I164" s="45" t="n">
        <v>0.694259012016021</v>
      </c>
      <c r="J164" s="45" t="n">
        <v>0</v>
      </c>
      <c r="K164" s="45" t="n">
        <v>0.08849453057369951</v>
      </c>
      <c r="L164" s="45" t="n"/>
      <c r="M164" s="45" t="n">
        <v>0.904656034888195</v>
      </c>
      <c r="N164" s="45" t="n"/>
      <c r="O164" s="45" t="n">
        <v>0.95608387073896</v>
      </c>
      <c r="P164" s="45" t="n"/>
      <c r="Q164" s="45" t="n">
        <v>0</v>
      </c>
      <c r="R164" s="45" t="n">
        <v>0.853179240791239</v>
      </c>
      <c r="S164" s="45" t="n">
        <v>0.8373590982286639</v>
      </c>
      <c r="T164" s="45" t="n">
        <v>0</v>
      </c>
      <c r="U164" s="45" t="n">
        <v>0.759540695710908</v>
      </c>
      <c r="V164" s="45" t="n"/>
      <c r="W164" s="45" t="n">
        <v>0.90527531767424</v>
      </c>
      <c r="X164" s="45" t="n"/>
      <c r="Y164" s="45" t="n">
        <v>0.994949601450804</v>
      </c>
      <c r="Z164" s="45" t="n"/>
      <c r="AA164" s="45" t="n"/>
      <c r="AB164" s="45" t="n">
        <v>0.830531327687187</v>
      </c>
      <c r="AC164" s="45" t="n">
        <v>0.802469135802469</v>
      </c>
      <c r="AD164" s="45" t="n"/>
      <c r="AE164" s="45" t="n">
        <v>0.0910452594931585</v>
      </c>
      <c r="AF164" s="75">
        <f>IFERROR(AVERAGE(L164:U164),"")</f>
        <v/>
      </c>
      <c r="AG164" s="75">
        <f>IFERROR(AVERAGE(V164:AE164),"")</f>
        <v/>
      </c>
      <c r="AH164" s="75">
        <f>IFERROR(AVERAGE(B164:K164),"")</f>
        <v/>
      </c>
      <c r="AI164" s="45" t="n">
        <v>0.886417388916016</v>
      </c>
      <c r="AJ164" s="47" t="n">
        <v>0</v>
      </c>
    </row>
    <row r="165" ht="15" customHeight="1" s="30">
      <c r="A165" s="73" t="inlineStr">
        <is>
          <t>7461.jpg</t>
        </is>
      </c>
      <c r="B165" s="45" t="n"/>
      <c r="C165" s="45" t="n">
        <v>0.830462177222566</v>
      </c>
      <c r="D165" s="45" t="n">
        <v>0</v>
      </c>
      <c r="E165" s="45" t="n">
        <v>0.94979089511251</v>
      </c>
      <c r="F165" s="45" t="n"/>
      <c r="G165" s="45" t="n"/>
      <c r="H165" s="45" t="n">
        <v>0.695669663984856</v>
      </c>
      <c r="I165" s="45" t="n">
        <v>0.355643044619423</v>
      </c>
      <c r="J165" s="45" t="n"/>
      <c r="K165" s="45" t="n">
        <v>0.557515224308321</v>
      </c>
      <c r="L165" s="45" t="n"/>
      <c r="M165" s="45" t="n">
        <v>0.917253308660847</v>
      </c>
      <c r="N165" s="45" t="n">
        <v>0</v>
      </c>
      <c r="O165" s="45" t="n">
        <v>0.958253101137839</v>
      </c>
      <c r="P165" s="45" t="n"/>
      <c r="Q165" s="45" t="n"/>
      <c r="R165" s="45" t="n">
        <v>0.842692120274028</v>
      </c>
      <c r="S165" s="45" t="n">
        <v>0.494977168949772</v>
      </c>
      <c r="T165" s="45" t="n"/>
      <c r="U165" s="45" t="n">
        <v>0.752952559833803</v>
      </c>
      <c r="V165" s="45" t="n"/>
      <c r="W165" s="45" t="n">
        <v>0.897716535433071</v>
      </c>
      <c r="X165" s="45" t="n"/>
      <c r="Y165" s="45" t="n">
        <v>0.99078795443907</v>
      </c>
      <c r="Z165" s="45" t="n"/>
      <c r="AA165" s="45" t="n"/>
      <c r="AB165" s="45" t="n">
        <v>0.7994941803546179</v>
      </c>
      <c r="AC165" s="45" t="n">
        <v>0.558187435633368</v>
      </c>
      <c r="AD165" s="45" t="n"/>
      <c r="AE165" s="45" t="n">
        <v>0.682329275840726</v>
      </c>
      <c r="AF165" s="75">
        <f>IFERROR(AVERAGE(L165:U165),"")</f>
        <v/>
      </c>
      <c r="AG165" s="75">
        <f>IFERROR(AVERAGE(V165:AE165),"")</f>
        <v/>
      </c>
      <c r="AH165" s="75">
        <f>IFERROR(AVERAGE(B165:K165),"")</f>
        <v/>
      </c>
      <c r="AI165" s="45" t="n">
        <v>0.907707214355469</v>
      </c>
      <c r="AJ165" s="47" t="n">
        <v>0</v>
      </c>
    </row>
    <row r="166" ht="15" customHeight="1" s="30">
      <c r="A166" s="73" t="inlineStr">
        <is>
          <t>7464.jpg</t>
        </is>
      </c>
      <c r="B166" s="45" t="n"/>
      <c r="C166" s="45" t="n">
        <v>0.836767437932782</v>
      </c>
      <c r="D166" s="45" t="n"/>
      <c r="E166" s="45" t="n">
        <v>0.804952620355595</v>
      </c>
      <c r="F166" s="45" t="n"/>
      <c r="G166" s="45" t="n">
        <v>0</v>
      </c>
      <c r="H166" s="45" t="n">
        <v>0.747118238501714</v>
      </c>
      <c r="I166" s="45" t="n">
        <v>0.233590733590734</v>
      </c>
      <c r="J166" s="45" t="n">
        <v>0</v>
      </c>
      <c r="K166" s="45" t="n">
        <v>0.758502031087387</v>
      </c>
      <c r="L166" s="45" t="n"/>
      <c r="M166" s="45" t="n">
        <v>0.946569017672345</v>
      </c>
      <c r="N166" s="45" t="n"/>
      <c r="O166" s="45" t="n">
        <v>0.9618788865732339</v>
      </c>
      <c r="P166" s="45" t="n"/>
      <c r="Q166" s="45" t="n">
        <v>0</v>
      </c>
      <c r="R166" s="45" t="n">
        <v>0.869490708509613</v>
      </c>
      <c r="S166" s="45" t="n">
        <v>0.238658777120316</v>
      </c>
      <c r="T166" s="45" t="n">
        <v>0</v>
      </c>
      <c r="U166" s="45" t="n">
        <v>0.864161407534902</v>
      </c>
      <c r="V166" s="45" t="n"/>
      <c r="W166" s="45" t="n">
        <v>0.878249822736942</v>
      </c>
      <c r="X166" s="45" t="n"/>
      <c r="Y166" s="45" t="n">
        <v>0.831478293849924</v>
      </c>
      <c r="Z166" s="45" t="n"/>
      <c r="AA166" s="45" t="n"/>
      <c r="AB166" s="45" t="n">
        <v>0.841483324263391</v>
      </c>
      <c r="AC166" s="45" t="n">
        <v>0.916666666666667</v>
      </c>
      <c r="AD166" s="45" t="n"/>
      <c r="AE166" s="45" t="n">
        <v>0.861180461588306</v>
      </c>
      <c r="AF166" s="75">
        <f>IFERROR(AVERAGE(L166:U166),"")</f>
        <v/>
      </c>
      <c r="AG166" s="75">
        <f>IFERROR(AVERAGE(V166:AE166),"")</f>
        <v/>
      </c>
      <c r="AH166" s="75">
        <f>IFERROR(AVERAGE(B166:K166),"")</f>
        <v/>
      </c>
      <c r="AI166" s="45" t="n">
        <v>0.844978332519531</v>
      </c>
      <c r="AJ166" s="47" t="n">
        <v>0</v>
      </c>
    </row>
    <row r="167" ht="15" customHeight="1" s="30">
      <c r="A167" s="73" t="inlineStr">
        <is>
          <t>7476.jpg</t>
        </is>
      </c>
      <c r="B167" s="45" t="n"/>
      <c r="C167" s="45" t="n">
        <v>0.891744628354066</v>
      </c>
      <c r="D167" s="45" t="n">
        <v>0.505795574288725</v>
      </c>
      <c r="E167" s="45" t="n">
        <v>0.719236374234917</v>
      </c>
      <c r="F167" s="45" t="n"/>
      <c r="G167" s="45" t="n">
        <v>0.875477521694032</v>
      </c>
      <c r="H167" s="45" t="n">
        <v>0.839356091057038</v>
      </c>
      <c r="I167" s="45" t="n">
        <v>0.617302052785924</v>
      </c>
      <c r="J167" s="45" t="n">
        <v>0.886729691876751</v>
      </c>
      <c r="K167" s="45" t="n">
        <v>0</v>
      </c>
      <c r="L167" s="45" t="n"/>
      <c r="M167" s="45" t="n">
        <v>0.926973496722713</v>
      </c>
      <c r="N167" s="45" t="n">
        <v>0.883977900552486</v>
      </c>
      <c r="O167" s="45" t="n">
        <v>0.763332096015838</v>
      </c>
      <c r="P167" s="45" t="n"/>
      <c r="Q167" s="45" t="n">
        <v>0.980888199153894</v>
      </c>
      <c r="R167" s="45" t="n">
        <v>0.8885383370002909</v>
      </c>
      <c r="S167" s="45" t="n">
        <v>0.727744165946413</v>
      </c>
      <c r="T167" s="45" t="n">
        <v>0.937962962962963</v>
      </c>
      <c r="U167" s="45" t="n">
        <v>0</v>
      </c>
      <c r="V167" s="45" t="n"/>
      <c r="W167" s="45" t="n">
        <v>0.959124249014043</v>
      </c>
      <c r="X167" s="45" t="n">
        <v>0.54176072234763</v>
      </c>
      <c r="Y167" s="45" t="n">
        <v>0.925653625417307</v>
      </c>
      <c r="Z167" s="45" t="n"/>
      <c r="AA167" s="45" t="n">
        <v>0.890670544556048</v>
      </c>
      <c r="AB167" s="45" t="n">
        <v>0.938134163178541</v>
      </c>
      <c r="AC167" s="45" t="n">
        <v>0.802669208770257</v>
      </c>
      <c r="AD167" s="45" t="n">
        <v>0.941975079040357</v>
      </c>
      <c r="AE167" s="45" t="n"/>
      <c r="AF167" s="75">
        <f>IFERROR(AVERAGE(L167:U167),"")</f>
        <v/>
      </c>
      <c r="AG167" s="75">
        <f>IFERROR(AVERAGE(V167:AE167),"")</f>
        <v/>
      </c>
      <c r="AH167" s="75">
        <f>IFERROR(AVERAGE(B167:K167),"")</f>
        <v/>
      </c>
      <c r="AI167" s="45" t="n">
        <v>0.909095764160156</v>
      </c>
      <c r="AJ167" s="47" t="n">
        <v>0</v>
      </c>
    </row>
    <row r="168" ht="15" customHeight="1" s="30">
      <c r="A168" s="73" t="inlineStr">
        <is>
          <t>7486.jpg</t>
        </is>
      </c>
      <c r="B168" s="45" t="n">
        <v>0</v>
      </c>
      <c r="C168" s="45" t="n">
        <v>0.881250227944126</v>
      </c>
      <c r="D168" s="45" t="n"/>
      <c r="E168" s="45" t="n">
        <v>0.762348327000858</v>
      </c>
      <c r="F168" s="45" t="n"/>
      <c r="G168" s="45" t="n">
        <v>0.494108906432924</v>
      </c>
      <c r="H168" s="45" t="n">
        <v>0.871911724779894</v>
      </c>
      <c r="I168" s="45" t="n">
        <v>0.610702341137124</v>
      </c>
      <c r="J168" s="45" t="n">
        <v>0.564796905222437</v>
      </c>
      <c r="K168" s="45" t="n">
        <v>0</v>
      </c>
      <c r="L168" s="45" t="n">
        <v>0</v>
      </c>
      <c r="M168" s="45" t="n">
        <v>0.937804428402321</v>
      </c>
      <c r="N168" s="45" t="n"/>
      <c r="O168" s="45" t="n">
        <v>0.821800165152766</v>
      </c>
      <c r="P168" s="45" t="n"/>
      <c r="Q168" s="45" t="n">
        <v>0.995976220370006</v>
      </c>
      <c r="R168" s="45" t="n">
        <v>0.920803637257311</v>
      </c>
      <c r="S168" s="45" t="n">
        <v>0.7205998421468039</v>
      </c>
      <c r="T168" s="45" t="n">
        <v>0.891149542217701</v>
      </c>
      <c r="U168" s="45" t="n">
        <v>0</v>
      </c>
      <c r="V168" s="45" t="n"/>
      <c r="W168" s="45" t="n">
        <v>0.935951813762516</v>
      </c>
      <c r="X168" s="45" t="n"/>
      <c r="Y168" s="45" t="n">
        <v>0.913329172937851</v>
      </c>
      <c r="Z168" s="45" t="n"/>
      <c r="AA168" s="45" t="n">
        <v>0.495097228279669</v>
      </c>
      <c r="AB168" s="45" t="n">
        <v>0.942598377324472</v>
      </c>
      <c r="AC168" s="45" t="n">
        <v>0.800175284837862</v>
      </c>
      <c r="AD168" s="45" t="n">
        <v>0.606648199445983</v>
      </c>
      <c r="AE168" s="45" t="n"/>
      <c r="AF168" s="75">
        <f>IFERROR(AVERAGE(L168:U168),"")</f>
        <v/>
      </c>
      <c r="AG168" s="75">
        <f>IFERROR(AVERAGE(V168:AE168),"")</f>
        <v/>
      </c>
      <c r="AH168" s="75">
        <f>IFERROR(AVERAGE(B168:K168),"")</f>
        <v/>
      </c>
      <c r="AI168" s="45" t="n">
        <v>0.708759307861328</v>
      </c>
      <c r="AJ168" s="47" t="n">
        <v>0</v>
      </c>
    </row>
    <row r="169" ht="15" customHeight="1" s="30">
      <c r="A169" s="73" t="inlineStr">
        <is>
          <t>7541.jpg</t>
        </is>
      </c>
      <c r="B169" s="45" t="n">
        <v>0.786308487411215</v>
      </c>
      <c r="C169" s="45" t="n">
        <v>0.867080427774069</v>
      </c>
      <c r="D169" s="45" t="n">
        <v>0</v>
      </c>
      <c r="E169" s="45" t="n">
        <v>0.649223609858018</v>
      </c>
      <c r="F169" s="45" t="n">
        <v>0</v>
      </c>
      <c r="G169" s="45" t="n"/>
      <c r="H169" s="45" t="n">
        <v>0.834849371596354</v>
      </c>
      <c r="I169" s="45" t="n">
        <v>0.439024390243902</v>
      </c>
      <c r="J169" s="45" t="n">
        <v>0.827642276422764</v>
      </c>
      <c r="K169" s="45" t="n">
        <v>0</v>
      </c>
      <c r="L169" s="45" t="n">
        <v>0.890736044582199</v>
      </c>
      <c r="M169" s="45" t="n">
        <v>0.9219153466318351</v>
      </c>
      <c r="N169" s="45" t="n"/>
      <c r="O169" s="45" t="n">
        <v>0.82042665546521</v>
      </c>
      <c r="P169" s="45" t="n">
        <v>0</v>
      </c>
      <c r="Q169" s="45" t="n"/>
      <c r="R169" s="45" t="n">
        <v>0.901304375763028</v>
      </c>
      <c r="S169" s="45" t="n">
        <v>0.593478260869565</v>
      </c>
      <c r="T169" s="45" t="n">
        <v>0.986434108527132</v>
      </c>
      <c r="U169" s="45" t="n">
        <v>0</v>
      </c>
      <c r="V169" s="45" t="n">
        <v>0.870247453583336</v>
      </c>
      <c r="W169" s="45" t="n">
        <v>0.935806253832005</v>
      </c>
      <c r="X169" s="45" t="n">
        <v>0</v>
      </c>
      <c r="Y169" s="45" t="n">
        <v>0.756759748706169</v>
      </c>
      <c r="Z169" s="45" t="n"/>
      <c r="AA169" s="45" t="n"/>
      <c r="AB169" s="45" t="n">
        <v>0.918849282166057</v>
      </c>
      <c r="AC169" s="45" t="n">
        <v>0.6278267535454199</v>
      </c>
      <c r="AD169" s="45" t="n">
        <v>0.837171052631579</v>
      </c>
      <c r="AE169" s="45" t="n"/>
      <c r="AF169" s="75">
        <f>IFERROR(AVERAGE(L169:U169),"")</f>
        <v/>
      </c>
      <c r="AG169" s="75">
        <f>IFERROR(AVERAGE(V169:AE169),"")</f>
        <v/>
      </c>
      <c r="AH169" s="75">
        <f>IFERROR(AVERAGE(B169:K169),"")</f>
        <v/>
      </c>
      <c r="AI169" s="45" t="n">
        <v>0.883510589599609</v>
      </c>
      <c r="AJ169" s="47" t="n">
        <v>0</v>
      </c>
    </row>
    <row r="170" ht="15" customHeight="1" s="30">
      <c r="A170" s="73" t="inlineStr">
        <is>
          <t>7543.jpg</t>
        </is>
      </c>
      <c r="B170" s="45" t="n">
        <v>0.000678290092339947</v>
      </c>
      <c r="C170" s="45" t="n">
        <v>0.886106526631658</v>
      </c>
      <c r="D170" s="45" t="n"/>
      <c r="E170" s="45" t="n">
        <v>0.514228747507703</v>
      </c>
      <c r="F170" s="45" t="n"/>
      <c r="G170" s="45" t="n">
        <v>0</v>
      </c>
      <c r="H170" s="45" t="n">
        <v>0.805940717740065</v>
      </c>
      <c r="I170" s="45" t="n">
        <v>0.356527501656726</v>
      </c>
      <c r="J170" s="45" t="n"/>
      <c r="K170" s="45" t="n">
        <v>0</v>
      </c>
      <c r="L170" s="45" t="n">
        <v>1</v>
      </c>
      <c r="M170" s="45" t="n">
        <v>0.937399806358427</v>
      </c>
      <c r="N170" s="45" t="n"/>
      <c r="O170" s="45" t="n">
        <v>0.81236194060378</v>
      </c>
      <c r="P170" s="45" t="n"/>
      <c r="Q170" s="45" t="n">
        <v>0</v>
      </c>
      <c r="R170" s="45" t="n">
        <v>0.8812281095425319</v>
      </c>
      <c r="S170" s="45" t="n">
        <v>0.381560283687943</v>
      </c>
      <c r="T170" s="45" t="n"/>
      <c r="U170" s="45" t="n">
        <v>0</v>
      </c>
      <c r="V170" s="45" t="n">
        <v>0.000678290092339947</v>
      </c>
      <c r="W170" s="45" t="n">
        <v>0.941839696360795</v>
      </c>
      <c r="X170" s="45" t="n"/>
      <c r="Y170" s="45" t="n">
        <v>0.58353902209685</v>
      </c>
      <c r="Z170" s="45" t="n"/>
      <c r="AA170" s="45" t="n"/>
      <c r="AB170" s="45" t="n">
        <v>0.904154154154154</v>
      </c>
      <c r="AC170" s="45" t="n">
        <v>0.8445839874411299</v>
      </c>
      <c r="AD170" s="45" t="n"/>
      <c r="AE170" s="45" t="n"/>
      <c r="AF170" s="75">
        <f>IFERROR(AVERAGE(L170:U170),"")</f>
        <v/>
      </c>
      <c r="AG170" s="75">
        <f>IFERROR(AVERAGE(V170:AE170),"")</f>
        <v/>
      </c>
      <c r="AH170" s="75">
        <f>IFERROR(AVERAGE(B170:K170),"")</f>
        <v/>
      </c>
      <c r="AI170" s="45" t="n">
        <v>0.647830963134766</v>
      </c>
      <c r="AJ170" s="47" t="n">
        <v>0</v>
      </c>
    </row>
    <row r="171" ht="15" customHeight="1" s="30">
      <c r="A171" s="73" t="inlineStr">
        <is>
          <t>7577.jpg</t>
        </is>
      </c>
      <c r="B171" s="45" t="n"/>
      <c r="C171" s="45" t="n">
        <v>0.811387633390222</v>
      </c>
      <c r="D171" s="45" t="n">
        <v>0</v>
      </c>
      <c r="E171" s="45" t="n">
        <v>0.8410551558753</v>
      </c>
      <c r="F171" s="45" t="n">
        <v>0.765492957746479</v>
      </c>
      <c r="G171" s="45" t="n"/>
      <c r="H171" s="45" t="n">
        <v>0.840344316658435</v>
      </c>
      <c r="I171" s="45" t="n">
        <v>0.481559536354057</v>
      </c>
      <c r="J171" s="45" t="n">
        <v>0.750476190476191</v>
      </c>
      <c r="K171" s="45" t="n">
        <v>0.804278168436478</v>
      </c>
      <c r="L171" s="45" t="n"/>
      <c r="M171" s="45" t="n">
        <v>0.9203931413011111</v>
      </c>
      <c r="N171" s="45" t="n">
        <v>0</v>
      </c>
      <c r="O171" s="45" t="n">
        <v>0.910236002491522</v>
      </c>
      <c r="P171" s="45" t="n">
        <v>0.872858672376874</v>
      </c>
      <c r="Q171" s="45" t="n"/>
      <c r="R171" s="45" t="n">
        <v>0.890575462104445</v>
      </c>
      <c r="S171" s="45" t="n">
        <v>0.686186186186186</v>
      </c>
      <c r="T171" s="45" t="n">
        <v>0.869757174392936</v>
      </c>
      <c r="U171" s="45" t="n">
        <v>0.924767688960982</v>
      </c>
      <c r="V171" s="45" t="n"/>
      <c r="W171" s="45" t="n">
        <v>0.872627523749975</v>
      </c>
      <c r="X171" s="45" t="n"/>
      <c r="Y171" s="45" t="n">
        <v>0.917122833931871</v>
      </c>
      <c r="Z171" s="45" t="n">
        <v>0.8615587846763541</v>
      </c>
      <c r="AA171" s="45" t="n"/>
      <c r="AB171" s="45" t="n">
        <v>0.93710266255429</v>
      </c>
      <c r="AC171" s="45" t="n">
        <v>0.617567567567568</v>
      </c>
      <c r="AD171" s="45" t="n">
        <v>0.84549356223176</v>
      </c>
      <c r="AE171" s="45" t="n">
        <v>0.860586486929252</v>
      </c>
      <c r="AF171" s="75">
        <f>IFERROR(AVERAGE(L171:U171),"")</f>
        <v/>
      </c>
      <c r="AG171" s="75">
        <f>IFERROR(AVERAGE(V171:AE171),"")</f>
        <v/>
      </c>
      <c r="AH171" s="75">
        <f>IFERROR(AVERAGE(B171:K171),"")</f>
        <v/>
      </c>
      <c r="AI171" s="45" t="n">
        <v>0.892372131347656</v>
      </c>
      <c r="AJ171" s="47" t="n">
        <v>0</v>
      </c>
    </row>
    <row r="172" ht="15" customHeight="1" s="30">
      <c r="A172" s="73" t="inlineStr">
        <is>
          <t>7581.jpg</t>
        </is>
      </c>
      <c r="B172" s="45" t="n"/>
      <c r="C172" s="45" t="n">
        <v>0.874588318193655</v>
      </c>
      <c r="D172" s="45" t="n"/>
      <c r="E172" s="45" t="n">
        <v>0.839240837696335</v>
      </c>
      <c r="F172" s="45" t="n"/>
      <c r="G172" s="45" t="n"/>
      <c r="H172" s="45" t="n">
        <v>0.791805535429648</v>
      </c>
      <c r="I172" s="45" t="n">
        <v>0.575039494470774</v>
      </c>
      <c r="J172" s="45" t="n">
        <v>0.806772486772487</v>
      </c>
      <c r="K172" s="45" t="n">
        <v>0.818633254406735</v>
      </c>
      <c r="L172" s="45" t="n"/>
      <c r="M172" s="45" t="n">
        <v>0.904875110942057</v>
      </c>
      <c r="N172" s="45" t="n"/>
      <c r="O172" s="45" t="n">
        <v>0.919993112750022</v>
      </c>
      <c r="P172" s="45" t="n"/>
      <c r="Q172" s="45" t="n"/>
      <c r="R172" s="45" t="n">
        <v>0.859344591008276</v>
      </c>
      <c r="S172" s="45" t="n">
        <v>0.748457847840987</v>
      </c>
      <c r="T172" s="45" t="n">
        <v>0.888371009088791</v>
      </c>
      <c r="U172" s="45" t="n">
        <v>0.92554516554814</v>
      </c>
      <c r="V172" s="45" t="n"/>
      <c r="W172" s="45" t="n">
        <v>0.963140403852967</v>
      </c>
      <c r="X172" s="45" t="n"/>
      <c r="Y172" s="45" t="n">
        <v>0.905314582627358</v>
      </c>
      <c r="Z172" s="45" t="n"/>
      <c r="AA172" s="45" t="n"/>
      <c r="AB172" s="45" t="n">
        <v>0.909703868645038</v>
      </c>
      <c r="AC172" s="45" t="n">
        <v>0.712793733681462</v>
      </c>
      <c r="AD172" s="45" t="n">
        <v>0.897786151672162</v>
      </c>
      <c r="AE172" s="45" t="n">
        <v>0.876344369928359</v>
      </c>
      <c r="AF172" s="75">
        <f>IFERROR(AVERAGE(L172:U172),"")</f>
        <v/>
      </c>
      <c r="AG172" s="75">
        <f>IFERROR(AVERAGE(V172:AE172),"")</f>
        <v/>
      </c>
      <c r="AH172" s="75">
        <f>IFERROR(AVERAGE(B172:K172),"")</f>
        <v/>
      </c>
      <c r="AI172" s="45" t="n">
        <v>0.905391693115234</v>
      </c>
      <c r="AJ172" s="47" t="n">
        <v>0</v>
      </c>
    </row>
    <row r="173" ht="15" customHeight="1" s="30">
      <c r="A173" s="73" t="inlineStr">
        <is>
          <t>7583.jpg</t>
        </is>
      </c>
      <c r="B173" s="45" t="n"/>
      <c r="C173" s="45" t="n">
        <v>0.870792879229389</v>
      </c>
      <c r="D173" s="45" t="n">
        <v>0.670388566324252</v>
      </c>
      <c r="E173" s="45" t="n">
        <v>0.730979084571082</v>
      </c>
      <c r="F173" s="45" t="n"/>
      <c r="G173" s="45" t="n"/>
      <c r="H173" s="45" t="n">
        <v>0.828258972120963</v>
      </c>
      <c r="I173" s="45" t="n">
        <v>0.619635508524397</v>
      </c>
      <c r="J173" s="45" t="n">
        <v>0.787817938420348</v>
      </c>
      <c r="K173" s="45" t="n">
        <v>0.710426775313348</v>
      </c>
      <c r="L173" s="45" t="n"/>
      <c r="M173" s="45" t="n">
        <v>0.89569644773697</v>
      </c>
      <c r="N173" s="45" t="n">
        <v>0.905307599517491</v>
      </c>
      <c r="O173" s="45" t="n">
        <v>0.767469879518072</v>
      </c>
      <c r="P173" s="45" t="n"/>
      <c r="Q173" s="45" t="n"/>
      <c r="R173" s="45" t="n">
        <v>0.872330070837614</v>
      </c>
      <c r="S173" s="45" t="n">
        <v>0.736805312827683</v>
      </c>
      <c r="T173" s="45" t="n">
        <v>0.852280955829109</v>
      </c>
      <c r="U173" s="45" t="n">
        <v>0.924916447235163</v>
      </c>
      <c r="V173" s="45" t="n"/>
      <c r="W173" s="45" t="n">
        <v>0.969058880172194</v>
      </c>
      <c r="X173" s="45" t="n">
        <v>0.720941402497598</v>
      </c>
      <c r="Y173" s="45" t="n">
        <v>0.938927051756265</v>
      </c>
      <c r="Z173" s="45" t="n"/>
      <c r="AA173" s="45" t="n"/>
      <c r="AB173" s="45" t="n">
        <v>0.942509932227156</v>
      </c>
      <c r="AC173" s="45" t="n">
        <v>0.795771989429974</v>
      </c>
      <c r="AD173" s="45" t="n">
        <v>0.912403100775194</v>
      </c>
      <c r="AE173" s="45" t="n">
        <v>0.753905685687752</v>
      </c>
      <c r="AF173" s="75">
        <f>IFERROR(AVERAGE(L173:U173),"")</f>
        <v/>
      </c>
      <c r="AG173" s="75">
        <f>IFERROR(AVERAGE(V173:AE173),"")</f>
        <v/>
      </c>
      <c r="AH173" s="75">
        <f>IFERROR(AVERAGE(B173:K173),"")</f>
        <v/>
      </c>
      <c r="AI173" s="45" t="n">
        <v>0.875907897949219</v>
      </c>
      <c r="AJ173" s="47" t="n">
        <v>0</v>
      </c>
    </row>
    <row r="174" ht="15" customHeight="1" s="30">
      <c r="A174" s="73" t="inlineStr">
        <is>
          <t>7584.jpg</t>
        </is>
      </c>
      <c r="B174" s="45" t="n"/>
      <c r="C174" s="45" t="n">
        <v>0.881081567193261</v>
      </c>
      <c r="D174" s="45" t="n">
        <v>0</v>
      </c>
      <c r="E174" s="45" t="n">
        <v>0.834961325966851</v>
      </c>
      <c r="F174" s="45" t="n"/>
      <c r="G174" s="45" t="n"/>
      <c r="H174" s="45" t="n">
        <v>0.809542041917065</v>
      </c>
      <c r="I174" s="45" t="n">
        <v>0.636060100166945</v>
      </c>
      <c r="J174" s="45" t="n">
        <v>0.702097902097902</v>
      </c>
      <c r="K174" s="45" t="n">
        <v>0.788370188370188</v>
      </c>
      <c r="L174" s="45" t="n"/>
      <c r="M174" s="45" t="n">
        <v>0.913177885138179</v>
      </c>
      <c r="N174" s="45" t="n">
        <v>0</v>
      </c>
      <c r="O174" s="45" t="n">
        <v>0.872865888876054</v>
      </c>
      <c r="P174" s="45" t="n"/>
      <c r="Q174" s="45" t="n"/>
      <c r="R174" s="45" t="n">
        <v>0.857596331893131</v>
      </c>
      <c r="S174" s="45" t="n">
        <v>0.776362710137545</v>
      </c>
      <c r="T174" s="45" t="n">
        <v>0.859000684462697</v>
      </c>
      <c r="U174" s="45" t="n">
        <v>0.937881609145629</v>
      </c>
      <c r="V174" s="45" t="n"/>
      <c r="W174" s="45" t="n">
        <v>0.961638502183906</v>
      </c>
      <c r="X174" s="45" t="n"/>
      <c r="Y174" s="45" t="n">
        <v>0.950562306589177</v>
      </c>
      <c r="Z174" s="45" t="n"/>
      <c r="AA174" s="45" t="n"/>
      <c r="AB174" s="45" t="n">
        <v>0.935264251096238</v>
      </c>
      <c r="AC174" s="45" t="n">
        <v>0.778742973939704</v>
      </c>
      <c r="AD174" s="45" t="n">
        <v>0.793550426809991</v>
      </c>
      <c r="AE174" s="45" t="n">
        <v>0.831803517935325</v>
      </c>
      <c r="AF174" s="75">
        <f>IFERROR(AVERAGE(L174:U174),"")</f>
        <v/>
      </c>
      <c r="AG174" s="75">
        <f>IFERROR(AVERAGE(V174:AE174),"")</f>
        <v/>
      </c>
      <c r="AH174" s="75">
        <f>IFERROR(AVERAGE(B174:K174),"")</f>
        <v/>
      </c>
      <c r="AI174" s="45" t="n">
        <v>0.899749755859375</v>
      </c>
      <c r="AJ174" s="47" t="n">
        <v>0</v>
      </c>
    </row>
    <row r="175" ht="15" customHeight="1" s="30">
      <c r="A175" s="73" t="inlineStr">
        <is>
          <t>7586.jpg</t>
        </is>
      </c>
      <c r="B175" s="45" t="n"/>
      <c r="C175" s="45" t="n">
        <v>0.705517310186571</v>
      </c>
      <c r="D175" s="45" t="n">
        <v>0</v>
      </c>
      <c r="E175" s="45" t="n">
        <v>0.7707249466950959</v>
      </c>
      <c r="F175" s="45" t="n"/>
      <c r="G175" s="45" t="n"/>
      <c r="H175" s="45" t="n">
        <v>0.814119547657512</v>
      </c>
      <c r="I175" s="45" t="n">
        <v>0.704827586206897</v>
      </c>
      <c r="J175" s="45" t="n">
        <v>0.711480092840564</v>
      </c>
      <c r="K175" s="45" t="n">
        <v>0.781479892343098</v>
      </c>
      <c r="L175" s="45" t="n"/>
      <c r="M175" s="45" t="n">
        <v>0.816106546025298</v>
      </c>
      <c r="N175" s="45" t="n">
        <v>0</v>
      </c>
      <c r="O175" s="45" t="n">
        <v>0.869733644522509</v>
      </c>
      <c r="P175" s="45" t="n"/>
      <c r="Q175" s="45" t="n"/>
      <c r="R175" s="45" t="n">
        <v>0.902067484113488</v>
      </c>
      <c r="S175" s="45" t="n">
        <v>0.79595015576324</v>
      </c>
      <c r="T175" s="45" t="n">
        <v>0.848413881200766</v>
      </c>
      <c r="U175" s="45" t="n">
        <v>0.89632340440762</v>
      </c>
      <c r="V175" s="45" t="n"/>
      <c r="W175" s="45" t="n">
        <v>0.838877289551106</v>
      </c>
      <c r="X175" s="45" t="n"/>
      <c r="Y175" s="45" t="n">
        <v>0.871305982741166</v>
      </c>
      <c r="Z175" s="45" t="n"/>
      <c r="AA175" s="45" t="n"/>
      <c r="AB175" s="45" t="n">
        <v>0.893051445178897</v>
      </c>
      <c r="AC175" s="45" t="n">
        <v>0.86026936026936</v>
      </c>
      <c r="AD175" s="45" t="n">
        <v>0.815095111474739</v>
      </c>
      <c r="AE175" s="45" t="n">
        <v>0.859139950942555</v>
      </c>
      <c r="AF175" s="75">
        <f>IFERROR(AVERAGE(L175:U175),"")</f>
        <v/>
      </c>
      <c r="AG175" s="75">
        <f>IFERROR(AVERAGE(V175:AE175),"")</f>
        <v/>
      </c>
      <c r="AH175" s="75">
        <f>IFERROR(AVERAGE(B175:K175),"")</f>
        <v/>
      </c>
      <c r="AI175" s="45" t="n">
        <v>0.864288330078125</v>
      </c>
      <c r="AJ175" s="47" t="n">
        <v>0</v>
      </c>
    </row>
    <row r="176" ht="15" customHeight="1" s="30">
      <c r="A176" s="73" t="inlineStr">
        <is>
          <t>7590.jpg</t>
        </is>
      </c>
      <c r="B176" s="45" t="n"/>
      <c r="C176" s="45" t="n">
        <v>0.856882159505655</v>
      </c>
      <c r="D176" s="45" t="n"/>
      <c r="E176" s="45" t="n">
        <v>0.836645219212928</v>
      </c>
      <c r="F176" s="45" t="n"/>
      <c r="G176" s="45" t="n"/>
      <c r="H176" s="45" t="n">
        <v>0.835973122150228</v>
      </c>
      <c r="I176" s="45" t="n">
        <v>0.650832517140059</v>
      </c>
      <c r="J176" s="45" t="n">
        <v>0.739148408433237</v>
      </c>
      <c r="K176" s="45" t="n">
        <v>0.715850251443472</v>
      </c>
      <c r="L176" s="45" t="n"/>
      <c r="M176" s="45" t="n">
        <v>0.926939389793405</v>
      </c>
      <c r="N176" s="45" t="n"/>
      <c r="O176" s="45" t="n">
        <v>0.902885655691379</v>
      </c>
      <c r="P176" s="45" t="n"/>
      <c r="Q176" s="45" t="n"/>
      <c r="R176" s="45" t="n">
        <v>0.8827479600628449</v>
      </c>
      <c r="S176" s="45" t="n">
        <v>0.760732684602175</v>
      </c>
      <c r="T176" s="45" t="n">
        <v>0.889995022399204</v>
      </c>
      <c r="U176" s="45" t="n">
        <v>0.868578057673185</v>
      </c>
      <c r="V176" s="45" t="n"/>
      <c r="W176" s="45" t="n">
        <v>0.918946674934119</v>
      </c>
      <c r="X176" s="45" t="n"/>
      <c r="Y176" s="45" t="n">
        <v>0.919379768481978</v>
      </c>
      <c r="Z176" s="45" t="n"/>
      <c r="AA176" s="45" t="n"/>
      <c r="AB176" s="45" t="n">
        <v>0.940393596630943</v>
      </c>
      <c r="AC176" s="45" t="n">
        <v>0.818349753694581</v>
      </c>
      <c r="AD176" s="45" t="n">
        <v>0.813466787989081</v>
      </c>
      <c r="AE176" s="45" t="n">
        <v>0.802804545201359</v>
      </c>
      <c r="AF176" s="75">
        <f>IFERROR(AVERAGE(L176:U176),"")</f>
        <v/>
      </c>
      <c r="AG176" s="75">
        <f>IFERROR(AVERAGE(V176:AE176),"")</f>
        <v/>
      </c>
      <c r="AH176" s="75">
        <f>IFERROR(AVERAGE(B176:K176),"")</f>
        <v/>
      </c>
      <c r="AI176" s="45" t="n">
        <v>0.89178466796875</v>
      </c>
      <c r="AJ176" s="47" t="n">
        <v>0</v>
      </c>
    </row>
    <row r="177" ht="15" customHeight="1" s="30">
      <c r="A177" s="73" t="inlineStr">
        <is>
          <t>7593.jpg</t>
        </is>
      </c>
      <c r="B177" s="45" t="n"/>
      <c r="C177" s="45" t="n">
        <v>0.451469128950334</v>
      </c>
      <c r="D177" s="45" t="n">
        <v>0.0218335343787696</v>
      </c>
      <c r="E177" s="45" t="n">
        <v>0.675695759871776</v>
      </c>
      <c r="F177" s="45" t="n"/>
      <c r="G177" s="45" t="n"/>
      <c r="H177" s="45" t="n">
        <v>0.792804486169744</v>
      </c>
      <c r="I177" s="45" t="n">
        <v>0.6717299578059071</v>
      </c>
      <c r="J177" s="45" t="n">
        <v>0.725129844186976</v>
      </c>
      <c r="K177" s="45" t="n">
        <v>0.610427734268032</v>
      </c>
      <c r="L177" s="45" t="n"/>
      <c r="M177" s="45" t="n">
        <v>0.493011552518963</v>
      </c>
      <c r="N177" s="45" t="n">
        <v>0.989071038251366</v>
      </c>
      <c r="O177" s="45" t="n">
        <v>0.713189382055304</v>
      </c>
      <c r="P177" s="45" t="n"/>
      <c r="Q177" s="45" t="n"/>
      <c r="R177" s="45" t="n">
        <v>0.918786692759296</v>
      </c>
      <c r="S177" s="45" t="n">
        <v>0.754144954997632</v>
      </c>
      <c r="T177" s="45" t="n">
        <v>0.873015873015873</v>
      </c>
      <c r="U177" s="45" t="n">
        <v>0.802294779879647</v>
      </c>
      <c r="V177" s="45" t="n"/>
      <c r="W177" s="45" t="n">
        <v>0.842714971902176</v>
      </c>
      <c r="X177" s="45" t="n">
        <v>0.0218388030888031</v>
      </c>
      <c r="Y177" s="45" t="n">
        <v>0.927812568776135</v>
      </c>
      <c r="Z177" s="45" t="n"/>
      <c r="AA177" s="45" t="n"/>
      <c r="AB177" s="45" t="n">
        <v>0.852548987722579</v>
      </c>
      <c r="AC177" s="45" t="n">
        <v>0.860075634792004</v>
      </c>
      <c r="AD177" s="45" t="n">
        <v>0.810629745422064</v>
      </c>
      <c r="AE177" s="45" t="n">
        <v>0.718509063716769</v>
      </c>
      <c r="AF177" s="75">
        <f>IFERROR(AVERAGE(L177:U177),"")</f>
        <v/>
      </c>
      <c r="AG177" s="75">
        <f>IFERROR(AVERAGE(V177:AE177),"")</f>
        <v/>
      </c>
      <c r="AH177" s="75">
        <f>IFERROR(AVERAGE(B177:K177),"")</f>
        <v/>
      </c>
      <c r="AI177" s="45" t="n">
        <v>0.7469482421875</v>
      </c>
      <c r="AJ177" s="47" t="n">
        <v>0</v>
      </c>
    </row>
    <row r="178" ht="15" customHeight="1" s="30">
      <c r="A178" s="73" t="inlineStr">
        <is>
          <t>7595.jpg</t>
        </is>
      </c>
      <c r="B178" s="45" t="n"/>
      <c r="C178" s="45" t="n">
        <v>0.709350404410431</v>
      </c>
      <c r="D178" s="45" t="n">
        <v>0</v>
      </c>
      <c r="E178" s="45" t="n">
        <v>0.70678994593351</v>
      </c>
      <c r="F178" s="45" t="n"/>
      <c r="G178" s="45" t="n"/>
      <c r="H178" s="45" t="n">
        <v>0.820142098216214</v>
      </c>
      <c r="I178" s="45" t="n">
        <v>0.599715504978663</v>
      </c>
      <c r="J178" s="45" t="n">
        <v>0.542564102564103</v>
      </c>
      <c r="K178" s="45" t="n">
        <v>0.591310165490602</v>
      </c>
      <c r="L178" s="45" t="n"/>
      <c r="M178" s="45" t="n">
        <v>0.765444903230857</v>
      </c>
      <c r="N178" s="45" t="n"/>
      <c r="O178" s="45" t="n">
        <v>0.830595829531245</v>
      </c>
      <c r="P178" s="45" t="n"/>
      <c r="Q178" s="45" t="n"/>
      <c r="R178" s="45" t="n">
        <v>0.8933149860042811</v>
      </c>
      <c r="S178" s="45" t="n">
        <v>0.701264138389887</v>
      </c>
      <c r="T178" s="45" t="n">
        <v>0.854604200323102</v>
      </c>
      <c r="U178" s="45" t="n">
        <v>0.748350507229012</v>
      </c>
      <c r="V178" s="45" t="n"/>
      <c r="W178" s="45" t="n">
        <v>0.906362962276393</v>
      </c>
      <c r="X178" s="45" t="n">
        <v>0</v>
      </c>
      <c r="Y178" s="45" t="n">
        <v>0.825837127639913</v>
      </c>
      <c r="Z178" s="45" t="n"/>
      <c r="AA178" s="45" t="n"/>
      <c r="AB178" s="45" t="n">
        <v>0.909194287834716</v>
      </c>
      <c r="AC178" s="45" t="n">
        <v>0.805502483760031</v>
      </c>
      <c r="AD178" s="45" t="n">
        <v>0.59774011299435</v>
      </c>
      <c r="AE178" s="45" t="n">
        <v>0.738068602580869</v>
      </c>
      <c r="AF178" s="75">
        <f>IFERROR(AVERAGE(L178:U178),"")</f>
        <v/>
      </c>
      <c r="AG178" s="75">
        <f>IFERROR(AVERAGE(V178:AE178),"")</f>
        <v/>
      </c>
      <c r="AH178" s="75">
        <f>IFERROR(AVERAGE(B178:K178),"")</f>
        <v/>
      </c>
      <c r="AI178" s="45" t="n">
        <v>0.817230224609375</v>
      </c>
      <c r="AJ178" s="47" t="n">
        <v>0</v>
      </c>
    </row>
    <row r="179" ht="15" customHeight="1" s="30">
      <c r="A179" s="73" t="inlineStr">
        <is>
          <t>7604.jpg</t>
        </is>
      </c>
      <c r="B179" s="45" t="n"/>
      <c r="C179" s="45" t="n">
        <v>0.159059097978227</v>
      </c>
      <c r="D179" s="45" t="n">
        <v>0</v>
      </c>
      <c r="E179" s="45" t="n">
        <v>0.691471774193548</v>
      </c>
      <c r="F179" s="45" t="n">
        <v>0</v>
      </c>
      <c r="G179" s="45" t="n">
        <v>0.798472021474293</v>
      </c>
      <c r="H179" s="45" t="n">
        <v>0.754426255250658</v>
      </c>
      <c r="I179" s="45" t="n">
        <v>0.578902953586498</v>
      </c>
      <c r="J179" s="45" t="n">
        <v>0.474263088429389</v>
      </c>
      <c r="K179" s="45" t="n">
        <v>0.721150131292031</v>
      </c>
      <c r="L179" s="45" t="n"/>
      <c r="M179" s="45" t="n">
        <v>0.161533601832109</v>
      </c>
      <c r="N179" s="45" t="n"/>
      <c r="O179" s="45" t="n">
        <v>0.699995918034125</v>
      </c>
      <c r="P179" s="45" t="n">
        <v>0</v>
      </c>
      <c r="Q179" s="45" t="n">
        <v>0.88621519422482</v>
      </c>
      <c r="R179" s="45" t="n">
        <v>0.903481347406032</v>
      </c>
      <c r="S179" s="45" t="n">
        <v>0.650853889943074</v>
      </c>
      <c r="T179" s="45" t="n">
        <v>0.645122681029324</v>
      </c>
      <c r="U179" s="45" t="n">
        <v>0.824362054898086</v>
      </c>
      <c r="V179" s="45" t="n"/>
      <c r="W179" s="45" t="n">
        <v>0.912151616499443</v>
      </c>
      <c r="X179" s="45" t="n">
        <v>0</v>
      </c>
      <c r="Y179" s="45" t="n">
        <v>0.98269390561875</v>
      </c>
      <c r="Z179" s="45" t="n">
        <v>0</v>
      </c>
      <c r="AA179" s="45" t="n">
        <v>0.889681352812608</v>
      </c>
      <c r="AB179" s="45" t="n">
        <v>0.820559350982067</v>
      </c>
      <c r="AC179" s="45" t="n">
        <v>0.839657282741738</v>
      </c>
      <c r="AD179" s="45" t="n">
        <v>0.6416666666666671</v>
      </c>
      <c r="AE179" s="45" t="n">
        <v>0.852068487957354</v>
      </c>
      <c r="AF179" s="75">
        <f>IFERROR(AVERAGE(L179:U179),"")</f>
        <v/>
      </c>
      <c r="AG179" s="75">
        <f>IFERROR(AVERAGE(V179:AE179),"")</f>
        <v/>
      </c>
      <c r="AH179" s="75">
        <f>IFERROR(AVERAGE(B179:K179),"")</f>
        <v/>
      </c>
      <c r="AI179" s="45" t="n">
        <v>0.749397277832031</v>
      </c>
      <c r="AJ179" s="47" t="n">
        <v>0</v>
      </c>
    </row>
    <row r="180" ht="15" customHeight="1" s="30">
      <c r="A180" s="73" t="inlineStr">
        <is>
          <t>7605.jpg</t>
        </is>
      </c>
      <c r="B180" s="45" t="n"/>
      <c r="C180" s="45" t="n">
        <v>0</v>
      </c>
      <c r="D180" s="45" t="n">
        <v>0</v>
      </c>
      <c r="E180" s="45" t="n">
        <v>0.601810074844737</v>
      </c>
      <c r="F180" s="45" t="n"/>
      <c r="G180" s="45" t="n">
        <v>0.7548741580999651</v>
      </c>
      <c r="H180" s="45" t="n">
        <v>0.787840298065117</v>
      </c>
      <c r="I180" s="45" t="n">
        <v>0.532863849765258</v>
      </c>
      <c r="J180" s="45" t="n">
        <v>0.684184675834971</v>
      </c>
      <c r="K180" s="45" t="n">
        <v>0.747312237367689</v>
      </c>
      <c r="L180" s="45" t="n"/>
      <c r="M180" s="45" t="n">
        <v>0</v>
      </c>
      <c r="N180" s="45" t="n"/>
      <c r="O180" s="45" t="n">
        <v>0.66777594534103</v>
      </c>
      <c r="P180" s="45" t="n"/>
      <c r="Q180" s="45" t="n">
        <v>0.876337448559671</v>
      </c>
      <c r="R180" s="45" t="n">
        <v>0.852040660581825</v>
      </c>
      <c r="S180" s="45" t="n">
        <v>0.597368421052632</v>
      </c>
      <c r="T180" s="45" t="n">
        <v>0.733930453108535</v>
      </c>
      <c r="U180" s="45" t="n">
        <v>0.886718525394074</v>
      </c>
      <c r="V180" s="45" t="n"/>
      <c r="W180" s="45" t="n"/>
      <c r="X180" s="45" t="n">
        <v>0</v>
      </c>
      <c r="Y180" s="45" t="n">
        <v>0.858999128688866</v>
      </c>
      <c r="Z180" s="45" t="n"/>
      <c r="AA180" s="45" t="n">
        <v>0.844872049196588</v>
      </c>
      <c r="AB180" s="45" t="n">
        <v>0.912708663734611</v>
      </c>
      <c r="AC180" s="45" t="n">
        <v>0.831501831501832</v>
      </c>
      <c r="AD180" s="45" t="n">
        <v>0.90986283474853</v>
      </c>
      <c r="AE180" s="45" t="n">
        <v>0.826190111740395</v>
      </c>
      <c r="AF180" s="75">
        <f>IFERROR(AVERAGE(L180:U180),"")</f>
        <v/>
      </c>
      <c r="AG180" s="75">
        <f>IFERROR(AVERAGE(V180:AE180),"")</f>
        <v/>
      </c>
      <c r="AH180" s="75">
        <f>IFERROR(AVERAGE(B180:K180),"")</f>
        <v/>
      </c>
      <c r="AI180" s="45" t="n">
        <v>0.750785827636719</v>
      </c>
      <c r="AJ180" s="47" t="n">
        <v>0</v>
      </c>
    </row>
    <row r="181" ht="15" customHeight="1" s="30">
      <c r="A181" s="73" t="inlineStr">
        <is>
          <t>7611.jpg</t>
        </is>
      </c>
      <c r="B181" s="45" t="n">
        <v>0</v>
      </c>
      <c r="C181" s="45" t="n">
        <v>0.205306223654848</v>
      </c>
      <c r="D181" s="45" t="n">
        <v>0</v>
      </c>
      <c r="E181" s="45" t="n">
        <v>0.810375933540321</v>
      </c>
      <c r="F181" s="45" t="n">
        <v>0</v>
      </c>
      <c r="G181" s="45" t="n"/>
      <c r="H181" s="45" t="n">
        <v>0.811767566816434</v>
      </c>
      <c r="I181" s="45" t="n">
        <v>0.566961465571699</v>
      </c>
      <c r="J181" s="45" t="n">
        <v>0.642035652673951</v>
      </c>
      <c r="K181" s="45" t="n">
        <v>0.0217126303259763</v>
      </c>
      <c r="L181" s="45" t="n">
        <v>0</v>
      </c>
      <c r="M181" s="45" t="n">
        <v>0.970089593383873</v>
      </c>
      <c r="N181" s="45" t="n">
        <v>0</v>
      </c>
      <c r="O181" s="45" t="n">
        <v>0.933450933958389</v>
      </c>
      <c r="P181" s="45" t="n">
        <v>0</v>
      </c>
      <c r="Q181" s="45" t="n"/>
      <c r="R181" s="45" t="n">
        <v>0.873478287957137</v>
      </c>
      <c r="S181" s="45" t="n">
        <v>0.721463022508039</v>
      </c>
      <c r="T181" s="45" t="n">
        <v>0.800358422939068</v>
      </c>
      <c r="U181" s="45" t="n">
        <v>0.40524625267666</v>
      </c>
      <c r="V181" s="45" t="n"/>
      <c r="W181" s="45" t="n">
        <v>0.206614117750672</v>
      </c>
      <c r="X181" s="45" t="n"/>
      <c r="Y181" s="45" t="n">
        <v>0.860065903727123</v>
      </c>
      <c r="Z181" s="45" t="n"/>
      <c r="AA181" s="45" t="n"/>
      <c r="AB181" s="45" t="n">
        <v>0.919936484606703</v>
      </c>
      <c r="AC181" s="45" t="n">
        <v>0.725839061868176</v>
      </c>
      <c r="AD181" s="45" t="n">
        <v>0.764464224580623</v>
      </c>
      <c r="AE181" s="45" t="n">
        <v>0.0224273038351578</v>
      </c>
      <c r="AF181" s="75">
        <f>IFERROR(AVERAGE(L181:U181),"")</f>
        <v/>
      </c>
      <c r="AG181" s="75">
        <f>IFERROR(AVERAGE(V181:AE181),"")</f>
        <v/>
      </c>
      <c r="AH181" s="75">
        <f>IFERROR(AVERAGE(B181:K181),"")</f>
        <v/>
      </c>
      <c r="AI181" s="45" t="n">
        <v>0.489608764648438</v>
      </c>
      <c r="AJ181" s="47" t="n">
        <v>0</v>
      </c>
    </row>
    <row r="182" ht="15" customHeight="1" s="30">
      <c r="A182" s="73" t="inlineStr">
        <is>
          <t>7616.jpg</t>
        </is>
      </c>
      <c r="B182" s="45" t="n"/>
      <c r="C182" s="45" t="n">
        <v>0</v>
      </c>
      <c r="D182" s="45" t="n">
        <v>0.09901316733124881</v>
      </c>
      <c r="E182" s="45" t="n">
        <v>0.616981741799968</v>
      </c>
      <c r="F182" s="45" t="n">
        <v>0</v>
      </c>
      <c r="G182" s="45" t="n">
        <v>0</v>
      </c>
      <c r="H182" s="45" t="n">
        <v>0.719461924704541</v>
      </c>
      <c r="I182" s="45" t="n">
        <v>0.386498516320475</v>
      </c>
      <c r="J182" s="45" t="n">
        <v>0</v>
      </c>
      <c r="K182" s="45" t="n">
        <v>0.103064066852368</v>
      </c>
      <c r="L182" s="45" t="n"/>
      <c r="M182" s="45" t="n">
        <v>0</v>
      </c>
      <c r="N182" s="45" t="n">
        <v>0.831887201735358</v>
      </c>
      <c r="O182" s="45" t="n">
        <v>0.77411180376058</v>
      </c>
      <c r="P182" s="45" t="n">
        <v>0</v>
      </c>
      <c r="Q182" s="45" t="n">
        <v>0</v>
      </c>
      <c r="R182" s="45" t="n">
        <v>0.893927423309541</v>
      </c>
      <c r="S182" s="45" t="n">
        <v>0.455818022747157</v>
      </c>
      <c r="T182" s="45" t="n">
        <v>0</v>
      </c>
      <c r="U182" s="45" t="n">
        <v>0.573294850372171</v>
      </c>
      <c r="V182" s="45" t="n"/>
      <c r="W182" s="45" t="n"/>
      <c r="X182" s="45" t="n">
        <v>0.101034790626875</v>
      </c>
      <c r="Y182" s="45" t="n">
        <v>0.752450859648259</v>
      </c>
      <c r="Z182" s="45" t="n"/>
      <c r="AA182" s="45" t="n"/>
      <c r="AB182" s="45" t="n">
        <v>0.786615843791578</v>
      </c>
      <c r="AC182" s="45" t="n">
        <v>0.71763085399449</v>
      </c>
      <c r="AD182" s="45" t="n"/>
      <c r="AE182" s="45" t="n">
        <v>0.111627081546334</v>
      </c>
      <c r="AF182" s="75">
        <f>IFERROR(AVERAGE(L182:U182),"")</f>
        <v/>
      </c>
      <c r="AG182" s="75">
        <f>IFERROR(AVERAGE(V182:AE182),"")</f>
        <v/>
      </c>
      <c r="AH182" s="75">
        <f>IFERROR(AVERAGE(B182:K182),"")</f>
        <v/>
      </c>
      <c r="AI182" s="45" t="n">
        <v>0.427959442138672</v>
      </c>
      <c r="AJ182" s="47" t="n">
        <v>0</v>
      </c>
    </row>
    <row r="183" ht="15" customHeight="1" s="30">
      <c r="A183" s="73" t="inlineStr">
        <is>
          <t>7644.jpg</t>
        </is>
      </c>
      <c r="B183" s="45" t="n">
        <v>0</v>
      </c>
      <c r="C183" s="45" t="n"/>
      <c r="D183" s="45" t="n">
        <v>0.962349206349206</v>
      </c>
      <c r="E183" s="45" t="n"/>
      <c r="F183" s="45" t="n">
        <v>0.907361670782963</v>
      </c>
      <c r="G183" s="45" t="n"/>
      <c r="H183" s="45" t="n">
        <v>0.7717382967299879</v>
      </c>
      <c r="I183" s="45" t="n">
        <v>0.775055679287305</v>
      </c>
      <c r="J183" s="45" t="n"/>
      <c r="K183" s="45" t="n">
        <v>0.753375746559335</v>
      </c>
      <c r="L183" s="45" t="n">
        <v>0</v>
      </c>
      <c r="M183" s="45" t="n"/>
      <c r="N183" s="45" t="n">
        <v>0.966676233298256</v>
      </c>
      <c r="O183" s="45" t="n"/>
      <c r="P183" s="45" t="n">
        <v>0.958213981751791</v>
      </c>
      <c r="Q183" s="45" t="n"/>
      <c r="R183" s="45" t="n">
        <v>0.843509850496018</v>
      </c>
      <c r="S183" s="45" t="n">
        <v>0.787775891341256</v>
      </c>
      <c r="T183" s="45" t="n"/>
      <c r="U183" s="45" t="n">
        <v>0.883097117854085</v>
      </c>
      <c r="V183" s="45" t="n"/>
      <c r="W183" s="45" t="n"/>
      <c r="X183" s="45" t="n">
        <v>0.99537021835495</v>
      </c>
      <c r="Y183" s="45" t="n"/>
      <c r="Z183" s="45" t="n">
        <v>0.944743704265129</v>
      </c>
      <c r="AA183" s="45" t="n"/>
      <c r="AB183" s="45" t="n">
        <v>0.900695252588548</v>
      </c>
      <c r="AC183" s="45" t="n">
        <v>0.979591836734694</v>
      </c>
      <c r="AD183" s="45" t="n"/>
      <c r="AE183" s="45" t="n">
        <v>0.836833660831786</v>
      </c>
      <c r="AF183" s="75">
        <f>IFERROR(AVERAGE(L183:U183),"")</f>
        <v/>
      </c>
      <c r="AG183" s="75">
        <f>IFERROR(AVERAGE(V183:AE183),"")</f>
        <v/>
      </c>
      <c r="AH183" s="75">
        <f>IFERROR(AVERAGE(B183:K183),"")</f>
        <v/>
      </c>
      <c r="AI183" s="45" t="n">
        <v>0.928230285644531</v>
      </c>
      <c r="AJ183" s="47" t="n">
        <v>0</v>
      </c>
    </row>
    <row r="184" ht="15" customHeight="1" s="30">
      <c r="A184" s="73" t="inlineStr">
        <is>
          <t>7647.jpg</t>
        </is>
      </c>
      <c r="B184" s="45" t="n"/>
      <c r="C184" s="45" t="n"/>
      <c r="D184" s="45" t="n">
        <v>0.966346153846154</v>
      </c>
      <c r="E184" s="45" t="n"/>
      <c r="F184" s="45" t="n">
        <v>0.826293816463175</v>
      </c>
      <c r="G184" s="45" t="n"/>
      <c r="H184" s="45" t="n">
        <v>0.644170858043691</v>
      </c>
      <c r="I184" s="45" t="n">
        <v>0.869337148307105</v>
      </c>
      <c r="J184" s="45" t="n"/>
      <c r="K184" s="45" t="n">
        <v>0.6262630515325029</v>
      </c>
      <c r="L184" s="45" t="n"/>
      <c r="M184" s="45" t="n"/>
      <c r="N184" s="45" t="n">
        <v>0.976510688176687</v>
      </c>
      <c r="O184" s="45" t="n"/>
      <c r="P184" s="45" t="n">
        <v>0.971493665258946</v>
      </c>
      <c r="Q184" s="45" t="n"/>
      <c r="R184" s="45" t="n">
        <v>0.849225592557771</v>
      </c>
      <c r="S184" s="45" t="n">
        <v>0.992378878606424</v>
      </c>
      <c r="T184" s="45" t="n"/>
      <c r="U184" s="45" t="n">
        <v>0.663233458177278</v>
      </c>
      <c r="V184" s="45" t="n"/>
      <c r="W184" s="45" t="n"/>
      <c r="X184" s="45" t="n">
        <v>0.989343250464866</v>
      </c>
      <c r="Y184" s="45" t="n"/>
      <c r="Z184" s="45" t="n">
        <v>0.846825755618703</v>
      </c>
      <c r="AA184" s="45" t="n"/>
      <c r="AB184" s="45" t="n">
        <v>0.727357490993855</v>
      </c>
      <c r="AC184" s="45" t="n">
        <v>0.875180028804609</v>
      </c>
      <c r="AD184" s="45" t="n"/>
      <c r="AE184" s="45" t="n">
        <v>0.918266559664177</v>
      </c>
      <c r="AF184" s="75">
        <f>IFERROR(AVERAGE(L184:U184),"")</f>
        <v/>
      </c>
      <c r="AG184" s="75">
        <f>IFERROR(AVERAGE(V184:AE184),"")</f>
        <v/>
      </c>
      <c r="AH184" s="75">
        <f>IFERROR(AVERAGE(B184:K184),"")</f>
        <v/>
      </c>
      <c r="AI184" s="45" t="n">
        <v>0.884334564208984</v>
      </c>
      <c r="AJ184" s="47" t="n">
        <v>0</v>
      </c>
    </row>
    <row r="185" ht="15" customHeight="1" s="30">
      <c r="A185" s="73" t="inlineStr">
        <is>
          <t>7651.jpg</t>
        </is>
      </c>
      <c r="B185" s="45" t="n"/>
      <c r="C185" s="45" t="n"/>
      <c r="D185" s="45" t="n">
        <v>0.953449679210955</v>
      </c>
      <c r="E185" s="45" t="n"/>
      <c r="F185" s="45" t="n">
        <v>0.770416947376301</v>
      </c>
      <c r="G185" s="45" t="n"/>
      <c r="H185" s="45" t="n">
        <v>0.921289262985013</v>
      </c>
      <c r="I185" s="45" t="n">
        <v>0</v>
      </c>
      <c r="J185" s="45" t="n"/>
      <c r="K185" s="45" t="n">
        <v>0.7569069374753</v>
      </c>
      <c r="L185" s="45" t="n"/>
      <c r="M185" s="45" t="n"/>
      <c r="N185" s="45" t="n">
        <v>0.9858414089283279</v>
      </c>
      <c r="O185" s="45" t="n"/>
      <c r="P185" s="45" t="n">
        <v>0.917033680405285</v>
      </c>
      <c r="Q185" s="45" t="n"/>
      <c r="R185" s="45" t="n">
        <v>0.974759980885356</v>
      </c>
      <c r="S185" s="45" t="n">
        <v>0</v>
      </c>
      <c r="T185" s="45" t="n"/>
      <c r="U185" s="45" t="n">
        <v>0.813101425410384</v>
      </c>
      <c r="V185" s="45" t="n"/>
      <c r="W185" s="45" t="n"/>
      <c r="X185" s="45" t="n">
        <v>0.966686893203884</v>
      </c>
      <c r="Y185" s="45" t="n"/>
      <c r="Z185" s="45" t="n">
        <v>0.828139548249899</v>
      </c>
      <c r="AA185" s="45" t="n"/>
      <c r="AB185" s="45" t="n">
        <v>0.943804155800454</v>
      </c>
      <c r="AC185" s="45" t="n"/>
      <c r="AD185" s="45" t="n"/>
      <c r="AE185" s="45" t="n">
        <v>0.916332004349402</v>
      </c>
      <c r="AF185" s="75">
        <f>IFERROR(AVERAGE(L185:U185),"")</f>
        <v/>
      </c>
      <c r="AG185" s="75">
        <f>IFERROR(AVERAGE(V185:AE185),"")</f>
        <v/>
      </c>
      <c r="AH185" s="75">
        <f>IFERROR(AVERAGE(B185:K185),"")</f>
        <v/>
      </c>
      <c r="AI185" s="45" t="n">
        <v>0.905384063720703</v>
      </c>
      <c r="AJ185" s="47" t="n">
        <v>0</v>
      </c>
    </row>
    <row r="186" ht="15" customHeight="1" s="30">
      <c r="A186" s="73" t="inlineStr">
        <is>
          <t>7652.jpg</t>
        </is>
      </c>
      <c r="B186" s="45" t="n"/>
      <c r="C186" s="45" t="n"/>
      <c r="D186" s="45" t="n">
        <v>0.9518180068168181</v>
      </c>
      <c r="E186" s="45" t="n"/>
      <c r="F186" s="45" t="n">
        <v>0.851970072265775</v>
      </c>
      <c r="G186" s="45" t="n"/>
      <c r="H186" s="45" t="n">
        <v>0.819199108214714</v>
      </c>
      <c r="I186" s="45" t="n"/>
      <c r="J186" s="45" t="n"/>
      <c r="K186" s="45" t="n">
        <v>0.821323350242563</v>
      </c>
      <c r="L186" s="45" t="n"/>
      <c r="M186" s="45" t="n"/>
      <c r="N186" s="45" t="n">
        <v>0.962267606923711</v>
      </c>
      <c r="O186" s="45" t="n"/>
      <c r="P186" s="45" t="n">
        <v>0.882692205936822</v>
      </c>
      <c r="Q186" s="45" t="n"/>
      <c r="R186" s="45" t="n">
        <v>0.8883258170998189</v>
      </c>
      <c r="S186" s="45" t="n"/>
      <c r="T186" s="45" t="n"/>
      <c r="U186" s="45" t="n">
        <v>0.954522635704815</v>
      </c>
      <c r="V186" s="45" t="n"/>
      <c r="W186" s="45" t="n"/>
      <c r="X186" s="45" t="n">
        <v>0.988719637710992</v>
      </c>
      <c r="Y186" s="45" t="n"/>
      <c r="Z186" s="45" t="n">
        <v>0.960751000662309</v>
      </c>
      <c r="AA186" s="45" t="n"/>
      <c r="AB186" s="45" t="n">
        <v>0.913249211356467</v>
      </c>
      <c r="AC186" s="45" t="n"/>
      <c r="AD186" s="45" t="n"/>
      <c r="AE186" s="45" t="n">
        <v>0.854771592913213</v>
      </c>
      <c r="AF186" s="75">
        <f>IFERROR(AVERAGE(L186:U186),"")</f>
        <v/>
      </c>
      <c r="AG186" s="75">
        <f>IFERROR(AVERAGE(V186:AE186),"")</f>
        <v/>
      </c>
      <c r="AH186" s="75">
        <f>IFERROR(AVERAGE(B186:K186),"")</f>
        <v/>
      </c>
      <c r="AI186" s="45" t="n">
        <v>0.930957794189453</v>
      </c>
      <c r="AJ186" s="47" t="n">
        <v>0</v>
      </c>
    </row>
    <row r="187" ht="15" customHeight="1" s="30">
      <c r="A187" s="73" t="inlineStr">
        <is>
          <t>7658.jpg</t>
        </is>
      </c>
      <c r="B187" s="45" t="n">
        <v>0.366689750692521</v>
      </c>
      <c r="C187" s="45" t="n"/>
      <c r="D187" s="45" t="n"/>
      <c r="E187" s="45" t="n"/>
      <c r="F187" s="45" t="n">
        <v>0.943823167378153</v>
      </c>
      <c r="G187" s="45" t="n"/>
      <c r="H187" s="45" t="n">
        <v>0.914013815757693</v>
      </c>
      <c r="I187" s="45" t="n">
        <v>0.760245901639344</v>
      </c>
      <c r="J187" s="45" t="n"/>
      <c r="K187" s="45" t="n">
        <v>0.967304488040849</v>
      </c>
      <c r="L187" s="45" t="n">
        <v>0.6107266435986159</v>
      </c>
      <c r="M187" s="45" t="n"/>
      <c r="N187" s="45" t="n"/>
      <c r="O187" s="45" t="n"/>
      <c r="P187" s="45" t="n">
        <v>0.977646356681678</v>
      </c>
      <c r="Q187" s="45" t="n"/>
      <c r="R187" s="45" t="n">
        <v>0.968222290451336</v>
      </c>
      <c r="S187" s="45" t="n">
        <v>0.909313725490196</v>
      </c>
      <c r="T187" s="45" t="n"/>
      <c r="U187" s="45" t="n">
        <v>0.977783935324032</v>
      </c>
      <c r="V187" s="45" t="n">
        <v>0.478535924084953</v>
      </c>
      <c r="W187" s="45" t="n"/>
      <c r="X187" s="45" t="n"/>
      <c r="Y187" s="45" t="n"/>
      <c r="Z187" s="45" t="n">
        <v>0.964640381166519</v>
      </c>
      <c r="AA187" s="45" t="n"/>
      <c r="AB187" s="45" t="n">
        <v>0.942280876494024</v>
      </c>
      <c r="AC187" s="45" t="n">
        <v>0.822616407982262</v>
      </c>
      <c r="AD187" s="45" t="n"/>
      <c r="AE187" s="45" t="n">
        <v>0.98904160781706</v>
      </c>
      <c r="AF187" s="75">
        <f>IFERROR(AVERAGE(L187:U187),"")</f>
        <v/>
      </c>
      <c r="AG187" s="75">
        <f>IFERROR(AVERAGE(V187:AE187),"")</f>
        <v/>
      </c>
      <c r="AH187" s="75">
        <f>IFERROR(AVERAGE(B187:K187),"")</f>
        <v/>
      </c>
      <c r="AI187" s="45" t="n">
        <v>0.973804473876953</v>
      </c>
      <c r="AJ187" s="47" t="n">
        <v>0</v>
      </c>
    </row>
    <row r="188" ht="15" customHeight="1" s="30">
      <c r="A188" s="73" t="inlineStr">
        <is>
          <t>7666.jpg</t>
        </is>
      </c>
      <c r="B188" s="45" t="n"/>
      <c r="C188" s="45" t="n"/>
      <c r="D188" s="45" t="n"/>
      <c r="E188" s="45" t="n"/>
      <c r="F188" s="45" t="n"/>
      <c r="G188" s="45" t="n">
        <v>0.937934525818427</v>
      </c>
      <c r="H188" s="45" t="n">
        <v>0.827414537006306</v>
      </c>
      <c r="I188" s="45" t="n"/>
      <c r="J188" s="45" t="n"/>
      <c r="K188" s="45" t="n">
        <v>0.979428526625798</v>
      </c>
      <c r="L188" s="45" t="n"/>
      <c r="M188" s="45" t="n"/>
      <c r="N188" s="45" t="n"/>
      <c r="O188" s="45" t="n"/>
      <c r="P188" s="45" t="n"/>
      <c r="Q188" s="45" t="n">
        <v>0.990060562878518</v>
      </c>
      <c r="R188" s="45" t="n">
        <v>0.997998398718975</v>
      </c>
      <c r="S188" s="45" t="n"/>
      <c r="T188" s="45" t="n"/>
      <c r="U188" s="45" t="n">
        <v>0.982138118777825</v>
      </c>
      <c r="V188" s="45" t="n"/>
      <c r="W188" s="45" t="n"/>
      <c r="X188" s="45" t="n"/>
      <c r="Y188" s="45" t="n"/>
      <c r="Z188" s="45" t="n"/>
      <c r="AA188" s="45" t="n">
        <v>0.9468501924977</v>
      </c>
      <c r="AB188" s="45" t="n">
        <v>0.828789893617021</v>
      </c>
      <c r="AC188" s="45" t="n"/>
      <c r="AD188" s="45" t="n"/>
      <c r="AE188" s="45" t="n">
        <v>0.997191095323149</v>
      </c>
      <c r="AF188" s="75">
        <f>IFERROR(AVERAGE(L188:U188),"")</f>
        <v/>
      </c>
      <c r="AG188" s="75">
        <f>IFERROR(AVERAGE(V188:AE188),"")</f>
        <v/>
      </c>
      <c r="AH188" s="75">
        <f>IFERROR(AVERAGE(B188:K188),"")</f>
        <v/>
      </c>
      <c r="AI188" s="45" t="n">
        <v>0.983985900878906</v>
      </c>
      <c r="AJ188" s="47" t="n">
        <v>0</v>
      </c>
    </row>
    <row r="189" ht="15" customHeight="1" s="30">
      <c r="A189" s="73" t="inlineStr">
        <is>
          <t>7684.jpg</t>
        </is>
      </c>
      <c r="B189" s="45" t="n">
        <v>0</v>
      </c>
      <c r="C189" s="45" t="n"/>
      <c r="D189" s="45" t="n">
        <v>0.934848289218851</v>
      </c>
      <c r="E189" s="45" t="n"/>
      <c r="F189" s="45" t="n">
        <v>0.8751692344604211</v>
      </c>
      <c r="G189" s="45" t="n">
        <v>0.9634006605405649</v>
      </c>
      <c r="H189" s="45" t="n">
        <v>0.727920153870146</v>
      </c>
      <c r="I189" s="45" t="n">
        <v>0.795454545454545</v>
      </c>
      <c r="J189" s="45" t="n"/>
      <c r="K189" s="45" t="n">
        <v>0.856589507196392</v>
      </c>
      <c r="L189" s="45" t="n"/>
      <c r="M189" s="45" t="n"/>
      <c r="N189" s="45" t="n">
        <v>0.9736824410645371</v>
      </c>
      <c r="O189" s="45" t="n"/>
      <c r="P189" s="45" t="n">
        <v>0.90296171868093</v>
      </c>
      <c r="Q189" s="45" t="n">
        <v>0.99932415111049</v>
      </c>
      <c r="R189" s="45" t="n">
        <v>0.851297951243237</v>
      </c>
      <c r="S189" s="45" t="n">
        <v>0.981963927855711</v>
      </c>
      <c r="T189" s="45" t="n"/>
      <c r="U189" s="45" t="n">
        <v>0.911135568348572</v>
      </c>
      <c r="V189" s="45" t="n">
        <v>0</v>
      </c>
      <c r="W189" s="45" t="n"/>
      <c r="X189" s="45" t="n">
        <v>0.959082299021101</v>
      </c>
      <c r="Y189" s="45" t="n"/>
      <c r="Z189" s="45" t="n">
        <v>0.966025386376104</v>
      </c>
      <c r="AA189" s="45" t="n">
        <v>0.964028776978417</v>
      </c>
      <c r="AB189" s="45" t="n">
        <v>0.833958668334227</v>
      </c>
      <c r="AC189" s="45" t="n">
        <v>0.807248764415157</v>
      </c>
      <c r="AD189" s="45" t="n"/>
      <c r="AE189" s="45" t="n">
        <v>0.93467656722683</v>
      </c>
      <c r="AF189" s="75">
        <f>IFERROR(AVERAGE(L189:U189),"")</f>
        <v/>
      </c>
      <c r="AG189" s="75">
        <f>IFERROR(AVERAGE(V189:AE189),"")</f>
        <v/>
      </c>
      <c r="AH189" s="75">
        <f>IFERROR(AVERAGE(B189:K189),"")</f>
        <v/>
      </c>
      <c r="AI189" s="45" t="n">
        <v>0.9380645751953131</v>
      </c>
      <c r="AJ189" s="47" t="n">
        <v>0</v>
      </c>
    </row>
    <row r="190" ht="15" customHeight="1" s="30">
      <c r="A190" s="73" t="inlineStr">
        <is>
          <t>7689.jpg</t>
        </is>
      </c>
      <c r="B190" s="45" t="n"/>
      <c r="C190" s="45" t="n"/>
      <c r="D190" s="45" t="n">
        <v>0.96900741067247</v>
      </c>
      <c r="E190" s="45" t="n"/>
      <c r="F190" s="45" t="n">
        <v>0.8756958657388459</v>
      </c>
      <c r="G190" s="45" t="n"/>
      <c r="H190" s="45" t="n">
        <v>0.655200498251329</v>
      </c>
      <c r="I190" s="45" t="n">
        <v>0</v>
      </c>
      <c r="J190" s="45" t="n"/>
      <c r="K190" s="45" t="n">
        <v>0.811841163087911</v>
      </c>
      <c r="L190" s="45" t="n"/>
      <c r="M190" s="45" t="n"/>
      <c r="N190" s="45" t="n">
        <v>0.9809521153470731</v>
      </c>
      <c r="O190" s="45" t="n"/>
      <c r="P190" s="45" t="n">
        <v>0.973792616869225</v>
      </c>
      <c r="Q190" s="45" t="n"/>
      <c r="R190" s="45" t="n">
        <v>0.7662483191393989</v>
      </c>
      <c r="S190" s="45" t="n">
        <v>0</v>
      </c>
      <c r="T190" s="45" t="n"/>
      <c r="U190" s="45" t="n">
        <v>0.876519288356526</v>
      </c>
      <c r="V190" s="45" t="n"/>
      <c r="W190" s="45" t="n"/>
      <c r="X190" s="45" t="n">
        <v>0.987589847259659</v>
      </c>
      <c r="Y190" s="45" t="n"/>
      <c r="Z190" s="45" t="n">
        <v>0.896831801460956</v>
      </c>
      <c r="AA190" s="45" t="n"/>
      <c r="AB190" s="45" t="n">
        <v>0.818873121369978</v>
      </c>
      <c r="AC190" s="45" t="n"/>
      <c r="AD190" s="45" t="n"/>
      <c r="AE190" s="45" t="n">
        <v>0.916681165501643</v>
      </c>
      <c r="AF190" s="75">
        <f>IFERROR(AVERAGE(L190:U190),"")</f>
        <v/>
      </c>
      <c r="AG190" s="75">
        <f>IFERROR(AVERAGE(V190:AE190),"")</f>
        <v/>
      </c>
      <c r="AH190" s="75">
        <f>IFERROR(AVERAGE(B190:K190),"")</f>
        <v/>
      </c>
      <c r="AI190" s="45" t="n">
        <v>0.906627655029297</v>
      </c>
      <c r="AJ190" s="47" t="n">
        <v>0</v>
      </c>
    </row>
    <row r="191" ht="15" customHeight="1" s="30">
      <c r="A191" s="73" t="inlineStr">
        <is>
          <t>7690.jpg</t>
        </is>
      </c>
      <c r="B191" s="45" t="n"/>
      <c r="C191" s="45" t="n"/>
      <c r="D191" s="45" t="n">
        <v>0.985410094637224</v>
      </c>
      <c r="E191" s="45" t="n"/>
      <c r="F191" s="45" t="n">
        <v>0.927538595346815</v>
      </c>
      <c r="G191" s="45" t="n">
        <v>0.976279023017389</v>
      </c>
      <c r="H191" s="45" t="n">
        <v>0.769605301715393</v>
      </c>
      <c r="I191" s="45" t="n">
        <v>0.884488448844885</v>
      </c>
      <c r="J191" s="45" t="n"/>
      <c r="K191" s="45" t="n">
        <v>0.841988817411171</v>
      </c>
      <c r="L191" s="45" t="n"/>
      <c r="M191" s="45" t="n"/>
      <c r="N191" s="45" t="n">
        <v>0.995441267593166</v>
      </c>
      <c r="O191" s="45" t="n"/>
      <c r="P191" s="45" t="n">
        <v>0.9695850439674401</v>
      </c>
      <c r="Q191" s="45" t="n">
        <v>0.992743254292723</v>
      </c>
      <c r="R191" s="45" t="n">
        <v>0.907356224088445</v>
      </c>
      <c r="S191" s="45" t="n">
        <v>0.98348623853211</v>
      </c>
      <c r="T191" s="45" t="n"/>
      <c r="U191" s="45" t="n">
        <v>0.885953591943116</v>
      </c>
      <c r="V191" s="45" t="n"/>
      <c r="W191" s="45" t="n"/>
      <c r="X191" s="45" t="n">
        <v>0.989877206108886</v>
      </c>
      <c r="Y191" s="45" t="n"/>
      <c r="Z191" s="45" t="n">
        <v>0.9553350223254899</v>
      </c>
      <c r="AA191" s="45" t="n">
        <v>0.983296213808463</v>
      </c>
      <c r="AB191" s="45" t="n">
        <v>0.835237419575801</v>
      </c>
      <c r="AC191" s="45" t="n">
        <v>0.897822445561139</v>
      </c>
      <c r="AD191" s="45" t="n"/>
      <c r="AE191" s="45" t="n">
        <v>0.9443432994834861</v>
      </c>
      <c r="AF191" s="75">
        <f>IFERROR(AVERAGE(L191:U191),"")</f>
        <v/>
      </c>
      <c r="AG191" s="75">
        <f>IFERROR(AVERAGE(V191:AE191),"")</f>
        <v/>
      </c>
      <c r="AH191" s="75">
        <f>IFERROR(AVERAGE(B191:K191),"")</f>
        <v/>
      </c>
      <c r="AI191" s="45" t="n">
        <v>0.942516326904297</v>
      </c>
      <c r="AJ191" s="47" t="n">
        <v>0</v>
      </c>
    </row>
    <row r="192" ht="15" customHeight="1" s="30">
      <c r="A192" s="73" t="inlineStr">
        <is>
          <t>7698.jpg</t>
        </is>
      </c>
      <c r="B192" s="45" t="n"/>
      <c r="C192" s="45" t="n"/>
      <c r="D192" s="45" t="n">
        <v>0.912477079285147</v>
      </c>
      <c r="E192" s="45" t="n"/>
      <c r="F192" s="45" t="n">
        <v>0.949906585707613</v>
      </c>
      <c r="G192" s="45" t="n">
        <v>0.992622919456667</v>
      </c>
      <c r="H192" s="45" t="n">
        <v>0</v>
      </c>
      <c r="I192" s="45" t="n"/>
      <c r="J192" s="45" t="n"/>
      <c r="K192" s="45" t="n">
        <v>0.941807667359302</v>
      </c>
      <c r="L192" s="45" t="n"/>
      <c r="M192" s="45" t="n"/>
      <c r="N192" s="45" t="n">
        <v>0.960171639212072</v>
      </c>
      <c r="O192" s="45" t="n"/>
      <c r="P192" s="45" t="n">
        <v>0.966152019002375</v>
      </c>
      <c r="Q192" s="45" t="n">
        <v>1</v>
      </c>
      <c r="R192" s="45" t="n">
        <v>0</v>
      </c>
      <c r="S192" s="45" t="n"/>
      <c r="T192" s="45" t="n"/>
      <c r="U192" s="45" t="n">
        <v>0.967004187973405</v>
      </c>
      <c r="V192" s="45" t="n"/>
      <c r="W192" s="45" t="n"/>
      <c r="X192" s="45" t="n">
        <v>0.94837296620776</v>
      </c>
      <c r="Y192" s="45" t="n"/>
      <c r="Z192" s="45" t="n">
        <v>0.982606594999396</v>
      </c>
      <c r="AA192" s="45" t="n">
        <v>0.992622919456667</v>
      </c>
      <c r="AB192" s="45" t="n"/>
      <c r="AC192" s="45" t="n"/>
      <c r="AD192" s="45" t="n"/>
      <c r="AE192" s="45" t="n">
        <v>0.973078583274644</v>
      </c>
      <c r="AF192" s="75">
        <f>IFERROR(AVERAGE(L192:U192),"")</f>
        <v/>
      </c>
      <c r="AG192" s="75">
        <f>IFERROR(AVERAGE(V192:AE192),"")</f>
        <v/>
      </c>
      <c r="AH192" s="75">
        <f>IFERROR(AVERAGE(B192:K192),"")</f>
        <v/>
      </c>
      <c r="AI192" s="45" t="n">
        <v>0.979808807373047</v>
      </c>
      <c r="AJ192" s="47" t="n">
        <v>0</v>
      </c>
    </row>
    <row r="193" ht="15" customHeight="1" s="30">
      <c r="A193" s="73" t="inlineStr">
        <is>
          <t>7708.jpg</t>
        </is>
      </c>
      <c r="B193" s="45" t="n">
        <v>0.320494699646643</v>
      </c>
      <c r="C193" s="45" t="n"/>
      <c r="D193" s="45" t="n"/>
      <c r="E193" s="45" t="n"/>
      <c r="F193" s="45" t="n"/>
      <c r="G193" s="45" t="n">
        <v>0.980554557627617</v>
      </c>
      <c r="H193" s="45" t="n"/>
      <c r="I193" s="45" t="n"/>
      <c r="J193" s="45" t="n"/>
      <c r="K193" s="45" t="n">
        <v>0.955903130877708</v>
      </c>
      <c r="L193" s="45" t="n">
        <v>0.382539013074652</v>
      </c>
      <c r="M193" s="45" t="n"/>
      <c r="N193" s="45" t="n"/>
      <c r="O193" s="45" t="n"/>
      <c r="P193" s="45" t="n"/>
      <c r="Q193" s="45" t="n">
        <v>0.99999333861803</v>
      </c>
      <c r="R193" s="45" t="n"/>
      <c r="S193" s="45" t="n"/>
      <c r="T193" s="45" t="n"/>
      <c r="U193" s="45" t="n">
        <v>0.968674193371879</v>
      </c>
      <c r="V193" s="45" t="n">
        <v>0.6639824304538799</v>
      </c>
      <c r="W193" s="45" t="n"/>
      <c r="X193" s="45" t="n"/>
      <c r="Y193" s="45" t="n"/>
      <c r="Z193" s="45" t="n"/>
      <c r="AA193" s="45" t="n">
        <v>0.980560962545887</v>
      </c>
      <c r="AB193" s="45" t="n"/>
      <c r="AC193" s="45" t="n"/>
      <c r="AD193" s="45" t="n"/>
      <c r="AE193" s="45" t="n">
        <v>0.9863953790721</v>
      </c>
      <c r="AF193" s="75">
        <f>IFERROR(AVERAGE(L193:U193),"")</f>
        <v/>
      </c>
      <c r="AG193" s="75">
        <f>IFERROR(AVERAGE(V193:AE193),"")</f>
        <v/>
      </c>
      <c r="AH193" s="75">
        <f>IFERROR(AVERAGE(B193:K193),"")</f>
        <v/>
      </c>
      <c r="AI193" s="45" t="n">
        <v>0.9813079833984381</v>
      </c>
      <c r="AJ193" s="47" t="n">
        <v>0</v>
      </c>
    </row>
    <row r="194" ht="15" customHeight="1" s="30">
      <c r="A194" s="73" t="inlineStr">
        <is>
          <t>7723.jpg</t>
        </is>
      </c>
      <c r="B194" s="45" t="n"/>
      <c r="C194" s="45" t="n"/>
      <c r="D194" s="45" t="n">
        <v>0.903693632449581</v>
      </c>
      <c r="E194" s="45" t="n"/>
      <c r="F194" s="45" t="n"/>
      <c r="G194" s="45" t="n">
        <v>0.932606498962932</v>
      </c>
      <c r="H194" s="45" t="n">
        <v>0.549683903387907</v>
      </c>
      <c r="I194" s="45" t="n"/>
      <c r="J194" s="45" t="n">
        <v>0.647887323943662</v>
      </c>
      <c r="K194" s="45" t="n">
        <v>0.925729670195191</v>
      </c>
      <c r="L194" s="45" t="n"/>
      <c r="M194" s="45" t="n"/>
      <c r="N194" s="45" t="n">
        <v>0.93134049509575</v>
      </c>
      <c r="O194" s="45" t="n"/>
      <c r="P194" s="45" t="n"/>
      <c r="Q194" s="45" t="n">
        <v>0.960802577364776</v>
      </c>
      <c r="R194" s="45" t="n">
        <v>0.749226690234202</v>
      </c>
      <c r="S194" s="45" t="n"/>
      <c r="T194" s="45" t="n">
        <v>0.660287081339713</v>
      </c>
      <c r="U194" s="45" t="n">
        <v>0.961530394991897</v>
      </c>
      <c r="V194" s="45" t="n"/>
      <c r="W194" s="45" t="n"/>
      <c r="X194" s="45" t="n">
        <v>0.968196164117504</v>
      </c>
      <c r="Y194" s="45" t="n"/>
      <c r="Z194" s="45" t="n"/>
      <c r="AA194" s="45" t="n">
        <v>0.96949291227139</v>
      </c>
      <c r="AB194" s="45" t="n">
        <v>0.673619388160509</v>
      </c>
      <c r="AC194" s="45" t="n"/>
      <c r="AD194" s="45" t="n">
        <v>0.971830985915493</v>
      </c>
      <c r="AE194" s="45" t="n">
        <v>0.961334883750485</v>
      </c>
      <c r="AF194" s="75">
        <f>IFERROR(AVERAGE(L194:U194),"")</f>
        <v/>
      </c>
      <c r="AG194" s="75">
        <f>IFERROR(AVERAGE(V194:AE194),"")</f>
        <v/>
      </c>
      <c r="AH194" s="75">
        <f>IFERROR(AVERAGE(B194:K194),"")</f>
        <v/>
      </c>
      <c r="AI194" s="45" t="n">
        <v>0.953212738037109</v>
      </c>
      <c r="AJ194" s="47" t="n">
        <v>0</v>
      </c>
    </row>
    <row r="195" ht="15" customHeight="1" s="30">
      <c r="A195" s="73" t="inlineStr">
        <is>
          <t>7730.jpg</t>
        </is>
      </c>
      <c r="B195" s="45" t="n">
        <v>0.974627915688299</v>
      </c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>
        <v>0.982138033061041</v>
      </c>
      <c r="L195" s="45" t="n">
        <v>0.989573090409841</v>
      </c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>
        <v>0.989290295828852</v>
      </c>
      <c r="V195" s="45" t="n">
        <v>0.98474064637625</v>
      </c>
      <c r="W195" s="45" t="n"/>
      <c r="X195" s="45" t="n"/>
      <c r="Y195" s="45" t="n"/>
      <c r="Z195" s="45" t="n"/>
      <c r="AA195" s="45" t="n"/>
      <c r="AB195" s="45" t="n"/>
      <c r="AC195" s="45" t="n"/>
      <c r="AD195" s="45" t="n"/>
      <c r="AE195" s="45" t="n">
        <v>0.99269261525059</v>
      </c>
      <c r="AF195" s="75">
        <f>IFERROR(AVERAGE(L195:U195),"")</f>
        <v/>
      </c>
      <c r="AG195" s="75">
        <f>IFERROR(AVERAGE(V195:AE195),"")</f>
        <v/>
      </c>
      <c r="AH195" s="75">
        <f>IFERROR(AVERAGE(B195:K195),"")</f>
        <v/>
      </c>
      <c r="AI195" s="45" t="n">
        <v>0.989406585693359</v>
      </c>
      <c r="AJ195" s="47" t="n">
        <v>0</v>
      </c>
    </row>
    <row r="196" ht="15" customHeight="1" s="30">
      <c r="A196" s="73" t="inlineStr">
        <is>
          <t>7733.jpg</t>
        </is>
      </c>
      <c r="B196" s="45" t="n">
        <v>0.984285003592947</v>
      </c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>
        <v>0.966185758292993</v>
      </c>
      <c r="L196" s="45" t="n">
        <v>0.985990907933133</v>
      </c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>
        <v>0.99616172268753</v>
      </c>
      <c r="V196" s="45" t="n">
        <v>0.998245318981949</v>
      </c>
      <c r="W196" s="45" t="n"/>
      <c r="X196" s="45" t="n"/>
      <c r="Y196" s="45" t="n"/>
      <c r="Z196" s="45" t="n"/>
      <c r="AA196" s="45" t="n"/>
      <c r="AB196" s="45" t="n"/>
      <c r="AC196" s="45" t="n"/>
      <c r="AD196" s="45" t="n"/>
      <c r="AE196" s="45" t="n">
        <v>0.969796093787307</v>
      </c>
      <c r="AF196" s="75">
        <f>IFERROR(AVERAGE(L196:U196),"")</f>
        <v/>
      </c>
      <c r="AG196" s="75">
        <f>IFERROR(AVERAGE(V196:AE196),"")</f>
        <v/>
      </c>
      <c r="AH196" s="75">
        <f>IFERROR(AVERAGE(B196:K196),"")</f>
        <v/>
      </c>
      <c r="AI196" s="45" t="n">
        <v>0.989154815673828</v>
      </c>
      <c r="AJ196" s="47" t="n">
        <v>0</v>
      </c>
    </row>
    <row r="197" ht="15" customHeight="1" s="30">
      <c r="A197" s="73" t="inlineStr">
        <is>
          <t>7740.jpg</t>
        </is>
      </c>
      <c r="B197" s="45" t="n">
        <v>0.993032737342989</v>
      </c>
      <c r="C197" s="45" t="n"/>
      <c r="D197" s="45" t="n"/>
      <c r="E197" s="45" t="n"/>
      <c r="F197" s="45" t="n">
        <v>0</v>
      </c>
      <c r="G197" s="45" t="n"/>
      <c r="H197" s="45" t="n"/>
      <c r="I197" s="45" t="n"/>
      <c r="J197" s="45" t="n"/>
      <c r="K197" s="45" t="n">
        <v>0.984057579405046</v>
      </c>
      <c r="L197" s="45" t="n">
        <v>0.9992204216357879</v>
      </c>
      <c r="M197" s="45" t="n"/>
      <c r="N197" s="45" t="n"/>
      <c r="O197" s="45" t="n"/>
      <c r="P197" s="45" t="n">
        <v>0</v>
      </c>
      <c r="Q197" s="45" t="n"/>
      <c r="R197" s="45" t="n"/>
      <c r="S197" s="45" t="n"/>
      <c r="T197" s="45" t="n"/>
      <c r="U197" s="45" t="n">
        <v>0.986128718598841</v>
      </c>
      <c r="V197" s="45" t="n">
        <v>0.993802686785481</v>
      </c>
      <c r="W197" s="45" t="n"/>
      <c r="X197" s="45" t="n"/>
      <c r="Y197" s="45" t="n"/>
      <c r="Z197" s="45" t="n"/>
      <c r="AA197" s="45" t="n"/>
      <c r="AB197" s="45" t="n"/>
      <c r="AC197" s="45" t="n"/>
      <c r="AD197" s="45" t="n"/>
      <c r="AE197" s="45" t="n">
        <v>0.997870246976623</v>
      </c>
      <c r="AF197" s="75">
        <f>IFERROR(AVERAGE(L197:U197),"")</f>
        <v/>
      </c>
      <c r="AG197" s="75">
        <f>IFERROR(AVERAGE(V197:AE197),"")</f>
        <v/>
      </c>
      <c r="AH197" s="75">
        <f>IFERROR(AVERAGE(B197:K197),"")</f>
        <v/>
      </c>
      <c r="AI197" s="45" t="n">
        <v>0.995048522949219</v>
      </c>
      <c r="AJ197" s="47" t="n">
        <v>0</v>
      </c>
    </row>
    <row r="198" ht="15" customHeight="1" s="30">
      <c r="A198" s="73" t="inlineStr">
        <is>
          <t>7755.jpg</t>
        </is>
      </c>
      <c r="B198" s="45" t="n"/>
      <c r="C198" s="45" t="n"/>
      <c r="D198" s="45" t="n"/>
      <c r="E198" s="45" t="n"/>
      <c r="F198" s="45" t="n"/>
      <c r="G198" s="45" t="n">
        <v>0.969444959229059</v>
      </c>
      <c r="H198" s="45" t="n">
        <v>0.6390653822504609</v>
      </c>
      <c r="I198" s="45" t="n"/>
      <c r="J198" s="45" t="n"/>
      <c r="K198" s="45" t="n">
        <v>0</v>
      </c>
      <c r="L198" s="45" t="n"/>
      <c r="M198" s="45" t="n"/>
      <c r="N198" s="45" t="n"/>
      <c r="O198" s="45" t="n"/>
      <c r="P198" s="45" t="n"/>
      <c r="Q198" s="45" t="n">
        <v>0.998544500119303</v>
      </c>
      <c r="R198" s="45" t="n">
        <v>0.693659621802002</v>
      </c>
      <c r="S198" s="45" t="n"/>
      <c r="T198" s="45" t="n"/>
      <c r="U198" s="45" t="n">
        <v>0</v>
      </c>
      <c r="V198" s="45" t="n"/>
      <c r="W198" s="45" t="n"/>
      <c r="X198" s="45" t="n"/>
      <c r="Y198" s="45" t="n"/>
      <c r="Z198" s="45" t="n"/>
      <c r="AA198" s="45" t="n">
        <v>0.970816804695293</v>
      </c>
      <c r="AB198" s="45" t="n">
        <v>0.8903483723586521</v>
      </c>
      <c r="AC198" s="45" t="n"/>
      <c r="AD198" s="45" t="n"/>
      <c r="AE198" s="45" t="n"/>
      <c r="AF198" s="75">
        <f>IFERROR(AVERAGE(L198:U198),"")</f>
        <v/>
      </c>
      <c r="AG198" s="75">
        <f>IFERROR(AVERAGE(V198:AE198),"")</f>
        <v/>
      </c>
      <c r="AH198" s="75">
        <f>IFERROR(AVERAGE(B198:K198),"")</f>
        <v/>
      </c>
      <c r="AI198" s="45" t="n">
        <v>0.9697418212890631</v>
      </c>
      <c r="AJ198" s="47" t="n">
        <v>0</v>
      </c>
    </row>
    <row r="199" ht="15" customHeight="1" s="30">
      <c r="A199" s="73" t="inlineStr">
        <is>
          <t>7758.jpg</t>
        </is>
      </c>
      <c r="B199" s="45" t="n">
        <v>0</v>
      </c>
      <c r="C199" s="45" t="n"/>
      <c r="D199" s="45" t="n"/>
      <c r="E199" s="45" t="n"/>
      <c r="F199" s="45" t="n">
        <v>0</v>
      </c>
      <c r="G199" s="45" t="n">
        <v>0.9938132011772161</v>
      </c>
      <c r="H199" s="45" t="n">
        <v>0.785310319500551</v>
      </c>
      <c r="I199" s="45" t="n"/>
      <c r="J199" s="45" t="n"/>
      <c r="K199" s="45" t="n">
        <v>0</v>
      </c>
      <c r="L199" s="45" t="n">
        <v>0</v>
      </c>
      <c r="M199" s="45" t="n"/>
      <c r="N199" s="45" t="n"/>
      <c r="O199" s="45" t="n"/>
      <c r="P199" s="45" t="n">
        <v>0</v>
      </c>
      <c r="Q199" s="45" t="n">
        <v>0.9975730695237101</v>
      </c>
      <c r="R199" s="45" t="n">
        <v>0.975369458128079</v>
      </c>
      <c r="S199" s="45" t="n"/>
      <c r="T199" s="45" t="n"/>
      <c r="U199" s="45" t="n">
        <v>0</v>
      </c>
      <c r="V199" s="45" t="n"/>
      <c r="W199" s="45" t="n"/>
      <c r="X199" s="45" t="n"/>
      <c r="Y199" s="45" t="n"/>
      <c r="Z199" s="45" t="n"/>
      <c r="AA199" s="45" t="n">
        <v>0.996221849766277</v>
      </c>
      <c r="AB199" s="45" t="n">
        <v>0.801198950917947</v>
      </c>
      <c r="AC199" s="45" t="n"/>
      <c r="AD199" s="45" t="n"/>
      <c r="AE199" s="45" t="n"/>
      <c r="AF199" s="75">
        <f>IFERROR(AVERAGE(L199:U199),"")</f>
        <v/>
      </c>
      <c r="AG199" s="75">
        <f>IFERROR(AVERAGE(V199:AE199),"")</f>
        <v/>
      </c>
      <c r="AH199" s="75">
        <f>IFERROR(AVERAGE(B199:K199),"")</f>
        <v/>
      </c>
      <c r="AI199" s="45" t="n">
        <v>0.986293792724609</v>
      </c>
      <c r="AJ199" s="47" t="n">
        <v>0</v>
      </c>
    </row>
    <row r="200" ht="15" customHeight="1" s="30">
      <c r="A200" s="73" t="inlineStr">
        <is>
          <t>7759.jpg</t>
        </is>
      </c>
      <c r="B200" s="45" t="n">
        <v>0</v>
      </c>
      <c r="C200" s="45" t="n"/>
      <c r="D200" s="45" t="n"/>
      <c r="E200" s="45" t="n"/>
      <c r="F200" s="45" t="n"/>
      <c r="G200" s="45" t="n">
        <v>0.9654968639070139</v>
      </c>
      <c r="H200" s="45" t="n">
        <v>0.666173111092309</v>
      </c>
      <c r="I200" s="45" t="n"/>
      <c r="J200" s="45" t="n"/>
      <c r="K200" s="45" t="n">
        <v>0</v>
      </c>
      <c r="L200" s="45" t="n">
        <v>0</v>
      </c>
      <c r="M200" s="45" t="n"/>
      <c r="N200" s="45" t="n"/>
      <c r="O200" s="45" t="n"/>
      <c r="P200" s="45" t="n"/>
      <c r="Q200" s="45" t="n">
        <v>0.9741998626514839</v>
      </c>
      <c r="R200" s="45" t="n">
        <v>0.963944662095984</v>
      </c>
      <c r="S200" s="45" t="n"/>
      <c r="T200" s="45" t="n"/>
      <c r="U200" s="45" t="n">
        <v>0</v>
      </c>
      <c r="V200" s="45" t="n"/>
      <c r="W200" s="45" t="n"/>
      <c r="X200" s="45" t="n"/>
      <c r="Y200" s="45" t="n"/>
      <c r="Z200" s="45" t="n"/>
      <c r="AA200" s="45" t="n">
        <v>0.990832096028775</v>
      </c>
      <c r="AB200" s="45" t="n">
        <v>0.683196667968242</v>
      </c>
      <c r="AC200" s="45" t="n"/>
      <c r="AD200" s="45" t="n"/>
      <c r="AE200" s="45" t="n"/>
      <c r="AF200" s="75">
        <f>IFERROR(AVERAGE(L200:U200),"")</f>
        <v/>
      </c>
      <c r="AG200" s="75">
        <f>IFERROR(AVERAGE(V200:AE200),"")</f>
        <v/>
      </c>
      <c r="AH200" s="75">
        <f>IFERROR(AVERAGE(B200:K200),"")</f>
        <v/>
      </c>
      <c r="AI200" s="45" t="n">
        <v>0.963783264160156</v>
      </c>
      <c r="AJ200" s="47" t="n">
        <v>0</v>
      </c>
    </row>
    <row r="201" ht="15" customHeight="1" s="30">
      <c r="A201" s="73" t="inlineStr">
        <is>
          <t>7763.jpg</t>
        </is>
      </c>
      <c r="B201" s="45" t="n"/>
      <c r="C201" s="45" t="n"/>
      <c r="D201" s="45" t="n"/>
      <c r="E201" s="45" t="n"/>
      <c r="F201" s="45" t="n"/>
      <c r="G201" s="45" t="n">
        <v>0.967008967188825</v>
      </c>
      <c r="H201" s="45" t="n">
        <v>0.771396585502379</v>
      </c>
      <c r="I201" s="45" t="n"/>
      <c r="J201" s="45" t="n"/>
      <c r="K201" s="45" t="n">
        <v>0</v>
      </c>
      <c r="L201" s="45" t="n"/>
      <c r="M201" s="45" t="n"/>
      <c r="N201" s="45" t="n"/>
      <c r="O201" s="45" t="n"/>
      <c r="P201" s="45" t="n"/>
      <c r="Q201" s="45" t="n">
        <v>0.978901600045084</v>
      </c>
      <c r="R201" s="45" t="n">
        <v>0.924930366790832</v>
      </c>
      <c r="S201" s="45" t="n"/>
      <c r="T201" s="45" t="n"/>
      <c r="U201" s="45" t="n">
        <v>0</v>
      </c>
      <c r="V201" s="45" t="n"/>
      <c r="W201" s="45" t="n"/>
      <c r="X201" s="45" t="n"/>
      <c r="Y201" s="45" t="n"/>
      <c r="Z201" s="45" t="n"/>
      <c r="AA201" s="45" t="n">
        <v>0.9875924443803</v>
      </c>
      <c r="AB201" s="45" t="n">
        <v>0.822918221717971</v>
      </c>
      <c r="AC201" s="45" t="n"/>
      <c r="AD201" s="45" t="n"/>
      <c r="AE201" s="45" t="n"/>
      <c r="AF201" s="75">
        <f>IFERROR(AVERAGE(L201:U201),"")</f>
        <v/>
      </c>
      <c r="AG201" s="75">
        <f>IFERROR(AVERAGE(V201:AE201),"")</f>
        <v/>
      </c>
      <c r="AH201" s="75">
        <f>IFERROR(AVERAGE(B201:K201),"")</f>
        <v/>
      </c>
      <c r="AI201" s="45" t="n">
        <v>0.966552734375</v>
      </c>
      <c r="AJ201" s="47" t="n">
        <v>0</v>
      </c>
    </row>
    <row r="202" ht="15" customHeight="1" s="30">
      <c r="A202" s="73" t="inlineStr">
        <is>
          <t>7771.jpg</t>
        </is>
      </c>
      <c r="B202" s="45" t="n"/>
      <c r="C202" s="45" t="n"/>
      <c r="D202" s="45" t="n"/>
      <c r="E202" s="45" t="n"/>
      <c r="F202" s="45" t="n"/>
      <c r="G202" s="45" t="n">
        <v>0.544232667937055</v>
      </c>
      <c r="H202" s="45" t="n">
        <v>0.82686036169582</v>
      </c>
      <c r="I202" s="45" t="n"/>
      <c r="J202" s="45" t="n"/>
      <c r="K202" s="45" t="n">
        <v>0</v>
      </c>
      <c r="L202" s="45" t="n"/>
      <c r="M202" s="45" t="n"/>
      <c r="N202" s="45" t="n"/>
      <c r="O202" s="45" t="n"/>
      <c r="P202" s="45" t="n"/>
      <c r="Q202" s="45" t="n">
        <v>1</v>
      </c>
      <c r="R202" s="45" t="n">
        <v>0.94318566114305</v>
      </c>
      <c r="S202" s="45" t="n"/>
      <c r="T202" s="45" t="n"/>
      <c r="U202" s="45" t="n">
        <v>0</v>
      </c>
      <c r="V202" s="45" t="n"/>
      <c r="W202" s="45" t="n"/>
      <c r="X202" s="45" t="n"/>
      <c r="Y202" s="45" t="n"/>
      <c r="Z202" s="45" t="n"/>
      <c r="AA202" s="45" t="n">
        <v>0.544232667937055</v>
      </c>
      <c r="AB202" s="45" t="n">
        <v>0.870202808112325</v>
      </c>
      <c r="AC202" s="45" t="n"/>
      <c r="AD202" s="45" t="n"/>
      <c r="AE202" s="45" t="n"/>
      <c r="AF202" s="75">
        <f>IFERROR(AVERAGE(L202:U202),"")</f>
        <v/>
      </c>
      <c r="AG202" s="75">
        <f>IFERROR(AVERAGE(V202:AE202),"")</f>
        <v/>
      </c>
      <c r="AH202" s="75">
        <f>IFERROR(AVERAGE(B202:K202),"")</f>
        <v/>
      </c>
      <c r="AI202" s="45" t="n">
        <v>0.564159393310547</v>
      </c>
      <c r="AJ202" s="47" t="n">
        <v>0</v>
      </c>
    </row>
    <row r="203" ht="15" customHeight="1" s="30">
      <c r="A203" s="73" t="inlineStr">
        <is>
          <t>7772.jpg</t>
        </is>
      </c>
      <c r="B203" s="45" t="n"/>
      <c r="C203" s="45" t="n"/>
      <c r="D203" s="45" t="n"/>
      <c r="E203" s="45" t="n"/>
      <c r="F203" s="45" t="n"/>
      <c r="G203" s="45" t="n">
        <v>0.422502642438576</v>
      </c>
      <c r="H203" s="45" t="n">
        <v>0.850825167612171</v>
      </c>
      <c r="I203" s="45" t="n"/>
      <c r="J203" s="45" t="n"/>
      <c r="K203" s="45" t="n">
        <v>0</v>
      </c>
      <c r="L203" s="45" t="n"/>
      <c r="M203" s="45" t="n"/>
      <c r="N203" s="45" t="n"/>
      <c r="O203" s="45" t="n"/>
      <c r="P203" s="45" t="n"/>
      <c r="Q203" s="45" t="n">
        <v>1</v>
      </c>
      <c r="R203" s="45" t="n">
        <v>0.977846928947173</v>
      </c>
      <c r="S203" s="45" t="n"/>
      <c r="T203" s="45" t="n"/>
      <c r="U203" s="45" t="n">
        <v>0</v>
      </c>
      <c r="V203" s="45" t="n"/>
      <c r="W203" s="45" t="n"/>
      <c r="X203" s="45" t="n"/>
      <c r="Y203" s="45" t="n"/>
      <c r="Z203" s="45" t="n"/>
      <c r="AA203" s="45" t="n">
        <v>0.422502642438576</v>
      </c>
      <c r="AB203" s="45" t="n">
        <v>0.867547492276343</v>
      </c>
      <c r="AC203" s="45" t="n"/>
      <c r="AD203" s="45" t="n"/>
      <c r="AE203" s="45" t="n"/>
      <c r="AF203" s="75">
        <f>IFERROR(AVERAGE(L203:U203),"")</f>
        <v/>
      </c>
      <c r="AG203" s="75">
        <f>IFERROR(AVERAGE(V203:AE203),"")</f>
        <v/>
      </c>
      <c r="AH203" s="75">
        <f>IFERROR(AVERAGE(B203:K203),"")</f>
        <v/>
      </c>
      <c r="AI203" s="45" t="n">
        <v>0.448329925537109</v>
      </c>
      <c r="AJ203" s="47" t="n">
        <v>0</v>
      </c>
    </row>
    <row r="204" ht="15" customHeight="1" s="30">
      <c r="A204" s="73" t="inlineStr">
        <is>
          <t>7773.jpg</t>
        </is>
      </c>
      <c r="B204" s="45" t="n"/>
      <c r="C204" s="45" t="n"/>
      <c r="D204" s="45" t="n"/>
      <c r="E204" s="45" t="n"/>
      <c r="F204" s="45" t="n"/>
      <c r="G204" s="45" t="n">
        <v>0.329732111529078</v>
      </c>
      <c r="H204" s="45" t="n">
        <v>0.538794023479189</v>
      </c>
      <c r="I204" s="45" t="n"/>
      <c r="J204" s="45" t="n"/>
      <c r="K204" s="45" t="n">
        <v>0</v>
      </c>
      <c r="L204" s="45" t="n"/>
      <c r="M204" s="45" t="n"/>
      <c r="N204" s="45" t="n"/>
      <c r="O204" s="45" t="n"/>
      <c r="P204" s="45" t="n"/>
      <c r="Q204" s="45" t="n">
        <v>1</v>
      </c>
      <c r="R204" s="45" t="n">
        <v>0.8560406952098349</v>
      </c>
      <c r="S204" s="45" t="n"/>
      <c r="T204" s="45" t="n"/>
      <c r="U204" s="45" t="n">
        <v>0</v>
      </c>
      <c r="V204" s="45" t="n"/>
      <c r="W204" s="45" t="n"/>
      <c r="X204" s="45" t="n"/>
      <c r="Y204" s="45" t="n"/>
      <c r="Z204" s="45" t="n"/>
      <c r="AA204" s="45" t="n">
        <v>0.329732111529078</v>
      </c>
      <c r="AB204" s="45" t="n">
        <v>0.592477408754841</v>
      </c>
      <c r="AC204" s="45" t="n"/>
      <c r="AD204" s="45" t="n"/>
      <c r="AE204" s="45" t="n"/>
      <c r="AF204" s="75">
        <f>IFERROR(AVERAGE(L204:U204),"")</f>
        <v/>
      </c>
      <c r="AG204" s="75">
        <f>IFERROR(AVERAGE(V204:AE204),"")</f>
        <v/>
      </c>
      <c r="AH204" s="75">
        <f>IFERROR(AVERAGE(B204:K204),"")</f>
        <v/>
      </c>
      <c r="AI204" s="45" t="n">
        <v>0.346813201904297</v>
      </c>
      <c r="AJ204" s="47" t="n">
        <v>0</v>
      </c>
    </row>
    <row r="205" ht="15" customHeight="1" s="30">
      <c r="A205" s="73" t="inlineStr">
        <is>
          <t>7780.jpg</t>
        </is>
      </c>
      <c r="B205" s="45" t="n"/>
      <c r="C205" s="45" t="n"/>
      <c r="D205" s="45" t="n"/>
      <c r="E205" s="45" t="n"/>
      <c r="F205" s="45" t="n"/>
      <c r="G205" s="45" t="n">
        <v>0.930399346250618</v>
      </c>
      <c r="H205" s="45" t="n"/>
      <c r="I205" s="45" t="n"/>
      <c r="J205" s="45" t="n"/>
      <c r="K205" s="45" t="n">
        <v>0.9631409617629469</v>
      </c>
      <c r="L205" s="45" t="n"/>
      <c r="M205" s="45" t="n"/>
      <c r="N205" s="45" t="n"/>
      <c r="O205" s="45" t="n"/>
      <c r="P205" s="45" t="n"/>
      <c r="Q205" s="45" t="n">
        <v>0.9540553056364121</v>
      </c>
      <c r="R205" s="45" t="n"/>
      <c r="S205" s="45" t="n"/>
      <c r="T205" s="45" t="n"/>
      <c r="U205" s="45" t="n">
        <v>0.986549857682796</v>
      </c>
      <c r="V205" s="45" t="n"/>
      <c r="W205" s="45" t="n"/>
      <c r="X205" s="45" t="n"/>
      <c r="Y205" s="45" t="n"/>
      <c r="Z205" s="45" t="n"/>
      <c r="AA205" s="45" t="n">
        <v>0.974041762818709</v>
      </c>
      <c r="AB205" s="45" t="n"/>
      <c r="AC205" s="45" t="n"/>
      <c r="AD205" s="45" t="n"/>
      <c r="AE205" s="45" t="n">
        <v>0.975956240010617</v>
      </c>
      <c r="AF205" s="75">
        <f>IFERROR(AVERAGE(L205:U205),"")</f>
        <v/>
      </c>
      <c r="AG205" s="75">
        <f>IFERROR(AVERAGE(V205:AE205),"")</f>
        <v/>
      </c>
      <c r="AH205" s="75">
        <f>IFERROR(AVERAGE(B205:K205),"")</f>
        <v/>
      </c>
      <c r="AI205" s="45" t="n">
        <v>0.975307464599609</v>
      </c>
      <c r="AJ205" s="47" t="n">
        <v>0</v>
      </c>
    </row>
    <row r="206" ht="15" customHeight="1" s="30">
      <c r="A206" s="73" t="inlineStr">
        <is>
          <t>7794.jpg</t>
        </is>
      </c>
      <c r="B206" s="45" t="n"/>
      <c r="C206" s="45" t="n"/>
      <c r="D206" s="45" t="n"/>
      <c r="E206" s="45" t="n"/>
      <c r="F206" s="45" t="n"/>
      <c r="G206" s="45" t="n">
        <v>0.835539839041215</v>
      </c>
      <c r="H206" s="45" t="n">
        <v>0.829637381908695</v>
      </c>
      <c r="I206" s="45" t="n"/>
      <c r="J206" s="45" t="n"/>
      <c r="K206" s="45" t="n">
        <v>0.916342075651346</v>
      </c>
      <c r="L206" s="45" t="n"/>
      <c r="M206" s="45" t="n"/>
      <c r="N206" s="45" t="n"/>
      <c r="O206" s="45" t="n"/>
      <c r="P206" s="45" t="n"/>
      <c r="Q206" s="45" t="n">
        <v>0.986244191306493</v>
      </c>
      <c r="R206" s="45" t="n">
        <v>0.899558363491382</v>
      </c>
      <c r="S206" s="45" t="n"/>
      <c r="T206" s="45" t="n"/>
      <c r="U206" s="45" t="n">
        <v>0.936319816035024</v>
      </c>
      <c r="V206" s="45" t="n"/>
      <c r="W206" s="45" t="n"/>
      <c r="X206" s="45" t="n"/>
      <c r="Y206" s="45" t="n"/>
      <c r="Z206" s="45" t="n"/>
      <c r="AA206" s="45" t="n">
        <v>0.84539189594092</v>
      </c>
      <c r="AB206" s="45" t="n">
        <v>0.91433648181053</v>
      </c>
      <c r="AC206" s="45" t="n"/>
      <c r="AD206" s="45" t="n"/>
      <c r="AE206" s="45" t="n">
        <v>0.977245453706268</v>
      </c>
      <c r="AF206" s="75">
        <f>IFERROR(AVERAGE(L206:U206),"")</f>
        <v/>
      </c>
      <c r="AG206" s="75">
        <f>IFERROR(AVERAGE(V206:AE206),"")</f>
        <v/>
      </c>
      <c r="AH206" s="75">
        <f>IFERROR(AVERAGE(B206:K206),"")</f>
        <v/>
      </c>
      <c r="AI206" s="45" t="n">
        <v>0.941009521484375</v>
      </c>
      <c r="AJ206" s="47" t="n">
        <v>0</v>
      </c>
    </row>
    <row r="207" ht="15" customHeight="1" s="30">
      <c r="A207" s="73" t="inlineStr">
        <is>
          <t>7803.jpg</t>
        </is>
      </c>
      <c r="B207" s="45" t="n"/>
      <c r="C207" s="45" t="n"/>
      <c r="D207" s="45" t="n">
        <v>0</v>
      </c>
      <c r="E207" s="45" t="n"/>
      <c r="F207" s="45" t="n">
        <v>0</v>
      </c>
      <c r="G207" s="45" t="n">
        <v>0.9927677113305859</v>
      </c>
      <c r="H207" s="45" t="n">
        <v>0.855933748274695</v>
      </c>
      <c r="I207" s="45" t="n"/>
      <c r="J207" s="45" t="n"/>
      <c r="K207" s="45" t="n">
        <v>0.88138965697631</v>
      </c>
      <c r="L207" s="45" t="n"/>
      <c r="M207" s="45" t="n"/>
      <c r="N207" s="45" t="n">
        <v>0</v>
      </c>
      <c r="O207" s="45" t="n"/>
      <c r="P207" s="45" t="n">
        <v>0</v>
      </c>
      <c r="Q207" s="45" t="n">
        <v>0.999574944071588</v>
      </c>
      <c r="R207" s="45" t="n">
        <v>0.875356220204011</v>
      </c>
      <c r="S207" s="45" t="n"/>
      <c r="T207" s="45" t="n"/>
      <c r="U207" s="45" t="n">
        <v>0.97603136508462</v>
      </c>
      <c r="V207" s="45" t="n"/>
      <c r="W207" s="45" t="n"/>
      <c r="X207" s="45" t="n"/>
      <c r="Y207" s="45" t="n"/>
      <c r="Z207" s="45" t="n"/>
      <c r="AA207" s="45" t="n">
        <v>0.993186996387886</v>
      </c>
      <c r="AB207" s="45" t="n">
        <v>0.974732346748124</v>
      </c>
      <c r="AC207" s="45" t="n"/>
      <c r="AD207" s="45" t="n"/>
      <c r="AE207" s="45" t="n">
        <v>0.900888944056679</v>
      </c>
      <c r="AF207" s="75">
        <f>IFERROR(AVERAGE(L207:U207),"")</f>
        <v/>
      </c>
      <c r="AG207" s="75">
        <f>IFERROR(AVERAGE(V207:AE207),"")</f>
        <v/>
      </c>
      <c r="AH207" s="75">
        <f>IFERROR(AVERAGE(B207:K207),"")</f>
        <v/>
      </c>
      <c r="AI207" s="45" t="n">
        <v>0.951564788818359</v>
      </c>
      <c r="AJ207" s="47" t="n">
        <v>0</v>
      </c>
    </row>
    <row r="208" ht="15" customHeight="1" s="30">
      <c r="A208" s="73" t="inlineStr">
        <is>
          <t>7804.jpg</t>
        </is>
      </c>
      <c r="B208" s="45" t="n"/>
      <c r="C208" s="45" t="n"/>
      <c r="D208" s="45" t="n"/>
      <c r="E208" s="45" t="n"/>
      <c r="F208" s="45" t="n"/>
      <c r="G208" s="45" t="n">
        <v>0.995070364915726</v>
      </c>
      <c r="H208" s="45" t="n">
        <v>0.776820715219073</v>
      </c>
      <c r="I208" s="45" t="n"/>
      <c r="J208" s="45" t="n"/>
      <c r="K208" s="45" t="n">
        <v>0.838446383338024</v>
      </c>
      <c r="L208" s="45" t="n"/>
      <c r="M208" s="45" t="n"/>
      <c r="N208" s="45" t="n"/>
      <c r="O208" s="45" t="n"/>
      <c r="P208" s="45" t="n"/>
      <c r="Q208" s="45" t="n">
        <v>0.999702023159993</v>
      </c>
      <c r="R208" s="45" t="n">
        <v>0.7997693764928751</v>
      </c>
      <c r="S208" s="45" t="n"/>
      <c r="T208" s="45" t="n"/>
      <c r="U208" s="45" t="n">
        <v>0.971677086164719</v>
      </c>
      <c r="V208" s="45" t="n"/>
      <c r="W208" s="45" t="n"/>
      <c r="X208" s="45" t="n"/>
      <c r="Y208" s="45" t="n"/>
      <c r="Z208" s="45" t="n"/>
      <c r="AA208" s="45" t="n">
        <v>0.995365586667622</v>
      </c>
      <c r="AB208" s="45" t="n">
        <v>0.964377938157982</v>
      </c>
      <c r="AC208" s="45" t="n"/>
      <c r="AD208" s="45" t="n"/>
      <c r="AE208" s="45" t="n">
        <v>0.859450882338799</v>
      </c>
      <c r="AF208" s="75">
        <f>IFERROR(AVERAGE(L208:U208),"")</f>
        <v/>
      </c>
      <c r="AG208" s="75">
        <f>IFERROR(AVERAGE(V208:AE208),"")</f>
        <v/>
      </c>
      <c r="AH208" s="75">
        <f>IFERROR(AVERAGE(B208:K208),"")</f>
        <v/>
      </c>
      <c r="AI208" s="45" t="n">
        <v>0.9343109130859381</v>
      </c>
      <c r="AJ208" s="47" t="n">
        <v>0</v>
      </c>
    </row>
    <row r="209" ht="15" customHeight="1" s="30">
      <c r="A209" s="73" t="inlineStr">
        <is>
          <t>7812.jpg</t>
        </is>
      </c>
      <c r="B209" s="45" t="n"/>
      <c r="C209" s="45" t="n"/>
      <c r="D209" s="45" t="n"/>
      <c r="E209" s="45" t="n"/>
      <c r="F209" s="45" t="n"/>
      <c r="G209" s="45" t="n">
        <v>0.992754738853619</v>
      </c>
      <c r="H209" s="45" t="n">
        <v>0.882663963618432</v>
      </c>
      <c r="I209" s="45" t="n"/>
      <c r="J209" s="45" t="n"/>
      <c r="K209" s="45" t="n">
        <v>0.95775010805599</v>
      </c>
      <c r="L209" s="45" t="n"/>
      <c r="M209" s="45" t="n"/>
      <c r="N209" s="45" t="n"/>
      <c r="O209" s="45" t="n"/>
      <c r="P209" s="45" t="n"/>
      <c r="Q209" s="45" t="n">
        <v>1</v>
      </c>
      <c r="R209" s="45" t="n">
        <v>0.952520325203252</v>
      </c>
      <c r="S209" s="45" t="n"/>
      <c r="T209" s="45" t="n"/>
      <c r="U209" s="45" t="n">
        <v>0.970708159929909</v>
      </c>
      <c r="V209" s="45" t="n"/>
      <c r="W209" s="45" t="n"/>
      <c r="X209" s="45" t="n"/>
      <c r="Y209" s="45" t="n"/>
      <c r="Z209" s="45" t="n"/>
      <c r="AA209" s="45" t="n">
        <v>0.992754738853619</v>
      </c>
      <c r="AB209" s="45" t="n">
        <v>0.92328633654287</v>
      </c>
      <c r="AC209" s="45" t="n"/>
      <c r="AD209" s="45" t="n"/>
      <c r="AE209" s="45" t="n">
        <v>0.986253648432351</v>
      </c>
      <c r="AF209" s="75">
        <f>IFERROR(AVERAGE(L209:U209),"")</f>
        <v/>
      </c>
      <c r="AG209" s="75">
        <f>IFERROR(AVERAGE(V209:AE209),"")</f>
        <v/>
      </c>
      <c r="AH209" s="75">
        <f>IFERROR(AVERAGE(B209:K209),"")</f>
        <v/>
      </c>
      <c r="AI209" s="45" t="n">
        <v>0.980609893798828</v>
      </c>
      <c r="AJ209" s="47" t="n">
        <v>0</v>
      </c>
    </row>
    <row r="210" ht="15" customHeight="1" s="30">
      <c r="A210" s="73" t="inlineStr">
        <is>
          <t>7813.jpg</t>
        </is>
      </c>
      <c r="B210" s="45" t="n"/>
      <c r="C210" s="45" t="n"/>
      <c r="D210" s="45" t="n"/>
      <c r="E210" s="45" t="n"/>
      <c r="F210" s="45" t="n"/>
      <c r="G210" s="45" t="n">
        <v>0.991684612461319</v>
      </c>
      <c r="H210" s="45" t="n">
        <v>0.843959189326439</v>
      </c>
      <c r="I210" s="45" t="n"/>
      <c r="J210" s="45" t="n"/>
      <c r="K210" s="45" t="n">
        <v>0.933792021244493</v>
      </c>
      <c r="L210" s="45" t="n"/>
      <c r="M210" s="45" t="n"/>
      <c r="N210" s="45" t="n"/>
      <c r="O210" s="45" t="n"/>
      <c r="P210" s="45" t="n"/>
      <c r="Q210" s="45" t="n">
        <v>0.999981751991314</v>
      </c>
      <c r="R210" s="45" t="n">
        <v>0.953028881242832</v>
      </c>
      <c r="S210" s="45" t="n"/>
      <c r="T210" s="45" t="n"/>
      <c r="U210" s="45" t="n">
        <v>0.948545704551625</v>
      </c>
      <c r="V210" s="45" t="n"/>
      <c r="W210" s="45" t="n"/>
      <c r="X210" s="45" t="n"/>
      <c r="Y210" s="45" t="n"/>
      <c r="Z210" s="45" t="n"/>
      <c r="AA210" s="45" t="n">
        <v>0.991702558905498</v>
      </c>
      <c r="AB210" s="45" t="n">
        <v>0.8805876685934489</v>
      </c>
      <c r="AC210" s="45" t="n"/>
      <c r="AD210" s="45" t="n"/>
      <c r="AE210" s="45" t="n">
        <v>0.98361608602463</v>
      </c>
      <c r="AF210" s="75">
        <f>IFERROR(AVERAGE(L210:U210),"")</f>
        <v/>
      </c>
      <c r="AG210" s="75">
        <f>IFERROR(AVERAGE(V210:AE210),"")</f>
        <v/>
      </c>
      <c r="AH210" s="75">
        <f>IFERROR(AVERAGE(B210:K210),"")</f>
        <v/>
      </c>
      <c r="AI210" s="45" t="n">
        <v>0.970706939697266</v>
      </c>
      <c r="AJ210" s="47" t="n">
        <v>0</v>
      </c>
    </row>
    <row r="211" ht="15" customHeight="1" s="30">
      <c r="A211" s="73" t="inlineStr">
        <is>
          <t>7817.jpg</t>
        </is>
      </c>
      <c r="B211" s="45" t="n"/>
      <c r="C211" s="45" t="n"/>
      <c r="D211" s="45" t="n"/>
      <c r="E211" s="45" t="n"/>
      <c r="F211" s="45" t="n"/>
      <c r="G211" s="45" t="n">
        <v>0.992379304663042</v>
      </c>
      <c r="H211" s="45" t="n">
        <v>0.950407437986861</v>
      </c>
      <c r="I211" s="45" t="n"/>
      <c r="J211" s="45" t="n"/>
      <c r="K211" s="45" t="n">
        <v>0.940090027379461</v>
      </c>
      <c r="L211" s="45" t="n"/>
      <c r="M211" s="45" t="n"/>
      <c r="N211" s="45" t="n"/>
      <c r="O211" s="45" t="n"/>
      <c r="P211" s="45" t="n"/>
      <c r="Q211" s="45" t="n">
        <v>0.999972327914217</v>
      </c>
      <c r="R211" s="45" t="n">
        <v>0.959865856974531</v>
      </c>
      <c r="S211" s="45" t="n"/>
      <c r="T211" s="45" t="n"/>
      <c r="U211" s="45" t="n">
        <v>0.973489884508802</v>
      </c>
      <c r="V211" s="45" t="n"/>
      <c r="W211" s="45" t="n"/>
      <c r="X211" s="45" t="n"/>
      <c r="Y211" s="45" t="n"/>
      <c r="Z211" s="45" t="n"/>
      <c r="AA211" s="45" t="n">
        <v>0.992406558097383</v>
      </c>
      <c r="AB211" s="45" t="n">
        <v>0.989738317757009</v>
      </c>
      <c r="AC211" s="45" t="n"/>
      <c r="AD211" s="45" t="n"/>
      <c r="AE211" s="45" t="n">
        <v>0.964789179578359</v>
      </c>
      <c r="AF211" s="75">
        <f>IFERROR(AVERAGE(L211:U211),"")</f>
        <v/>
      </c>
      <c r="AG211" s="75">
        <f>IFERROR(AVERAGE(V211:AE211),"")</f>
        <v/>
      </c>
      <c r="AH211" s="75">
        <f>IFERROR(AVERAGE(B211:K211),"")</f>
        <v/>
      </c>
      <c r="AI211" s="45" t="n">
        <v>0.985225677490234</v>
      </c>
      <c r="AJ211" s="47" t="n">
        <v>0</v>
      </c>
    </row>
    <row r="212" ht="15" customHeight="1" s="30">
      <c r="A212" s="73" t="inlineStr">
        <is>
          <t>7821.jpg</t>
        </is>
      </c>
      <c r="B212" s="45" t="n"/>
      <c r="C212" s="45" t="n"/>
      <c r="D212" s="45" t="n"/>
      <c r="E212" s="45" t="n"/>
      <c r="F212" s="45" t="n">
        <v>0.959814140399347</v>
      </c>
      <c r="G212" s="45" t="n">
        <v>0.983264613145768</v>
      </c>
      <c r="H212" s="45" t="n">
        <v>0.623621543870865</v>
      </c>
      <c r="I212" s="45" t="n">
        <v>0.766778523489933</v>
      </c>
      <c r="J212" s="45" t="n"/>
      <c r="K212" s="45" t="n">
        <v>0.90438570235826</v>
      </c>
      <c r="L212" s="45" t="n"/>
      <c r="M212" s="45" t="n"/>
      <c r="N212" s="45" t="n"/>
      <c r="O212" s="45" t="n"/>
      <c r="P212" s="45" t="n">
        <v>0.979913671524424</v>
      </c>
      <c r="Q212" s="45" t="n">
        <v>0.998494841411018</v>
      </c>
      <c r="R212" s="45" t="n">
        <v>0.936686070935606</v>
      </c>
      <c r="S212" s="45" t="n">
        <v>0.968220338983051</v>
      </c>
      <c r="T212" s="45" t="n"/>
      <c r="U212" s="45" t="n">
        <v>0.917605031607381</v>
      </c>
      <c r="V212" s="45" t="n"/>
      <c r="W212" s="45" t="n"/>
      <c r="X212" s="45" t="n"/>
      <c r="Y212" s="45" t="n"/>
      <c r="Z212" s="45" t="n">
        <v>0.979076817968316</v>
      </c>
      <c r="AA212" s="45" t="n">
        <v>0.98472417143474</v>
      </c>
      <c r="AB212" s="45" t="n">
        <v>0.651065782338464</v>
      </c>
      <c r="AC212" s="45" t="n">
        <v>0.78657487091222</v>
      </c>
      <c r="AD212" s="45" t="n"/>
      <c r="AE212" s="45" t="n">
        <v>0.9843203483986011</v>
      </c>
      <c r="AF212" s="75">
        <f>IFERROR(AVERAGE(L212:U212),"")</f>
        <v/>
      </c>
      <c r="AG212" s="75">
        <f>IFERROR(AVERAGE(V212:AE212),"")</f>
        <v/>
      </c>
      <c r="AH212" s="75">
        <f>IFERROR(AVERAGE(B212:K212),"")</f>
        <v/>
      </c>
      <c r="AI212" s="45" t="n">
        <v>0.952583312988281</v>
      </c>
      <c r="AJ212" s="47" t="n">
        <v>0</v>
      </c>
    </row>
    <row r="213" ht="15" customHeight="1" s="30">
      <c r="A213" s="73" t="inlineStr">
        <is>
          <t>7822.jpg</t>
        </is>
      </c>
      <c r="B213" s="45" t="n"/>
      <c r="C213" s="45" t="n"/>
      <c r="D213" s="45" t="n"/>
      <c r="E213" s="45" t="n"/>
      <c r="F213" s="45" t="n">
        <v>0.8474789572607671</v>
      </c>
      <c r="G213" s="45" t="n">
        <v>0.982613803230543</v>
      </c>
      <c r="H213" s="45" t="n">
        <v>0.63563579277865</v>
      </c>
      <c r="I213" s="45" t="n"/>
      <c r="J213" s="45" t="n"/>
      <c r="K213" s="45" t="n">
        <v>0.885343037452398</v>
      </c>
      <c r="L213" s="45" t="n"/>
      <c r="M213" s="45" t="n"/>
      <c r="N213" s="45" t="n"/>
      <c r="O213" s="45" t="n"/>
      <c r="P213" s="45" t="n">
        <v>0.86065927499668</v>
      </c>
      <c r="Q213" s="45" t="n">
        <v>0.999541923919538</v>
      </c>
      <c r="R213" s="45" t="n">
        <v>0.844597413433459</v>
      </c>
      <c r="S213" s="45" t="n"/>
      <c r="T213" s="45" t="n"/>
      <c r="U213" s="45" t="n">
        <v>0.953286138786925</v>
      </c>
      <c r="V213" s="45" t="n"/>
      <c r="W213" s="45" t="n"/>
      <c r="X213" s="45" t="n"/>
      <c r="Y213" s="45" t="n"/>
      <c r="Z213" s="45" t="n">
        <v>0.982250426217087</v>
      </c>
      <c r="AA213" s="45" t="n">
        <v>0.983056491420512</v>
      </c>
      <c r="AB213" s="45" t="n">
        <v>0.719822222222222</v>
      </c>
      <c r="AC213" s="45" t="n"/>
      <c r="AD213" s="45" t="n"/>
      <c r="AE213" s="45" t="n">
        <v>0.92549513176409</v>
      </c>
      <c r="AF213" s="75">
        <f>IFERROR(AVERAGE(L213:U213),"")</f>
        <v/>
      </c>
      <c r="AG213" s="75">
        <f>IFERROR(AVERAGE(V213:AE213),"")</f>
        <v/>
      </c>
      <c r="AH213" s="75">
        <f>IFERROR(AVERAGE(B213:K213),"")</f>
        <v/>
      </c>
      <c r="AI213" s="45" t="n">
        <v>0.934894561767578</v>
      </c>
      <c r="AJ213" s="47" t="n">
        <v>0</v>
      </c>
    </row>
    <row r="214" ht="15" customHeight="1" s="30">
      <c r="A214" s="73" t="inlineStr">
        <is>
          <t>7835.jpg</t>
        </is>
      </c>
      <c r="B214" s="45" t="n"/>
      <c r="C214" s="45" t="n"/>
      <c r="D214" s="45" t="n"/>
      <c r="E214" s="45" t="n"/>
      <c r="F214" s="45" t="n">
        <v>0</v>
      </c>
      <c r="G214" s="45" t="n">
        <v>0.988096812590927</v>
      </c>
      <c r="H214" s="45" t="n">
        <v>0.857071414282857</v>
      </c>
      <c r="I214" s="45" t="n"/>
      <c r="J214" s="45" t="n"/>
      <c r="K214" s="45" t="n">
        <v>0.965919244799058</v>
      </c>
      <c r="L214" s="45" t="n"/>
      <c r="M214" s="45" t="n"/>
      <c r="N214" s="45" t="n"/>
      <c r="O214" s="45" t="n"/>
      <c r="P214" s="45" t="n">
        <v>0</v>
      </c>
      <c r="Q214" s="45" t="n">
        <v>0.996851066100926</v>
      </c>
      <c r="R214" s="45" t="n">
        <v>0.953355770033099</v>
      </c>
      <c r="S214" s="45" t="n"/>
      <c r="T214" s="45" t="n"/>
      <c r="U214" s="45" t="n">
        <v>0.978113922568421</v>
      </c>
      <c r="V214" s="45" t="n"/>
      <c r="W214" s="45" t="n"/>
      <c r="X214" s="45" t="n"/>
      <c r="Y214" s="45" t="n"/>
      <c r="Z214" s="45" t="n"/>
      <c r="AA214" s="45" t="n">
        <v>0.991190596226816</v>
      </c>
      <c r="AB214" s="45" t="n">
        <v>0.894584366436122</v>
      </c>
      <c r="AC214" s="45" t="n"/>
      <c r="AD214" s="45" t="n"/>
      <c r="AE214" s="45" t="n">
        <v>0.987257040324054</v>
      </c>
      <c r="AF214" s="75">
        <f>IFERROR(AVERAGE(L214:U214),"")</f>
        <v/>
      </c>
      <c r="AG214" s="75">
        <f>IFERROR(AVERAGE(V214:AE214),"")</f>
        <v/>
      </c>
      <c r="AH214" s="75">
        <f>IFERROR(AVERAGE(B214:K214),"")</f>
        <v/>
      </c>
      <c r="AI214" s="45" t="n">
        <v>0.974277496337891</v>
      </c>
      <c r="AJ214" s="47" t="n">
        <v>0</v>
      </c>
    </row>
    <row r="215" ht="15" customHeight="1" s="30">
      <c r="A215" s="73" t="inlineStr">
        <is>
          <t>7839.jpg</t>
        </is>
      </c>
      <c r="B215" s="45" t="n"/>
      <c r="C215" s="45" t="n"/>
      <c r="D215" s="45" t="n"/>
      <c r="E215" s="45" t="n"/>
      <c r="F215" s="45" t="n">
        <v>0</v>
      </c>
      <c r="G215" s="45" t="n">
        <v>0.958575775369669</v>
      </c>
      <c r="H215" s="45" t="n">
        <v>0.87167347752417</v>
      </c>
      <c r="I215" s="45" t="n"/>
      <c r="J215" s="45" t="n"/>
      <c r="K215" s="45" t="n">
        <v>0.9563203585418359</v>
      </c>
      <c r="L215" s="45" t="n"/>
      <c r="M215" s="45" t="n"/>
      <c r="N215" s="45" t="n"/>
      <c r="O215" s="45" t="n"/>
      <c r="P215" s="45" t="n">
        <v>0</v>
      </c>
      <c r="Q215" s="45" t="n">
        <v>0.98061380515509</v>
      </c>
      <c r="R215" s="45" t="n">
        <v>0.951011309264898</v>
      </c>
      <c r="S215" s="45" t="n"/>
      <c r="T215" s="45" t="n"/>
      <c r="U215" s="45" t="n">
        <v>0.990428938868559</v>
      </c>
      <c r="V215" s="45" t="n"/>
      <c r="W215" s="45" t="n"/>
      <c r="X215" s="45" t="n"/>
      <c r="Y215" s="45" t="n"/>
      <c r="Z215" s="45" t="n"/>
      <c r="AA215" s="45" t="n">
        <v>0.977092175427141</v>
      </c>
      <c r="AB215" s="45" t="n">
        <v>0.912653274197756</v>
      </c>
      <c r="AC215" s="45" t="n"/>
      <c r="AD215" s="45" t="n"/>
      <c r="AE215" s="45" t="n">
        <v>0.965240582187969</v>
      </c>
      <c r="AF215" s="75">
        <f>IFERROR(AVERAGE(L215:U215),"")</f>
        <v/>
      </c>
      <c r="AG215" s="75">
        <f>IFERROR(AVERAGE(V215:AE215),"")</f>
        <v/>
      </c>
      <c r="AH215" s="75">
        <f>IFERROR(AVERAGE(B215:K215),"")</f>
        <v/>
      </c>
      <c r="AI215" s="45" t="n">
        <v>0.962226867675781</v>
      </c>
      <c r="AJ215" s="47" t="n">
        <v>0</v>
      </c>
    </row>
    <row r="216" ht="15" customHeight="1" s="30">
      <c r="A216" s="73" t="inlineStr">
        <is>
          <t>7840.jpg</t>
        </is>
      </c>
      <c r="B216" s="45" t="n"/>
      <c r="C216" s="45" t="n"/>
      <c r="D216" s="45" t="n"/>
      <c r="E216" s="45" t="n"/>
      <c r="F216" s="45" t="n">
        <v>0</v>
      </c>
      <c r="G216" s="45" t="n">
        <v>0.948759265227199</v>
      </c>
      <c r="H216" s="45" t="n">
        <v>0.853892821031345</v>
      </c>
      <c r="I216" s="45" t="n"/>
      <c r="J216" s="45" t="n"/>
      <c r="K216" s="45" t="n">
        <v>0.973449318565347</v>
      </c>
      <c r="L216" s="45" t="n"/>
      <c r="M216" s="45" t="n"/>
      <c r="N216" s="45" t="n"/>
      <c r="O216" s="45" t="n"/>
      <c r="P216" s="45" t="n">
        <v>0</v>
      </c>
      <c r="Q216" s="45" t="n">
        <v>0.962484675112383</v>
      </c>
      <c r="R216" s="45" t="n">
        <v>0.946059485800706</v>
      </c>
      <c r="S216" s="45" t="n"/>
      <c r="T216" s="45" t="n"/>
      <c r="U216" s="45" t="n">
        <v>0.990827567866843</v>
      </c>
      <c r="V216" s="45" t="n"/>
      <c r="W216" s="45" t="n"/>
      <c r="X216" s="45" t="n"/>
      <c r="Y216" s="45" t="n"/>
      <c r="Z216" s="45" t="n"/>
      <c r="AA216" s="45" t="n">
        <v>0.9851920020078641</v>
      </c>
      <c r="AB216" s="45" t="n">
        <v>0.897592602433969</v>
      </c>
      <c r="AC216" s="45" t="n"/>
      <c r="AD216" s="45" t="n"/>
      <c r="AE216" s="45" t="n">
        <v>0.982301382177773</v>
      </c>
      <c r="AF216" s="75">
        <f>IFERROR(AVERAGE(L216:U216),"")</f>
        <v/>
      </c>
      <c r="AG216" s="75">
        <f>IFERROR(AVERAGE(V216:AE216),"")</f>
        <v/>
      </c>
      <c r="AH216" s="75">
        <f>IFERROR(AVERAGE(B216:K216),"")</f>
        <v/>
      </c>
      <c r="AI216" s="45" t="n">
        <v>0.976352691650391</v>
      </c>
      <c r="AJ216" s="47" t="n">
        <v>0</v>
      </c>
    </row>
    <row r="217" ht="15" customHeight="1" s="30">
      <c r="A217" s="73" t="inlineStr">
        <is>
          <t>7853.jpg</t>
        </is>
      </c>
      <c r="B217" s="45" t="n"/>
      <c r="C217" s="45" t="n"/>
      <c r="D217" s="45" t="n"/>
      <c r="E217" s="45" t="n"/>
      <c r="F217" s="45" t="n"/>
      <c r="G217" s="45" t="n">
        <v>0.913063899508465</v>
      </c>
      <c r="H217" s="45" t="n">
        <v>0.373303486445518</v>
      </c>
      <c r="I217" s="45" t="n"/>
      <c r="J217" s="45" t="n"/>
      <c r="K217" s="45" t="n">
        <v>0.72349943446821</v>
      </c>
      <c r="L217" s="45" t="n"/>
      <c r="M217" s="45" t="n"/>
      <c r="N217" s="45" t="n"/>
      <c r="O217" s="45" t="n"/>
      <c r="P217" s="45" t="n"/>
      <c r="Q217" s="45" t="n">
        <v>0.981887164789212</v>
      </c>
      <c r="R217" s="45" t="n">
        <v>0.935261647162729</v>
      </c>
      <c r="S217" s="45" t="n"/>
      <c r="T217" s="45" t="n"/>
      <c r="U217" s="45" t="n">
        <v>0.737597657515256</v>
      </c>
      <c r="V217" s="45" t="n"/>
      <c r="W217" s="45" t="n"/>
      <c r="X217" s="45" t="n"/>
      <c r="Y217" s="45" t="n"/>
      <c r="Z217" s="45" t="n"/>
      <c r="AA217" s="45" t="n">
        <v>0.92870633721447</v>
      </c>
      <c r="AB217" s="45" t="n">
        <v>0.383205471520591</v>
      </c>
      <c r="AC217" s="45" t="n"/>
      <c r="AD217" s="45" t="n"/>
      <c r="AE217" s="45" t="n">
        <v>0.974261560050656</v>
      </c>
      <c r="AF217" s="75">
        <f>IFERROR(AVERAGE(L217:U217),"")</f>
        <v/>
      </c>
      <c r="AG217" s="75">
        <f>IFERROR(AVERAGE(V217:AE217),"")</f>
        <v/>
      </c>
      <c r="AH217" s="75">
        <f>IFERROR(AVERAGE(B217:K217),"")</f>
        <v/>
      </c>
      <c r="AI217" s="45" t="n">
        <v>0.834007263183594</v>
      </c>
      <c r="AJ217" s="47" t="n">
        <v>0</v>
      </c>
    </row>
    <row r="218" ht="15" customHeight="1" s="30">
      <c r="A218" s="73" t="inlineStr">
        <is>
          <t>7866.jpg</t>
        </is>
      </c>
      <c r="B218" s="45" t="n"/>
      <c r="C218" s="45" t="n"/>
      <c r="D218" s="45" t="n"/>
      <c r="E218" s="45" t="n"/>
      <c r="F218" s="45" t="n"/>
      <c r="G218" s="45" t="n">
        <v>0.919121876398032</v>
      </c>
      <c r="H218" s="45" t="n">
        <v>0.603825582819581</v>
      </c>
      <c r="I218" s="45" t="n"/>
      <c r="J218" s="45" t="n"/>
      <c r="K218" s="45" t="n">
        <v>0.815417430063715</v>
      </c>
      <c r="L218" s="45" t="n"/>
      <c r="M218" s="45" t="n"/>
      <c r="N218" s="45" t="n"/>
      <c r="O218" s="45" t="n"/>
      <c r="P218" s="45" t="n"/>
      <c r="Q218" s="45" t="n">
        <v>0.994662947251937</v>
      </c>
      <c r="R218" s="45" t="n">
        <v>0.9340933493336701</v>
      </c>
      <c r="S218" s="45" t="n"/>
      <c r="T218" s="45" t="n"/>
      <c r="U218" s="45" t="n">
        <v>0.82988464160973</v>
      </c>
      <c r="V218" s="45" t="n"/>
      <c r="W218" s="45" t="n"/>
      <c r="X218" s="45" t="n"/>
      <c r="Y218" s="45" t="n"/>
      <c r="Z218" s="45" t="n"/>
      <c r="AA218" s="45" t="n">
        <v>0.923677196287693</v>
      </c>
      <c r="AB218" s="45" t="n">
        <v>0.63069575044244</v>
      </c>
      <c r="AC218" s="45" t="n"/>
      <c r="AD218" s="45" t="n"/>
      <c r="AE218" s="45" t="n">
        <v>0.979068507543546</v>
      </c>
      <c r="AF218" s="75">
        <f>IFERROR(AVERAGE(L218:U218),"")</f>
        <v/>
      </c>
      <c r="AG218" s="75">
        <f>IFERROR(AVERAGE(V218:AE218),"")</f>
        <v/>
      </c>
      <c r="AH218" s="75">
        <f>IFERROR(AVERAGE(B218:K218),"")</f>
        <v/>
      </c>
      <c r="AI218" s="45" t="n">
        <v>0.897003173828125</v>
      </c>
      <c r="AJ218" s="47" t="n">
        <v>0</v>
      </c>
    </row>
    <row r="219" ht="15" customHeight="1" s="30">
      <c r="A219" s="73" t="inlineStr">
        <is>
          <t>7874.jpg</t>
        </is>
      </c>
      <c r="B219" s="45" t="n"/>
      <c r="C219" s="45" t="n"/>
      <c r="D219" s="45" t="n"/>
      <c r="E219" s="45" t="n"/>
      <c r="F219" s="45" t="n"/>
      <c r="G219" s="45" t="n"/>
      <c r="H219" s="45" t="n">
        <v>0.0767489353618187</v>
      </c>
      <c r="I219" s="45" t="n"/>
      <c r="J219" s="45" t="n"/>
      <c r="K219" s="45" t="n">
        <v>0.293388529886914</v>
      </c>
      <c r="L219" s="45" t="n"/>
      <c r="M219" s="45" t="n"/>
      <c r="N219" s="45" t="n"/>
      <c r="O219" s="45" t="n"/>
      <c r="P219" s="45" t="n"/>
      <c r="Q219" s="45" t="n"/>
      <c r="R219" s="45" t="n">
        <v>0.917197452229299</v>
      </c>
      <c r="S219" s="45" t="n"/>
      <c r="T219" s="45" t="n"/>
      <c r="U219" s="45" t="n">
        <v>0.294952636558162</v>
      </c>
      <c r="V219" s="45" t="n"/>
      <c r="W219" s="45" t="n"/>
      <c r="X219" s="45" t="n"/>
      <c r="Y219" s="45" t="n"/>
      <c r="Z219" s="45" t="n"/>
      <c r="AA219" s="45" t="n"/>
      <c r="AB219" s="45" t="n">
        <v>0.07728441770994959</v>
      </c>
      <c r="AC219" s="45" t="n"/>
      <c r="AD219" s="45" t="n"/>
      <c r="AE219" s="45" t="n">
        <v>0.982246200443507</v>
      </c>
      <c r="AF219" s="75">
        <f>IFERROR(AVERAGE(L219:U219),"")</f>
        <v/>
      </c>
      <c r="AG219" s="75">
        <f>IFERROR(AVERAGE(V219:AE219),"")</f>
        <v/>
      </c>
      <c r="AH219" s="75">
        <f>IFERROR(AVERAGE(B219:K219),"")</f>
        <v/>
      </c>
      <c r="AI219" s="45" t="n">
        <v>0.332592010498047</v>
      </c>
      <c r="AJ219" s="47" t="n">
        <v>0</v>
      </c>
    </row>
    <row r="220" ht="15" customHeight="1" s="30">
      <c r="A220" s="73" t="inlineStr">
        <is>
          <t>7876.jpg</t>
        </is>
      </c>
      <c r="B220" s="45" t="n"/>
      <c r="C220" s="45" t="n"/>
      <c r="D220" s="45" t="n"/>
      <c r="E220" s="45" t="n"/>
      <c r="F220" s="45" t="n"/>
      <c r="G220" s="45" t="n"/>
      <c r="H220" s="45" t="n">
        <v>0.0791438842253645</v>
      </c>
      <c r="I220" s="45" t="n"/>
      <c r="J220" s="45" t="n"/>
      <c r="K220" s="45" t="n">
        <v>0.232292878113843</v>
      </c>
      <c r="L220" s="45" t="n"/>
      <c r="M220" s="45" t="n"/>
      <c r="N220" s="45" t="n"/>
      <c r="O220" s="45" t="n"/>
      <c r="P220" s="45" t="n"/>
      <c r="Q220" s="45" t="n"/>
      <c r="R220" s="45" t="n">
        <v>0.921931818181818</v>
      </c>
      <c r="S220" s="45" t="n"/>
      <c r="T220" s="45" t="n"/>
      <c r="U220" s="45" t="n">
        <v>0.233598043705836</v>
      </c>
      <c r="V220" s="45" t="n"/>
      <c r="W220" s="45" t="n"/>
      <c r="X220" s="45" t="n"/>
      <c r="Y220" s="45" t="n"/>
      <c r="Z220" s="45" t="n"/>
      <c r="AA220" s="45" t="n"/>
      <c r="AB220" s="45" t="n">
        <v>0.0796778708045864</v>
      </c>
      <c r="AC220" s="45" t="n"/>
      <c r="AD220" s="45" t="n"/>
      <c r="AE220" s="45" t="n">
        <v>0.97651241901571</v>
      </c>
      <c r="AF220" s="75">
        <f>IFERROR(AVERAGE(L220:U220),"")</f>
        <v/>
      </c>
      <c r="AG220" s="75">
        <f>IFERROR(AVERAGE(V220:AE220),"")</f>
        <v/>
      </c>
      <c r="AH220" s="75">
        <f>IFERROR(AVERAGE(B220:K220),"")</f>
        <v/>
      </c>
      <c r="AI220" s="45" t="n">
        <v>0.279811859130859</v>
      </c>
      <c r="AJ220" s="47" t="n">
        <v>0</v>
      </c>
    </row>
    <row r="221" ht="15" customHeight="1" s="30">
      <c r="A221" s="73" t="inlineStr">
        <is>
          <t>7877.jpg</t>
        </is>
      </c>
      <c r="B221" s="45" t="n"/>
      <c r="C221" s="45" t="n"/>
      <c r="D221" s="45" t="n"/>
      <c r="E221" s="45" t="n"/>
      <c r="F221" s="45" t="n"/>
      <c r="G221" s="45" t="n"/>
      <c r="H221" s="45" t="n">
        <v>0.0867561535906277</v>
      </c>
      <c r="I221" s="45" t="n"/>
      <c r="J221" s="45" t="n"/>
      <c r="K221" s="45" t="n">
        <v>0.198714290992237</v>
      </c>
      <c r="L221" s="45" t="n"/>
      <c r="M221" s="45" t="n"/>
      <c r="N221" s="45" t="n"/>
      <c r="O221" s="45" t="n"/>
      <c r="P221" s="45" t="n"/>
      <c r="Q221" s="45" t="n"/>
      <c r="R221" s="45" t="n">
        <v>0.919335647000496</v>
      </c>
      <c r="S221" s="45" t="n"/>
      <c r="T221" s="45" t="n"/>
      <c r="U221" s="45" t="n">
        <v>0.200050418640019</v>
      </c>
      <c r="V221" s="45" t="n"/>
      <c r="W221" s="45" t="n"/>
      <c r="X221" s="45" t="n"/>
      <c r="Y221" s="45" t="n"/>
      <c r="Z221" s="45" t="n"/>
      <c r="AA221" s="45" t="n"/>
      <c r="AB221" s="45" t="n">
        <v>0.08742162085710251</v>
      </c>
      <c r="AC221" s="45" t="n"/>
      <c r="AD221" s="45" t="n"/>
      <c r="AE221" s="45" t="n">
        <v>0.967482112163729</v>
      </c>
      <c r="AF221" s="75">
        <f>IFERROR(AVERAGE(L221:U221),"")</f>
        <v/>
      </c>
      <c r="AG221" s="75">
        <f>IFERROR(AVERAGE(V221:AE221),"")</f>
        <v/>
      </c>
      <c r="AH221" s="75">
        <f>IFERROR(AVERAGE(B221:K221),"")</f>
        <v/>
      </c>
      <c r="AI221" s="45" t="n">
        <v>0.255393981933594</v>
      </c>
      <c r="AJ221" s="47" t="n">
        <v>0</v>
      </c>
    </row>
    <row r="222" ht="15" customHeight="1" s="30">
      <c r="A222" s="73" t="inlineStr">
        <is>
          <t>7880.jpg</t>
        </is>
      </c>
      <c r="B222" s="45" t="n"/>
      <c r="C222" s="45" t="n"/>
      <c r="D222" s="45" t="n"/>
      <c r="E222" s="45" t="n"/>
      <c r="F222" s="45" t="n"/>
      <c r="G222" s="45" t="n"/>
      <c r="H222" s="45" t="n">
        <v>0.07980627687819369</v>
      </c>
      <c r="I222" s="45" t="n"/>
      <c r="J222" s="45" t="n"/>
      <c r="K222" s="45" t="n">
        <v>0.152691042960864</v>
      </c>
      <c r="L222" s="45" t="n"/>
      <c r="M222" s="45" t="n"/>
      <c r="N222" s="45" t="n"/>
      <c r="O222" s="45" t="n"/>
      <c r="P222" s="45" t="n"/>
      <c r="Q222" s="45" t="n"/>
      <c r="R222" s="45" t="n">
        <v>0.908837680425424</v>
      </c>
      <c r="S222" s="45" t="n"/>
      <c r="T222" s="45" t="n"/>
      <c r="U222" s="45" t="n">
        <v>0.153824892016881</v>
      </c>
      <c r="V222" s="45" t="n"/>
      <c r="W222" s="45" t="n"/>
      <c r="X222" s="45" t="n"/>
      <c r="Y222" s="45" t="n"/>
      <c r="Z222" s="45" t="n"/>
      <c r="AA222" s="45" t="n"/>
      <c r="AB222" s="45" t="n">
        <v>0.0804502884912825</v>
      </c>
      <c r="AC222" s="45" t="n"/>
      <c r="AD222" s="45" t="n"/>
      <c r="AE222" s="45" t="n">
        <v>0.953948883260419</v>
      </c>
      <c r="AF222" s="75">
        <f>IFERROR(AVERAGE(L222:U222),"")</f>
        <v/>
      </c>
      <c r="AG222" s="75">
        <f>IFERROR(AVERAGE(V222:AE222),"")</f>
        <v/>
      </c>
      <c r="AH222" s="75">
        <f>IFERROR(AVERAGE(B222:K222),"")</f>
        <v/>
      </c>
      <c r="AI222" s="45" t="n">
        <v>0.210693359375</v>
      </c>
      <c r="AJ222" s="47" t="n">
        <v>0</v>
      </c>
    </row>
    <row r="223" ht="15" customHeight="1" s="30">
      <c r="A223" s="73" t="inlineStr">
        <is>
          <t>7881.jpg</t>
        </is>
      </c>
      <c r="B223" s="45" t="n"/>
      <c r="C223" s="45" t="n"/>
      <c r="D223" s="45" t="n"/>
      <c r="E223" s="45" t="n"/>
      <c r="F223" s="45" t="n">
        <v>0.581359423274974</v>
      </c>
      <c r="G223" s="45" t="n"/>
      <c r="H223" s="45" t="n">
        <v>0.0841958788433312</v>
      </c>
      <c r="I223" s="45" t="n"/>
      <c r="J223" s="45" t="n"/>
      <c r="K223" s="45" t="n">
        <v>0.19309360517461</v>
      </c>
      <c r="L223" s="45" t="n"/>
      <c r="M223" s="45" t="n"/>
      <c r="N223" s="45" t="n"/>
      <c r="O223" s="45" t="n"/>
      <c r="P223" s="45" t="n">
        <v>0.980886185925282</v>
      </c>
      <c r="Q223" s="45" t="n"/>
      <c r="R223" s="45" t="n">
        <v>0.969969805105682</v>
      </c>
      <c r="S223" s="45" t="n"/>
      <c r="T223" s="45" t="n"/>
      <c r="U223" s="45" t="n">
        <v>0.193532826560655</v>
      </c>
      <c r="V223" s="45" t="n"/>
      <c r="W223" s="45" t="n"/>
      <c r="X223" s="45" t="n"/>
      <c r="Y223" s="45" t="n"/>
      <c r="Z223" s="45" t="n">
        <v>0.588020833333333</v>
      </c>
      <c r="AA223" s="45" t="n"/>
      <c r="AB223" s="45" t="n">
        <v>0.0844159256941093</v>
      </c>
      <c r="AC223" s="45" t="n"/>
      <c r="AD223" s="45" t="n"/>
      <c r="AE223" s="45" t="n">
        <v>0.988383205555674</v>
      </c>
      <c r="AF223" s="75">
        <f>IFERROR(AVERAGE(L223:U223),"")</f>
        <v/>
      </c>
      <c r="AG223" s="75">
        <f>IFERROR(AVERAGE(V223:AE223),"")</f>
        <v/>
      </c>
      <c r="AH223" s="75">
        <f>IFERROR(AVERAGE(B223:K223),"")</f>
        <v/>
      </c>
      <c r="AI223" s="45" t="n">
        <v>0.257854461669922</v>
      </c>
      <c r="AJ223" s="47" t="n">
        <v>0</v>
      </c>
    </row>
    <row r="224" ht="15" customHeight="1" s="30">
      <c r="A224" s="73" t="inlineStr">
        <is>
          <t>7888.jpg</t>
        </is>
      </c>
      <c r="B224" s="45" t="n"/>
      <c r="C224" s="45" t="n"/>
      <c r="D224" s="45" t="n"/>
      <c r="E224" s="45" t="n"/>
      <c r="F224" s="45" t="n">
        <v>0.24355735219808</v>
      </c>
      <c r="G224" s="45" t="n"/>
      <c r="H224" s="45" t="n">
        <v>0.50403176166441</v>
      </c>
      <c r="I224" s="45" t="n"/>
      <c r="J224" s="45" t="n"/>
      <c r="K224" s="45" t="n">
        <v>0.9004150233502199</v>
      </c>
      <c r="L224" s="45" t="n"/>
      <c r="M224" s="45" t="n"/>
      <c r="N224" s="45" t="n"/>
      <c r="O224" s="45" t="n"/>
      <c r="P224" s="45" t="n">
        <v>0.79625550660793</v>
      </c>
      <c r="Q224" s="45" t="n"/>
      <c r="R224" s="45" t="n">
        <v>0.9285066334051481</v>
      </c>
      <c r="S224" s="45" t="n"/>
      <c r="T224" s="45" t="n"/>
      <c r="U224" s="45" t="n">
        <v>0.906104436344313</v>
      </c>
      <c r="V224" s="45" t="n"/>
      <c r="W224" s="45" t="n"/>
      <c r="X224" s="45" t="n"/>
      <c r="Y224" s="45" t="n"/>
      <c r="Z224" s="45" t="n">
        <v>0.259744925453566</v>
      </c>
      <c r="AA224" s="45" t="n"/>
      <c r="AB224" s="45" t="n">
        <v>0.524382824757453</v>
      </c>
      <c r="AC224" s="45" t="n"/>
      <c r="AD224" s="45" t="n"/>
      <c r="AE224" s="45" t="n">
        <v>0.993074861565482</v>
      </c>
      <c r="AF224" s="75">
        <f>IFERROR(AVERAGE(L224:U224),"")</f>
        <v/>
      </c>
      <c r="AG224" s="75">
        <f>IFERROR(AVERAGE(V224:AE224),"")</f>
        <v/>
      </c>
      <c r="AH224" s="75">
        <f>IFERROR(AVERAGE(B224:K224),"")</f>
        <v/>
      </c>
      <c r="AI224" s="45" t="n">
        <v>0.906089782714844</v>
      </c>
      <c r="AJ224" s="47" t="n">
        <v>0</v>
      </c>
    </row>
    <row r="225" ht="15" customHeight="1" s="30">
      <c r="A225" s="73" t="inlineStr">
        <is>
          <t>7889.jpg</t>
        </is>
      </c>
      <c r="B225" s="45" t="n"/>
      <c r="C225" s="45" t="n"/>
      <c r="D225" s="45" t="n"/>
      <c r="E225" s="45" t="n"/>
      <c r="F225" s="45" t="n">
        <v>0.372469012241127</v>
      </c>
      <c r="G225" s="45" t="n"/>
      <c r="H225" s="45" t="n">
        <v>0.9226798656531729</v>
      </c>
      <c r="I225" s="45" t="n"/>
      <c r="J225" s="45" t="n"/>
      <c r="K225" s="45" t="n">
        <v>0.9552870142901631</v>
      </c>
      <c r="L225" s="45" t="n"/>
      <c r="M225" s="45" t="n"/>
      <c r="N225" s="45" t="n"/>
      <c r="O225" s="45" t="n"/>
      <c r="P225" s="45" t="n">
        <v>0.863620135665834</v>
      </c>
      <c r="Q225" s="45" t="n"/>
      <c r="R225" s="45" t="n">
        <v>0.963345760584696</v>
      </c>
      <c r="S225" s="45" t="n"/>
      <c r="T225" s="45" t="n"/>
      <c r="U225" s="45" t="n">
        <v>0.96260203703623</v>
      </c>
      <c r="V225" s="45" t="n"/>
      <c r="W225" s="45" t="n"/>
      <c r="X225" s="45" t="n"/>
      <c r="Y225" s="45" t="n"/>
      <c r="Z225" s="45" t="n">
        <v>0.395746421267894</v>
      </c>
      <c r="AA225" s="45" t="n"/>
      <c r="AB225" s="45" t="n">
        <v>0.956250916019346</v>
      </c>
      <c r="AC225" s="45" t="n"/>
      <c r="AD225" s="45" t="n"/>
      <c r="AE225" s="45" t="n">
        <v>0.992107875504768</v>
      </c>
      <c r="AF225" s="75">
        <f>IFERROR(AVERAGE(L225:U225),"")</f>
        <v/>
      </c>
      <c r="AG225" s="75">
        <f>IFERROR(AVERAGE(V225:AE225),"")</f>
        <v/>
      </c>
      <c r="AH225" s="75">
        <f>IFERROR(AVERAGE(B225:K225),"")</f>
        <v/>
      </c>
      <c r="AI225" s="45" t="n">
        <v>0.960563659667969</v>
      </c>
      <c r="AJ225" s="47" t="n">
        <v>0</v>
      </c>
    </row>
    <row r="226" ht="15" customHeight="1" s="30">
      <c r="A226" s="73" t="inlineStr">
        <is>
          <t>7899.jpg</t>
        </is>
      </c>
      <c r="B226" s="45" t="n"/>
      <c r="C226" s="45" t="n"/>
      <c r="D226" s="45" t="n"/>
      <c r="E226" s="45" t="n"/>
      <c r="F226" s="45" t="n">
        <v>0.91114300488608</v>
      </c>
      <c r="G226" s="45" t="n">
        <v>0.884850205878177</v>
      </c>
      <c r="H226" s="45" t="n">
        <v>0.8546931152551011</v>
      </c>
      <c r="I226" s="45" t="n">
        <v>0.845070422535211</v>
      </c>
      <c r="J226" s="45" t="n"/>
      <c r="K226" s="45" t="n">
        <v>0.901107875091239</v>
      </c>
      <c r="L226" s="45" t="n"/>
      <c r="M226" s="45" t="n"/>
      <c r="N226" s="45" t="n"/>
      <c r="O226" s="45" t="n"/>
      <c r="P226" s="45" t="n">
        <v>0.98745368040624</v>
      </c>
      <c r="Q226" s="45" t="n">
        <v>0.922029886077822</v>
      </c>
      <c r="R226" s="45" t="n">
        <v>0.9860920666013711</v>
      </c>
      <c r="S226" s="45" t="n">
        <v>0.970873786407767</v>
      </c>
      <c r="T226" s="45" t="n"/>
      <c r="U226" s="45" t="n">
        <v>0.9121293918844779</v>
      </c>
      <c r="V226" s="45" t="n"/>
      <c r="W226" s="45" t="n"/>
      <c r="X226" s="45" t="n"/>
      <c r="Y226" s="45" t="n"/>
      <c r="Z226" s="45" t="n">
        <v>0.921814609980568</v>
      </c>
      <c r="AA226" s="45" t="n">
        <v>0.956414978514426</v>
      </c>
      <c r="AB226" s="45" t="n">
        <v>0.865121874373443</v>
      </c>
      <c r="AC226" s="45" t="n">
        <v>0.867052023121387</v>
      </c>
      <c r="AD226" s="45" t="n"/>
      <c r="AE226" s="45" t="n">
        <v>0.986768069261877</v>
      </c>
      <c r="AF226" s="75">
        <f>IFERROR(AVERAGE(L226:U226),"")</f>
        <v/>
      </c>
      <c r="AG226" s="75">
        <f>IFERROR(AVERAGE(V226:AE226),"")</f>
        <v/>
      </c>
      <c r="AH226" s="75">
        <f>IFERROR(AVERAGE(B226:K226),"")</f>
        <v/>
      </c>
      <c r="AI226" s="45" t="n">
        <v>0.9462890625</v>
      </c>
      <c r="AJ226" s="47" t="n">
        <v>0</v>
      </c>
    </row>
    <row r="227" ht="15" customHeight="1" s="30">
      <c r="A227" s="73" t="inlineStr">
        <is>
          <t>7903.jpg</t>
        </is>
      </c>
      <c r="B227" s="45" t="n"/>
      <c r="C227" s="45" t="n"/>
      <c r="D227" s="45" t="n"/>
      <c r="E227" s="45" t="n"/>
      <c r="F227" s="45" t="n">
        <v>0.862956003369403</v>
      </c>
      <c r="G227" s="45" t="n"/>
      <c r="H227" s="45" t="n">
        <v>0.8717152967109461</v>
      </c>
      <c r="I227" s="45" t="n"/>
      <c r="J227" s="45" t="n"/>
      <c r="K227" s="45" t="n">
        <v>0.719238381218863</v>
      </c>
      <c r="L227" s="45" t="n"/>
      <c r="M227" s="45" t="n"/>
      <c r="N227" s="45" t="n"/>
      <c r="O227" s="45" t="n"/>
      <c r="P227" s="45" t="n">
        <v>0.96942786431795</v>
      </c>
      <c r="Q227" s="45" t="n"/>
      <c r="R227" s="45" t="n">
        <v>0.911330609398334</v>
      </c>
      <c r="S227" s="45" t="n"/>
      <c r="T227" s="45" t="n"/>
      <c r="U227" s="45" t="n">
        <v>0.840039853869147</v>
      </c>
      <c r="V227" s="45" t="n"/>
      <c r="W227" s="45" t="n"/>
      <c r="X227" s="45" t="n"/>
      <c r="Y227" s="45" t="n"/>
      <c r="Z227" s="45" t="n">
        <v>0.887097848531273</v>
      </c>
      <c r="AA227" s="45" t="n"/>
      <c r="AB227" s="45" t="n">
        <v>0.952501683635067</v>
      </c>
      <c r="AC227" s="45" t="n"/>
      <c r="AD227" s="45" t="n"/>
      <c r="AE227" s="45" t="n">
        <v>0.833375067543524</v>
      </c>
      <c r="AF227" s="75">
        <f>IFERROR(AVERAGE(L227:U227),"")</f>
        <v/>
      </c>
      <c r="AG227" s="75">
        <f>IFERROR(AVERAGE(V227:AE227),"")</f>
        <v/>
      </c>
      <c r="AH227" s="75">
        <f>IFERROR(AVERAGE(B227:K227),"")</f>
        <v/>
      </c>
      <c r="AI227" s="45" t="n">
        <v>0.903038024902344</v>
      </c>
      <c r="AJ227" s="47" t="n">
        <v>0</v>
      </c>
    </row>
    <row r="228" ht="15" customHeight="1" s="30">
      <c r="A228" s="73" t="inlineStr">
        <is>
          <t>7904.jpg</t>
        </is>
      </c>
      <c r="B228" s="45" t="n"/>
      <c r="C228" s="45" t="n"/>
      <c r="D228" s="45" t="n"/>
      <c r="E228" s="45" t="n"/>
      <c r="F228" s="45" t="n">
        <v>0.793854608383202</v>
      </c>
      <c r="G228" s="45" t="n"/>
      <c r="H228" s="45" t="n">
        <v>0.82244519139116</v>
      </c>
      <c r="I228" s="45" t="n"/>
      <c r="J228" s="45" t="n"/>
      <c r="K228" s="45" t="n">
        <v>0.727339529213324</v>
      </c>
      <c r="L228" s="45" t="n"/>
      <c r="M228" s="45" t="n"/>
      <c r="N228" s="45" t="n"/>
      <c r="O228" s="45" t="n"/>
      <c r="P228" s="45" t="n">
        <v>0.960858303220236</v>
      </c>
      <c r="Q228" s="45" t="n"/>
      <c r="R228" s="45" t="n">
        <v>0.8308819802742951</v>
      </c>
      <c r="S228" s="45" t="n"/>
      <c r="T228" s="45" t="n"/>
      <c r="U228" s="45" t="n">
        <v>0.862851538895878</v>
      </c>
      <c r="V228" s="45" t="n"/>
      <c r="W228" s="45" t="n"/>
      <c r="X228" s="45" t="n"/>
      <c r="Y228" s="45" t="n"/>
      <c r="Z228" s="45" t="n">
        <v>0.82038470464567</v>
      </c>
      <c r="AA228" s="45" t="n"/>
      <c r="AB228" s="45" t="n">
        <v>0.987804437160314</v>
      </c>
      <c r="AC228" s="45" t="n"/>
      <c r="AD228" s="45" t="n"/>
      <c r="AE228" s="45" t="n">
        <v>0.822418611677619</v>
      </c>
      <c r="AF228" s="75">
        <f>IFERROR(AVERAGE(L228:U228),"")</f>
        <v/>
      </c>
      <c r="AG228" s="75">
        <f>IFERROR(AVERAGE(V228:AE228),"")</f>
        <v/>
      </c>
      <c r="AH228" s="75">
        <f>IFERROR(AVERAGE(B228:K228),"")</f>
        <v/>
      </c>
      <c r="AI228" s="45" t="n">
        <v>0.874202728271484</v>
      </c>
      <c r="AJ228" s="47" t="n">
        <v>0</v>
      </c>
    </row>
    <row r="229" ht="15" customHeight="1" s="30">
      <c r="A229" s="73" t="inlineStr">
        <is>
          <t>7906.jpg</t>
        </is>
      </c>
      <c r="B229" s="45" t="n"/>
      <c r="C229" s="45" t="n"/>
      <c r="D229" s="45" t="n"/>
      <c r="E229" s="45" t="n"/>
      <c r="F229" s="45" t="n">
        <v>0.793766883154204</v>
      </c>
      <c r="G229" s="45" t="n"/>
      <c r="H229" s="45" t="n">
        <v>0.7662823025386259</v>
      </c>
      <c r="I229" s="45" t="n"/>
      <c r="J229" s="45" t="n"/>
      <c r="K229" s="45" t="n">
        <v>0.897515887378477</v>
      </c>
      <c r="L229" s="45" t="n"/>
      <c r="M229" s="45" t="n"/>
      <c r="N229" s="45" t="n"/>
      <c r="O229" s="45" t="n"/>
      <c r="P229" s="45" t="n">
        <v>0.985549390755178</v>
      </c>
      <c r="Q229" s="45" t="n"/>
      <c r="R229" s="45" t="n">
        <v>0.780874088523524</v>
      </c>
      <c r="S229" s="45" t="n"/>
      <c r="T229" s="45" t="n"/>
      <c r="U229" s="45" t="n">
        <v>0.924398569570871</v>
      </c>
      <c r="V229" s="45" t="n"/>
      <c r="W229" s="45" t="n"/>
      <c r="X229" s="45" t="n"/>
      <c r="Y229" s="45" t="n"/>
      <c r="Z229" s="45" t="n">
        <v>0.803114005756985</v>
      </c>
      <c r="AA229" s="45" t="n"/>
      <c r="AB229" s="45" t="n">
        <v>0.976194623468618</v>
      </c>
      <c r="AC229" s="45" t="n"/>
      <c r="AD229" s="45" t="n"/>
      <c r="AE229" s="45" t="n">
        <v>0.968614982825674</v>
      </c>
      <c r="AF229" s="75">
        <f>IFERROR(AVERAGE(L229:U229),"")</f>
        <v/>
      </c>
      <c r="AG229" s="75">
        <f>IFERROR(AVERAGE(V229:AE229),"")</f>
        <v/>
      </c>
      <c r="AH229" s="75">
        <f>IFERROR(AVERAGE(B229:K229),"")</f>
        <v/>
      </c>
      <c r="AI229" s="45" t="n">
        <v>0.925685882568359</v>
      </c>
      <c r="AJ229" s="47" t="n">
        <v>0</v>
      </c>
    </row>
    <row r="230" ht="15" customHeight="1" s="30">
      <c r="A230" s="73" t="inlineStr">
        <is>
          <t>7911.jpg</t>
        </is>
      </c>
      <c r="B230" s="45" t="n"/>
      <c r="C230" s="45" t="n"/>
      <c r="D230" s="45" t="n"/>
      <c r="E230" s="45" t="n"/>
      <c r="F230" s="45" t="n">
        <v>0</v>
      </c>
      <c r="G230" s="45" t="n"/>
      <c r="H230" s="45" t="n">
        <v>0</v>
      </c>
      <c r="I230" s="45" t="n"/>
      <c r="J230" s="45" t="n"/>
      <c r="K230" s="45" t="n">
        <v>0.946176502006745</v>
      </c>
      <c r="L230" s="45" t="n"/>
      <c r="M230" s="45" t="n"/>
      <c r="N230" s="45" t="n"/>
      <c r="O230" s="45" t="n"/>
      <c r="P230" s="45" t="n">
        <v>0</v>
      </c>
      <c r="Q230" s="45" t="n"/>
      <c r="R230" s="45" t="n">
        <v>0</v>
      </c>
      <c r="S230" s="45" t="n"/>
      <c r="T230" s="45" t="n"/>
      <c r="U230" s="45" t="n">
        <v>0.9716202027799981</v>
      </c>
      <c r="V230" s="45" t="n"/>
      <c r="W230" s="45" t="n"/>
      <c r="X230" s="45" t="n"/>
      <c r="Y230" s="45" t="n"/>
      <c r="Z230" s="45" t="n"/>
      <c r="AA230" s="45" t="n"/>
      <c r="AB230" s="45" t="n">
        <v>0</v>
      </c>
      <c r="AC230" s="45" t="n"/>
      <c r="AD230" s="45" t="n"/>
      <c r="AE230" s="45" t="n">
        <v>0.973068834552246</v>
      </c>
      <c r="AF230" s="75">
        <f>IFERROR(AVERAGE(L230:U230),"")</f>
        <v/>
      </c>
      <c r="AG230" s="75">
        <f>IFERROR(AVERAGE(V230:AE230),"")</f>
        <v/>
      </c>
      <c r="AH230" s="75">
        <f>IFERROR(AVERAGE(B230:K230),"")</f>
        <v/>
      </c>
      <c r="AI230" s="45" t="n">
        <v>0.946075439453125</v>
      </c>
      <c r="AJ230" s="47" t="n">
        <v>0</v>
      </c>
    </row>
    <row r="231" ht="15" customHeight="1" s="30">
      <c r="A231" s="73" t="inlineStr">
        <is>
          <t>7915.jpg</t>
        </is>
      </c>
      <c r="B231" s="45" t="n"/>
      <c r="C231" s="45" t="n"/>
      <c r="D231" s="45" t="n"/>
      <c r="E231" s="45" t="n"/>
      <c r="F231" s="45" t="n">
        <v>0.732548056077468</v>
      </c>
      <c r="G231" s="45" t="n"/>
      <c r="H231" s="45" t="n">
        <v>0</v>
      </c>
      <c r="I231" s="45" t="n"/>
      <c r="J231" s="45" t="n"/>
      <c r="K231" s="45" t="n">
        <v>0.974476899451206</v>
      </c>
      <c r="L231" s="45" t="n"/>
      <c r="M231" s="45" t="n"/>
      <c r="N231" s="45" t="n"/>
      <c r="O231" s="45" t="n"/>
      <c r="P231" s="45" t="n">
        <v>0.9369627507163319</v>
      </c>
      <c r="Q231" s="45" t="n"/>
      <c r="R231" s="45" t="n">
        <v>0</v>
      </c>
      <c r="S231" s="45" t="n"/>
      <c r="T231" s="45" t="n"/>
      <c r="U231" s="45" t="n">
        <v>0.987855700459384</v>
      </c>
      <c r="V231" s="45" t="n"/>
      <c r="W231" s="45" t="n"/>
      <c r="X231" s="45" t="n"/>
      <c r="Y231" s="45" t="n"/>
      <c r="Z231" s="45" t="n">
        <v>0.770522955305564</v>
      </c>
      <c r="AA231" s="45" t="n"/>
      <c r="AB231" s="45" t="n"/>
      <c r="AC231" s="45" t="n"/>
      <c r="AD231" s="45" t="n"/>
      <c r="AE231" s="45" t="n">
        <v>0.986292512088936</v>
      </c>
      <c r="AF231" s="75">
        <f>IFERROR(AVERAGE(L231:U231),"")</f>
        <v/>
      </c>
      <c r="AG231" s="75">
        <f>IFERROR(AVERAGE(V231:AE231),"")</f>
        <v/>
      </c>
      <c r="AH231" s="75">
        <f>IFERROR(AVERAGE(B231:K231),"")</f>
        <v/>
      </c>
      <c r="AI231" s="45" t="n">
        <v>0.9754638671875</v>
      </c>
      <c r="AJ231" s="47" t="n">
        <v>0</v>
      </c>
    </row>
    <row r="232" ht="15" customHeight="1" s="30">
      <c r="A232" s="73" t="inlineStr">
        <is>
          <t>7928.jpg</t>
        </is>
      </c>
      <c r="B232" s="45" t="n"/>
      <c r="C232" s="45" t="n"/>
      <c r="D232" s="45" t="n"/>
      <c r="E232" s="45" t="n"/>
      <c r="F232" s="45" t="n"/>
      <c r="G232" s="45" t="n"/>
      <c r="H232" s="45" t="n">
        <v>0.85980977833674</v>
      </c>
      <c r="I232" s="45" t="n"/>
      <c r="J232" s="45" t="n"/>
      <c r="K232" s="45" t="n">
        <v>0.985154016157025</v>
      </c>
      <c r="L232" s="45" t="n"/>
      <c r="M232" s="45" t="n"/>
      <c r="N232" s="45" t="n"/>
      <c r="O232" s="45" t="n"/>
      <c r="P232" s="45" t="n"/>
      <c r="Q232" s="45" t="n"/>
      <c r="R232" s="45" t="n">
        <v>0.931451441222804</v>
      </c>
      <c r="S232" s="45" t="n"/>
      <c r="T232" s="45" t="n"/>
      <c r="U232" s="45" t="n">
        <v>0.991799947204566</v>
      </c>
      <c r="V232" s="45" t="n"/>
      <c r="W232" s="45" t="n"/>
      <c r="X232" s="45" t="n"/>
      <c r="Y232" s="45" t="n"/>
      <c r="Z232" s="45" t="n"/>
      <c r="AA232" s="45" t="n"/>
      <c r="AB232" s="45" t="n">
        <v>0.917890408659898</v>
      </c>
      <c r="AC232" s="45" t="n"/>
      <c r="AD232" s="45" t="n"/>
      <c r="AE232" s="45" t="n">
        <v>0.993244093827368</v>
      </c>
      <c r="AF232" s="75">
        <f>IFERROR(AVERAGE(L232:U232),"")</f>
        <v/>
      </c>
      <c r="AG232" s="75">
        <f>IFERROR(AVERAGE(V232:AE232),"")</f>
        <v/>
      </c>
      <c r="AH232" s="75">
        <f>IFERROR(AVERAGE(B232:K232),"")</f>
        <v/>
      </c>
      <c r="AI232" s="45" t="n">
        <v>0.986392974853516</v>
      </c>
      <c r="AJ232" s="47" t="n">
        <v>0</v>
      </c>
    </row>
    <row r="233" ht="15" customHeight="1" s="30">
      <c r="A233" s="73" t="inlineStr">
        <is>
          <t>7935.jpg</t>
        </is>
      </c>
      <c r="B233" s="45" t="n"/>
      <c r="C233" s="45" t="n"/>
      <c r="D233" s="45" t="n"/>
      <c r="E233" s="45" t="n"/>
      <c r="F233" s="45" t="n"/>
      <c r="G233" s="45" t="n">
        <v>0.937186670598644</v>
      </c>
      <c r="H233" s="45" t="n">
        <v>0.875518262586377</v>
      </c>
      <c r="I233" s="45" t="n"/>
      <c r="J233" s="45" t="n"/>
      <c r="K233" s="45" t="n">
        <v>0.956681376669469</v>
      </c>
      <c r="L233" s="45" t="n"/>
      <c r="M233" s="45" t="n"/>
      <c r="N233" s="45" t="n"/>
      <c r="O233" s="45" t="n"/>
      <c r="P233" s="45" t="n"/>
      <c r="Q233" s="45" t="n">
        <v>0.997979301493679</v>
      </c>
      <c r="R233" s="45" t="n">
        <v>0.955556752680063</v>
      </c>
      <c r="S233" s="45" t="n"/>
      <c r="T233" s="45" t="n"/>
      <c r="U233" s="45" t="n">
        <v>0.9621460734183011</v>
      </c>
      <c r="V233" s="45" t="n"/>
      <c r="W233" s="45" t="n"/>
      <c r="X233" s="45" t="n"/>
      <c r="Y233" s="45" t="n"/>
      <c r="Z233" s="45" t="n"/>
      <c r="AA233" s="45" t="n">
        <v>0.938968462971289</v>
      </c>
      <c r="AB233" s="45" t="n">
        <v>0.912683303318755</v>
      </c>
      <c r="AC233" s="45" t="n"/>
      <c r="AD233" s="45" t="n"/>
      <c r="AE233" s="45" t="n">
        <v>0.99409816576087</v>
      </c>
      <c r="AF233" s="75">
        <f>IFERROR(AVERAGE(L233:U233),"")</f>
        <v/>
      </c>
      <c r="AG233" s="75">
        <f>IFERROR(AVERAGE(V233:AE233),"")</f>
        <v/>
      </c>
      <c r="AH233" s="75">
        <f>IFERROR(AVERAGE(B233:K233),"")</f>
        <v/>
      </c>
      <c r="AI233" s="45" t="n">
        <v>0.971691131591797</v>
      </c>
      <c r="AJ233" s="47" t="n">
        <v>0</v>
      </c>
    </row>
    <row r="234" ht="15" customHeight="1" s="30">
      <c r="A234" s="73" t="inlineStr">
        <is>
          <t>7946.jpg</t>
        </is>
      </c>
      <c r="B234" s="45" t="n"/>
      <c r="C234" s="45" t="n"/>
      <c r="D234" s="45" t="n"/>
      <c r="E234" s="45" t="n"/>
      <c r="F234" s="45" t="n"/>
      <c r="G234" s="45" t="n">
        <v>0.9684259045863099</v>
      </c>
      <c r="H234" s="45" t="n">
        <v>0.462471844801279</v>
      </c>
      <c r="I234" s="45" t="n"/>
      <c r="J234" s="45" t="n"/>
      <c r="K234" s="45" t="n">
        <v>0.955968931849724</v>
      </c>
      <c r="L234" s="45" t="n"/>
      <c r="M234" s="45" t="n"/>
      <c r="N234" s="45" t="n"/>
      <c r="O234" s="45" t="n"/>
      <c r="P234" s="45" t="n"/>
      <c r="Q234" s="45" t="n">
        <v>0.999980168567179</v>
      </c>
      <c r="R234" s="45" t="n">
        <v>0.874433301277648</v>
      </c>
      <c r="S234" s="45" t="n"/>
      <c r="T234" s="45" t="n"/>
      <c r="U234" s="45" t="n">
        <v>0.960247505380552</v>
      </c>
      <c r="V234" s="45" t="n"/>
      <c r="W234" s="45" t="n"/>
      <c r="X234" s="45" t="n"/>
      <c r="Y234" s="45" t="n"/>
      <c r="Z234" s="45" t="n"/>
      <c r="AA234" s="45" t="n">
        <v>0.968444504196516</v>
      </c>
      <c r="AB234" s="45" t="n">
        <v>0.495369289438867</v>
      </c>
      <c r="AC234" s="45" t="n"/>
      <c r="AD234" s="45" t="n"/>
      <c r="AE234" s="45" t="n">
        <v>0.99536069929219</v>
      </c>
      <c r="AF234" s="75">
        <f>IFERROR(AVERAGE(L234:U234),"")</f>
        <v/>
      </c>
      <c r="AG234" s="75">
        <f>IFERROR(AVERAGE(V234:AE234),"")</f>
        <v/>
      </c>
      <c r="AH234" s="75">
        <f>IFERROR(AVERAGE(B234:K234),"")</f>
        <v/>
      </c>
      <c r="AI234" s="45" t="n">
        <v>0.965507507324219</v>
      </c>
      <c r="AJ234" s="47" t="n">
        <v>0</v>
      </c>
    </row>
    <row r="235" ht="15" customHeight="1" s="30">
      <c r="A235" s="73" t="inlineStr">
        <is>
          <t>7956.jpg</t>
        </is>
      </c>
      <c r="B235" s="45" t="n"/>
      <c r="C235" s="45" t="n"/>
      <c r="D235" s="45" t="n"/>
      <c r="E235" s="45" t="n"/>
      <c r="F235" s="45" t="n"/>
      <c r="G235" s="45" t="n"/>
      <c r="H235" s="45" t="n">
        <v>0.424217462932455</v>
      </c>
      <c r="I235" s="45" t="n"/>
      <c r="J235" s="45" t="n"/>
      <c r="K235" s="45" t="n">
        <v>0.997328277828528</v>
      </c>
      <c r="L235" s="45" t="n"/>
      <c r="M235" s="45" t="n"/>
      <c r="N235" s="45" t="n"/>
      <c r="O235" s="45" t="n"/>
      <c r="P235" s="45" t="n"/>
      <c r="Q235" s="45" t="n"/>
      <c r="R235" s="45" t="n">
        <v>0.452946350043975</v>
      </c>
      <c r="S235" s="45" t="n"/>
      <c r="T235" s="45" t="n"/>
      <c r="U235" s="45" t="n">
        <v>0.999704988755091</v>
      </c>
      <c r="V235" s="45" t="n"/>
      <c r="W235" s="45" t="n"/>
      <c r="X235" s="45" t="n"/>
      <c r="Y235" s="45" t="n"/>
      <c r="Z235" s="45" t="n"/>
      <c r="AA235" s="45" t="n"/>
      <c r="AB235" s="45" t="n">
        <v>0.869932432432433</v>
      </c>
      <c r="AC235" s="45" t="n"/>
      <c r="AD235" s="45" t="n"/>
      <c r="AE235" s="45" t="n">
        <v>0.997621887808161</v>
      </c>
      <c r="AF235" s="75">
        <f>IFERROR(AVERAGE(L235:U235),"")</f>
        <v/>
      </c>
      <c r="AG235" s="75">
        <f>IFERROR(AVERAGE(V235:AE235),"")</f>
        <v/>
      </c>
      <c r="AH235" s="75">
        <f>IFERROR(AVERAGE(B235:K235),"")</f>
        <v/>
      </c>
      <c r="AI235" s="45" t="n">
        <v>0.997333526611328</v>
      </c>
      <c r="AJ235" s="47" t="n">
        <v>0</v>
      </c>
    </row>
    <row r="236" ht="15" customHeight="1" s="30">
      <c r="A236" s="73" t="inlineStr">
        <is>
          <t>7957.jpg</t>
        </is>
      </c>
      <c r="B236" s="45" t="n"/>
      <c r="C236" s="45" t="n"/>
      <c r="D236" s="45" t="n"/>
      <c r="E236" s="45" t="n"/>
      <c r="F236" s="45" t="n"/>
      <c r="G236" s="45" t="n"/>
      <c r="H236" s="45" t="n">
        <v>0</v>
      </c>
      <c r="I236" s="45" t="n"/>
      <c r="J236" s="45" t="n"/>
      <c r="K236" s="45" t="n">
        <v>0.985931396484375</v>
      </c>
      <c r="L236" s="45" t="n"/>
      <c r="M236" s="45" t="n"/>
      <c r="N236" s="45" t="n"/>
      <c r="O236" s="45" t="n"/>
      <c r="P236" s="45" t="n"/>
      <c r="Q236" s="45" t="n"/>
      <c r="R236" s="45" t="n">
        <v>0</v>
      </c>
      <c r="S236" s="45" t="n"/>
      <c r="T236" s="45" t="n"/>
      <c r="U236" s="45" t="n">
        <v>0.988238532951991</v>
      </c>
      <c r="V236" s="45" t="n"/>
      <c r="W236" s="45" t="n"/>
      <c r="X236" s="45" t="n"/>
      <c r="Y236" s="45" t="n"/>
      <c r="Z236" s="45" t="n"/>
      <c r="AA236" s="45" t="n"/>
      <c r="AB236" s="45" t="n">
        <v>0</v>
      </c>
      <c r="AC236" s="45" t="n"/>
      <c r="AD236" s="45" t="n"/>
      <c r="AE236" s="45" t="n">
        <v>0.997637685858539</v>
      </c>
      <c r="AF236" s="75">
        <f>IFERROR(AVERAGE(L236:U236),"")</f>
        <v/>
      </c>
      <c r="AG236" s="75">
        <f>IFERROR(AVERAGE(V236:AE236),"")</f>
        <v/>
      </c>
      <c r="AH236" s="75">
        <f>IFERROR(AVERAGE(B236:K236),"")</f>
        <v/>
      </c>
      <c r="AI236" s="45" t="n">
        <v>0.985931396484375</v>
      </c>
      <c r="AJ236" s="47" t="n">
        <v>0</v>
      </c>
    </row>
    <row r="237" ht="15" customHeight="1" s="30">
      <c r="A237" s="73" t="inlineStr">
        <is>
          <t>7960.jpg</t>
        </is>
      </c>
      <c r="B237" s="45" t="n"/>
      <c r="C237" s="45" t="n"/>
      <c r="D237" s="45" t="n"/>
      <c r="E237" s="45" t="n"/>
      <c r="F237" s="45" t="n"/>
      <c r="G237" s="45" t="n"/>
      <c r="H237" s="45" t="n">
        <v>0</v>
      </c>
      <c r="I237" s="45" t="n"/>
      <c r="J237" s="45" t="n"/>
      <c r="K237" s="45" t="n">
        <v>0.98260498046875</v>
      </c>
      <c r="L237" s="45" t="n"/>
      <c r="M237" s="45" t="n"/>
      <c r="N237" s="45" t="n"/>
      <c r="O237" s="45" t="n"/>
      <c r="P237" s="45" t="n"/>
      <c r="Q237" s="45" t="n"/>
      <c r="R237" s="45" t="n">
        <v>0</v>
      </c>
      <c r="S237" s="45" t="n"/>
      <c r="T237" s="45" t="n"/>
      <c r="U237" s="45" t="n">
        <v>0.982919941998016</v>
      </c>
      <c r="V237" s="45" t="n"/>
      <c r="W237" s="45" t="n"/>
      <c r="X237" s="45" t="n"/>
      <c r="Y237" s="45" t="n"/>
      <c r="Z237" s="45" t="n"/>
      <c r="AA237" s="45" t="n"/>
      <c r="AB237" s="45" t="n">
        <v>0</v>
      </c>
      <c r="AC237" s="45" t="n"/>
      <c r="AD237" s="45" t="n"/>
      <c r="AE237" s="45" t="n">
        <v>0.999673999099617</v>
      </c>
      <c r="AF237" s="75">
        <f>IFERROR(AVERAGE(L237:U237),"")</f>
        <v/>
      </c>
      <c r="AG237" s="75">
        <f>IFERROR(AVERAGE(V237:AE237),"")</f>
        <v/>
      </c>
      <c r="AH237" s="75">
        <f>IFERROR(AVERAGE(B237:K237),"")</f>
        <v/>
      </c>
      <c r="AI237" s="45" t="n">
        <v>0.98260498046875</v>
      </c>
      <c r="AJ237" s="47" t="n">
        <v>0</v>
      </c>
    </row>
    <row r="238" ht="15" customHeight="1" s="30">
      <c r="A238" s="73" t="inlineStr">
        <is>
          <t>7961.jpg</t>
        </is>
      </c>
      <c r="B238" s="45" t="n"/>
      <c r="C238" s="45" t="n"/>
      <c r="D238" s="45" t="n"/>
      <c r="E238" s="45" t="n"/>
      <c r="F238" s="45" t="n"/>
      <c r="G238" s="45" t="n"/>
      <c r="H238" s="45" t="n">
        <v>0</v>
      </c>
      <c r="I238" s="45" t="n"/>
      <c r="J238" s="45" t="n"/>
      <c r="K238" s="45" t="n">
        <v>0.9974212646484381</v>
      </c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>
        <v>0.9974212646484381</v>
      </c>
      <c r="V238" s="45" t="n"/>
      <c r="W238" s="45" t="n"/>
      <c r="X238" s="45" t="n"/>
      <c r="Y238" s="45" t="n"/>
      <c r="Z238" s="45" t="n"/>
      <c r="AA238" s="45" t="n"/>
      <c r="AB238" s="45" t="n">
        <v>0</v>
      </c>
      <c r="AC238" s="45" t="n"/>
      <c r="AD238" s="45" t="n"/>
      <c r="AE238" s="45" t="n">
        <v>1</v>
      </c>
      <c r="AF238" s="75">
        <f>IFERROR(AVERAGE(L238:U238),"")</f>
        <v/>
      </c>
      <c r="AG238" s="75">
        <f>IFERROR(AVERAGE(V238:AE238),"")</f>
        <v/>
      </c>
      <c r="AH238" s="75">
        <f>IFERROR(AVERAGE(B238:K238),"")</f>
        <v/>
      </c>
      <c r="AI238" s="45" t="n">
        <v>0.9974212646484381</v>
      </c>
      <c r="AJ238" s="47" t="n">
        <v>0</v>
      </c>
    </row>
    <row r="239" ht="15" customHeight="1" s="30">
      <c r="A239" s="73" t="inlineStr">
        <is>
          <t>7964.jpg</t>
        </is>
      </c>
      <c r="B239" s="45" t="n"/>
      <c r="C239" s="45" t="n"/>
      <c r="D239" s="45" t="n"/>
      <c r="E239" s="45" t="n"/>
      <c r="F239" s="45" t="n"/>
      <c r="G239" s="45" t="n"/>
      <c r="H239" s="45" t="n">
        <v>0</v>
      </c>
      <c r="I239" s="45" t="n"/>
      <c r="J239" s="45" t="n"/>
      <c r="K239" s="45" t="n">
        <v>0.8773040771484381</v>
      </c>
      <c r="L239" s="45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5" t="n">
        <v>0.8773040771484381</v>
      </c>
      <c r="V239" s="45" t="n"/>
      <c r="W239" s="45" t="n"/>
      <c r="X239" s="45" t="n"/>
      <c r="Y239" s="45" t="n"/>
      <c r="Z239" s="45" t="n"/>
      <c r="AA239" s="45" t="n"/>
      <c r="AB239" s="45" t="n">
        <v>0</v>
      </c>
      <c r="AC239" s="45" t="n"/>
      <c r="AD239" s="45" t="n"/>
      <c r="AE239" s="45" t="n">
        <v>1</v>
      </c>
      <c r="AF239" s="75">
        <f>IFERROR(AVERAGE(L239:U239),"")</f>
        <v/>
      </c>
      <c r="AG239" s="75">
        <f>IFERROR(AVERAGE(V239:AE239),"")</f>
        <v/>
      </c>
      <c r="AH239" s="75">
        <f>IFERROR(AVERAGE(B239:K239),"")</f>
        <v/>
      </c>
      <c r="AI239" s="45" t="n">
        <v>0.8773040771484381</v>
      </c>
      <c r="AJ239" s="47" t="n">
        <v>0</v>
      </c>
    </row>
    <row r="240" ht="15" customHeight="1" s="30">
      <c r="A240" s="73" t="inlineStr">
        <is>
          <t>7969.jpg</t>
        </is>
      </c>
      <c r="B240" s="45" t="n"/>
      <c r="C240" s="45" t="n"/>
      <c r="D240" s="45" t="n"/>
      <c r="E240" s="45" t="n"/>
      <c r="F240" s="45" t="n"/>
      <c r="G240" s="45" t="n"/>
      <c r="H240" s="45" t="n">
        <v>0.531044558071585</v>
      </c>
      <c r="I240" s="45" t="n"/>
      <c r="J240" s="45" t="n"/>
      <c r="K240" s="45" t="n">
        <v>0.997544153593684</v>
      </c>
      <c r="L240" s="45" t="n"/>
      <c r="M240" s="45" t="n"/>
      <c r="N240" s="45" t="n"/>
      <c r="O240" s="45" t="n"/>
      <c r="P240" s="45" t="n"/>
      <c r="Q240" s="45" t="n"/>
      <c r="R240" s="45" t="n">
        <v>0.758081334723671</v>
      </c>
      <c r="S240" s="45" t="n"/>
      <c r="T240" s="45" t="n"/>
      <c r="U240" s="45" t="n">
        <v>0.998430231445144</v>
      </c>
      <c r="V240" s="45" t="n"/>
      <c r="W240" s="45" t="n"/>
      <c r="X240" s="45" t="n"/>
      <c r="Y240" s="45" t="n"/>
      <c r="Z240" s="45" t="n"/>
      <c r="AA240" s="45" t="n"/>
      <c r="AB240" s="45" t="n">
        <v>0.639401934916447</v>
      </c>
      <c r="AC240" s="45" t="n"/>
      <c r="AD240" s="45" t="n"/>
      <c r="AE240" s="45" t="n">
        <v>0.999111134950404</v>
      </c>
      <c r="AF240" s="75">
        <f>IFERROR(AVERAGE(L240:U240),"")</f>
        <v/>
      </c>
      <c r="AG240" s="75">
        <f>IFERROR(AVERAGE(V240:AE240),"")</f>
        <v/>
      </c>
      <c r="AH240" s="75">
        <f>IFERROR(AVERAGE(B240:K240),"")</f>
        <v/>
      </c>
      <c r="AI240" s="45" t="n">
        <v>0.997550964355469</v>
      </c>
      <c r="AJ240" s="47" t="n">
        <v>0</v>
      </c>
    </row>
    <row r="241" ht="15" customHeight="1" s="30">
      <c r="A241" s="73" t="inlineStr">
        <is>
          <t>7983.jpg</t>
        </is>
      </c>
      <c r="B241" s="45" t="n"/>
      <c r="C241" s="45" t="n"/>
      <c r="D241" s="45" t="n"/>
      <c r="E241" s="45" t="n"/>
      <c r="F241" s="45" t="n">
        <v>0.933039078479923</v>
      </c>
      <c r="G241" s="45" t="n"/>
      <c r="H241" s="45" t="n">
        <v>0.930219511941741</v>
      </c>
      <c r="I241" s="45" t="n"/>
      <c r="J241" s="45" t="n"/>
      <c r="K241" s="45" t="n">
        <v>0.90763700257286</v>
      </c>
      <c r="L241" s="45" t="n"/>
      <c r="M241" s="45" t="n"/>
      <c r="N241" s="45" t="n"/>
      <c r="O241" s="45" t="n"/>
      <c r="P241" s="45" t="n">
        <v>0.9396286028466549</v>
      </c>
      <c r="Q241" s="45" t="n"/>
      <c r="R241" s="45" t="n">
        <v>0.950299814274343</v>
      </c>
      <c r="S241" s="45" t="n"/>
      <c r="T241" s="45" t="n"/>
      <c r="U241" s="45" t="n">
        <v>0.979623035838687</v>
      </c>
      <c r="V241" s="45" t="n"/>
      <c r="W241" s="45" t="n"/>
      <c r="X241" s="45" t="n"/>
      <c r="Y241" s="45" t="n"/>
      <c r="Z241" s="45" t="n">
        <v>0.992539877300614</v>
      </c>
      <c r="AA241" s="45" t="n"/>
      <c r="AB241" s="45" t="n">
        <v>0.977788940333712</v>
      </c>
      <c r="AC241" s="45" t="n"/>
      <c r="AD241" s="45" t="n"/>
      <c r="AE241" s="45" t="n">
        <v>0.925102564805424</v>
      </c>
      <c r="AF241" s="75">
        <f>IFERROR(AVERAGE(L241:U241),"")</f>
        <v/>
      </c>
      <c r="AG241" s="75">
        <f>IFERROR(AVERAGE(V241:AE241),"")</f>
        <v/>
      </c>
      <c r="AH241" s="75">
        <f>IFERROR(AVERAGE(B241:K241),"")</f>
        <v/>
      </c>
      <c r="AI241" s="45" t="n">
        <v>0.959232330322266</v>
      </c>
      <c r="AJ241" s="47" t="n">
        <v>0</v>
      </c>
    </row>
    <row r="242" ht="15" customHeight="1" s="30">
      <c r="A242" s="73" t="inlineStr">
        <is>
          <t>7985.jpg</t>
        </is>
      </c>
      <c r="B242" s="45" t="n"/>
      <c r="C242" s="45" t="n"/>
      <c r="D242" s="45" t="n"/>
      <c r="E242" s="45" t="n"/>
      <c r="F242" s="45" t="n">
        <v>0.96757405581515</v>
      </c>
      <c r="G242" s="45" t="n"/>
      <c r="H242" s="45" t="n">
        <v>0.816237834955339</v>
      </c>
      <c r="I242" s="45" t="n">
        <v>0.841317365269461</v>
      </c>
      <c r="J242" s="45" t="n"/>
      <c r="K242" s="45" t="n">
        <v>0.9139352264527359</v>
      </c>
      <c r="L242" s="45" t="n"/>
      <c r="M242" s="45" t="n"/>
      <c r="N242" s="45" t="n"/>
      <c r="O242" s="45" t="n"/>
      <c r="P242" s="45" t="n">
        <v>0.972568857940639</v>
      </c>
      <c r="Q242" s="45" t="n"/>
      <c r="R242" s="45" t="n">
        <v>0.850644659330888</v>
      </c>
      <c r="S242" s="45" t="n">
        <v>0.9228243021346469</v>
      </c>
      <c r="T242" s="45" t="n"/>
      <c r="U242" s="45" t="n">
        <v>0.9830701938618041</v>
      </c>
      <c r="V242" s="45" t="n"/>
      <c r="W242" s="45" t="n"/>
      <c r="X242" s="45" t="n"/>
      <c r="Y242" s="45" t="n"/>
      <c r="Z242" s="45" t="n">
        <v>0.994720234107817</v>
      </c>
      <c r="AA242" s="45" t="n"/>
      <c r="AB242" s="45" t="n">
        <v>0.952785558667912</v>
      </c>
      <c r="AC242" s="45" t="n">
        <v>0.904991948470209</v>
      </c>
      <c r="AD242" s="45" t="n"/>
      <c r="AE242" s="45" t="n">
        <v>0.9285498658800601</v>
      </c>
      <c r="AF242" s="75">
        <f>IFERROR(AVERAGE(L242:U242),"")</f>
        <v/>
      </c>
      <c r="AG242" s="75">
        <f>IFERROR(AVERAGE(V242:AE242),"")</f>
        <v/>
      </c>
      <c r="AH242" s="75">
        <f>IFERROR(AVERAGE(B242:K242),"")</f>
        <v/>
      </c>
      <c r="AI242" s="45" t="n">
        <v>0.960102081298828</v>
      </c>
      <c r="AJ242" s="47" t="n">
        <v>0</v>
      </c>
    </row>
    <row r="243" ht="15" customHeight="1" s="30">
      <c r="A243" s="73" t="inlineStr">
        <is>
          <t>7986.jpg</t>
        </is>
      </c>
      <c r="B243" s="45" t="n"/>
      <c r="C243" s="45" t="n"/>
      <c r="D243" s="45" t="n"/>
      <c r="E243" s="45" t="n"/>
      <c r="F243" s="45" t="n">
        <v>0.977139178812819</v>
      </c>
      <c r="G243" s="45" t="n"/>
      <c r="H243" s="45" t="n">
        <v>0.89502854822141</v>
      </c>
      <c r="I243" s="45" t="n"/>
      <c r="J243" s="45" t="n"/>
      <c r="K243" s="45" t="n">
        <v>0.949557034462295</v>
      </c>
      <c r="L243" s="45" t="n"/>
      <c r="M243" s="45" t="n"/>
      <c r="N243" s="45" t="n"/>
      <c r="O243" s="45" t="n"/>
      <c r="P243" s="45" t="n">
        <v>0.985101885672965</v>
      </c>
      <c r="Q243" s="45" t="n"/>
      <c r="R243" s="45" t="n">
        <v>0.944773672929013</v>
      </c>
      <c r="S243" s="45" t="n"/>
      <c r="T243" s="45" t="n"/>
      <c r="U243" s="45" t="n">
        <v>0.977159906824983</v>
      </c>
      <c r="V243" s="45" t="n"/>
      <c r="W243" s="45" t="n"/>
      <c r="X243" s="45" t="n"/>
      <c r="Y243" s="45" t="n"/>
      <c r="Z243" s="45" t="n">
        <v>0.991795628068472</v>
      </c>
      <c r="AA243" s="45" t="n"/>
      <c r="AB243" s="45" t="n">
        <v>0.944440243010915</v>
      </c>
      <c r="AC243" s="45" t="n"/>
      <c r="AD243" s="45" t="n"/>
      <c r="AE243" s="45" t="n">
        <v>0.971110745034117</v>
      </c>
      <c r="AF243" s="75">
        <f>IFERROR(AVERAGE(L243:U243),"")</f>
        <v/>
      </c>
      <c r="AG243" s="75">
        <f>IFERROR(AVERAGE(V243:AE243),"")</f>
        <v/>
      </c>
      <c r="AH243" s="75">
        <f>IFERROR(AVERAGE(B243:K243),"")</f>
        <v/>
      </c>
      <c r="AI243" s="45" t="n">
        <v>0.975528717041016</v>
      </c>
      <c r="AJ243" s="47" t="n">
        <v>0</v>
      </c>
    </row>
    <row r="244" ht="15" customHeight="1" s="30">
      <c r="A244" s="73" t="inlineStr">
        <is>
          <t>7993.jpg</t>
        </is>
      </c>
      <c r="B244" s="45" t="n"/>
      <c r="C244" s="45" t="n"/>
      <c r="D244" s="45" t="n"/>
      <c r="E244" s="45" t="n"/>
      <c r="F244" s="45" t="n">
        <v>0.753261960521914</v>
      </c>
      <c r="G244" s="45" t="n"/>
      <c r="H244" s="45" t="n">
        <v>0.809061488673139</v>
      </c>
      <c r="I244" s="45" t="n"/>
      <c r="J244" s="45" t="n"/>
      <c r="K244" s="45" t="n">
        <v>0.966694610727992</v>
      </c>
      <c r="L244" s="45" t="n"/>
      <c r="M244" s="45" t="n"/>
      <c r="N244" s="45" t="n"/>
      <c r="O244" s="45" t="n"/>
      <c r="P244" s="45" t="n">
        <v>0.793843875608208</v>
      </c>
      <c r="Q244" s="45" t="n"/>
      <c r="R244" s="45" t="n">
        <v>0.885826771653543</v>
      </c>
      <c r="S244" s="45" t="n"/>
      <c r="T244" s="45" t="n"/>
      <c r="U244" s="45" t="n">
        <v>0.992350005621816</v>
      </c>
      <c r="V244" s="45" t="n"/>
      <c r="W244" s="45" t="n"/>
      <c r="X244" s="45" t="n"/>
      <c r="Y244" s="45" t="n"/>
      <c r="Z244" s="45" t="n">
        <v>0.9364471987688719</v>
      </c>
      <c r="AA244" s="45" t="n"/>
      <c r="AB244" s="45" t="n">
        <v>0.903251706142112</v>
      </c>
      <c r="AC244" s="45" t="n"/>
      <c r="AD244" s="45" t="n"/>
      <c r="AE244" s="45" t="n">
        <v>0.973952718475447</v>
      </c>
      <c r="AF244" s="75">
        <f>IFERROR(AVERAGE(L244:U244),"")</f>
        <v/>
      </c>
      <c r="AG244" s="75">
        <f>IFERROR(AVERAGE(V244:AE244),"")</f>
        <v/>
      </c>
      <c r="AH244" s="75">
        <f>IFERROR(AVERAGE(B244:K244),"")</f>
        <v/>
      </c>
      <c r="AI244" s="45" t="n">
        <v>0.969841003417969</v>
      </c>
      <c r="AJ244" s="47" t="n">
        <v>0</v>
      </c>
    </row>
    <row r="245" ht="15" customHeight="1" s="30">
      <c r="A245" s="73" t="inlineStr">
        <is>
          <t>7995.jpg</t>
        </is>
      </c>
      <c r="B245" s="45" t="n"/>
      <c r="C245" s="45" t="n"/>
      <c r="D245" s="45" t="n"/>
      <c r="E245" s="45" t="n"/>
      <c r="F245" s="45" t="n">
        <v>0.907490010222098</v>
      </c>
      <c r="G245" s="45" t="n"/>
      <c r="H245" s="45" t="n">
        <v>0.681675286482101</v>
      </c>
      <c r="I245" s="45" t="n"/>
      <c r="J245" s="45" t="n"/>
      <c r="K245" s="45" t="n">
        <v>0.978252667545604</v>
      </c>
      <c r="L245" s="45" t="n"/>
      <c r="M245" s="45" t="n"/>
      <c r="N245" s="45" t="n"/>
      <c r="O245" s="45" t="n"/>
      <c r="P245" s="45" t="n">
        <v>0.946773958989772</v>
      </c>
      <c r="Q245" s="45" t="n"/>
      <c r="R245" s="45" t="n">
        <v>0.822866935977476</v>
      </c>
      <c r="S245" s="45" t="n"/>
      <c r="T245" s="45" t="n"/>
      <c r="U245" s="45" t="n">
        <v>0.988922029946946</v>
      </c>
      <c r="V245" s="45" t="n"/>
      <c r="W245" s="45" t="n"/>
      <c r="X245" s="45" t="n"/>
      <c r="Y245" s="45" t="n"/>
      <c r="Z245" s="45" t="n">
        <v>0.956276929103016</v>
      </c>
      <c r="AA245" s="45" t="n"/>
      <c r="AB245" s="45" t="n">
        <v>0.798906584264321</v>
      </c>
      <c r="AC245" s="45" t="n"/>
      <c r="AD245" s="45" t="n"/>
      <c r="AE245" s="45" t="n">
        <v>0.989091579299289</v>
      </c>
      <c r="AF245" s="75">
        <f>IFERROR(AVERAGE(L245:U245),"")</f>
        <v/>
      </c>
      <c r="AG245" s="75">
        <f>IFERROR(AVERAGE(V245:AE245),"")</f>
        <v/>
      </c>
      <c r="AH245" s="75">
        <f>IFERROR(AVERAGE(B245:K245),"")</f>
        <v/>
      </c>
      <c r="AI245" s="45" t="n">
        <v>0.980430603027344</v>
      </c>
      <c r="AJ245" s="47" t="n">
        <v>0</v>
      </c>
    </row>
    <row r="246" ht="15" customHeight="1" s="30">
      <c r="A246" s="73" t="inlineStr">
        <is>
          <t>7997.jpg</t>
        </is>
      </c>
      <c r="B246" s="45" t="n"/>
      <c r="C246" s="45" t="n"/>
      <c r="D246" s="45" t="n"/>
      <c r="E246" s="45" t="n"/>
      <c r="F246" s="45" t="n">
        <v>0.907244706899035</v>
      </c>
      <c r="G246" s="45" t="n"/>
      <c r="H246" s="45" t="n">
        <v>0.86790293040293</v>
      </c>
      <c r="I246" s="45" t="n"/>
      <c r="J246" s="45" t="n"/>
      <c r="K246" s="45" t="n">
        <v>0.987942702363061</v>
      </c>
      <c r="L246" s="45" t="n"/>
      <c r="M246" s="45" t="n"/>
      <c r="N246" s="45" t="n"/>
      <c r="O246" s="45" t="n"/>
      <c r="P246" s="45" t="n">
        <v>0.911181831332273</v>
      </c>
      <c r="Q246" s="45" t="n"/>
      <c r="R246" s="45" t="n">
        <v>0.943739108787652</v>
      </c>
      <c r="S246" s="45" t="n"/>
      <c r="T246" s="45" t="n"/>
      <c r="U246" s="45" t="n">
        <v>0.997133319906929</v>
      </c>
      <c r="V246" s="45" t="n"/>
      <c r="W246" s="45" t="n"/>
      <c r="X246" s="45" t="n"/>
      <c r="Y246" s="45" t="n"/>
      <c r="Z246" s="45" t="n">
        <v>0.995259914678464</v>
      </c>
      <c r="AA246" s="45" t="n"/>
      <c r="AB246" s="45" t="n">
        <v>0.915258329309512</v>
      </c>
      <c r="AC246" s="45" t="n"/>
      <c r="AD246" s="45" t="n"/>
      <c r="AE246" s="45" t="n">
        <v>0.990756706816024</v>
      </c>
      <c r="AF246" s="75">
        <f>IFERROR(AVERAGE(L246:U246),"")</f>
        <v/>
      </c>
      <c r="AG246" s="75">
        <f>IFERROR(AVERAGE(V246:AE246),"")</f>
        <v/>
      </c>
      <c r="AH246" s="75">
        <f>IFERROR(AVERAGE(B246:K246),"")</f>
        <v/>
      </c>
      <c r="AI246" s="45" t="n">
        <v>0.988697052001953</v>
      </c>
      <c r="AJ246" s="47" t="n">
        <v>0</v>
      </c>
    </row>
    <row r="247" ht="15" customHeight="1" s="30">
      <c r="A247" s="73" t="inlineStr">
        <is>
          <t>8007.jpg</t>
        </is>
      </c>
      <c r="B247" s="45" t="n"/>
      <c r="C247" s="45" t="n"/>
      <c r="D247" s="45" t="n"/>
      <c r="E247" s="45" t="n"/>
      <c r="F247" s="45" t="n"/>
      <c r="G247" s="45" t="n"/>
      <c r="H247" s="45" t="n">
        <v>0</v>
      </c>
      <c r="I247" s="45" t="n"/>
      <c r="J247" s="45" t="n"/>
      <c r="K247" s="45" t="n">
        <v>0.997764587402344</v>
      </c>
      <c r="L247" s="45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5" t="n">
        <v>0.997764587402344</v>
      </c>
      <c r="V247" s="45" t="n"/>
      <c r="W247" s="45" t="n"/>
      <c r="X247" s="45" t="n"/>
      <c r="Y247" s="45" t="n"/>
      <c r="Z247" s="45" t="n"/>
      <c r="AA247" s="45" t="n"/>
      <c r="AB247" s="45" t="n">
        <v>0</v>
      </c>
      <c r="AC247" s="45" t="n"/>
      <c r="AD247" s="45" t="n"/>
      <c r="AE247" s="45" t="n">
        <v>1</v>
      </c>
      <c r="AF247" s="75">
        <f>IFERROR(AVERAGE(L247:U247),"")</f>
        <v/>
      </c>
      <c r="AG247" s="75">
        <f>IFERROR(AVERAGE(V247:AE247),"")</f>
        <v/>
      </c>
      <c r="AH247" s="75">
        <f>IFERROR(AVERAGE(B247:K247),"")</f>
        <v/>
      </c>
      <c r="AI247" s="45" t="n">
        <v>0.997764587402344</v>
      </c>
      <c r="AJ247" s="47" t="n">
        <v>0</v>
      </c>
    </row>
    <row r="248" ht="15" customHeight="1" s="30">
      <c r="A248" s="73" t="inlineStr">
        <is>
          <t>8017.jpg</t>
        </is>
      </c>
      <c r="B248" s="45" t="n"/>
      <c r="C248" s="45" t="n"/>
      <c r="D248" s="45" t="n"/>
      <c r="E248" s="45" t="n"/>
      <c r="F248" s="45" t="n"/>
      <c r="G248" s="45" t="n"/>
      <c r="H248" s="45" t="n">
        <v>0.90386398763524</v>
      </c>
      <c r="I248" s="45" t="n"/>
      <c r="J248" s="45" t="n"/>
      <c r="K248" s="45" t="n">
        <v>0.99757311858164</v>
      </c>
      <c r="L248" s="45" t="n"/>
      <c r="M248" s="45" t="n"/>
      <c r="N248" s="45" t="n"/>
      <c r="O248" s="45" t="n"/>
      <c r="P248" s="45" t="n"/>
      <c r="Q248" s="45" t="n"/>
      <c r="R248" s="45" t="n">
        <v>0.951358386204653</v>
      </c>
      <c r="S248" s="45" t="n"/>
      <c r="T248" s="45" t="n"/>
      <c r="U248" s="45" t="n">
        <v>0.9987382664640601</v>
      </c>
      <c r="V248" s="45" t="n"/>
      <c r="W248" s="45" t="n"/>
      <c r="X248" s="45" t="n"/>
      <c r="Y248" s="45" t="n"/>
      <c r="Z248" s="45" t="n"/>
      <c r="AA248" s="45" t="n"/>
      <c r="AB248" s="45" t="n">
        <v>0.947658402203857</v>
      </c>
      <c r="AC248" s="45" t="n"/>
      <c r="AD248" s="45" t="n"/>
      <c r="AE248" s="45" t="n">
        <v>0.998831908052802</v>
      </c>
      <c r="AF248" s="75">
        <f>IFERROR(AVERAGE(L248:U248),"")</f>
        <v/>
      </c>
      <c r="AG248" s="75">
        <f>IFERROR(AVERAGE(V248:AE248),"")</f>
        <v/>
      </c>
      <c r="AH248" s="75">
        <f>IFERROR(AVERAGE(B248:K248),"")</f>
        <v/>
      </c>
      <c r="AI248" s="45" t="n">
        <v>0.997627258300781</v>
      </c>
      <c r="AJ248" s="47" t="n">
        <v>0</v>
      </c>
    </row>
    <row r="249" ht="15" customHeight="1" s="30">
      <c r="A249" s="73" t="inlineStr">
        <is>
          <t>8018.jpg</t>
        </is>
      </c>
      <c r="B249" s="45" t="n"/>
      <c r="C249" s="45" t="n"/>
      <c r="D249" s="45" t="n"/>
      <c r="E249" s="45" t="n"/>
      <c r="F249" s="45" t="n"/>
      <c r="G249" s="45" t="n"/>
      <c r="H249" s="45" t="n">
        <v>0.928296826106393</v>
      </c>
      <c r="I249" s="45" t="n"/>
      <c r="J249" s="45" t="n"/>
      <c r="K249" s="45" t="n">
        <v>0.9968144390910429</v>
      </c>
      <c r="L249" s="45" t="n"/>
      <c r="M249" s="45" t="n"/>
      <c r="N249" s="45" t="n"/>
      <c r="O249" s="45" t="n"/>
      <c r="P249" s="45" t="n"/>
      <c r="Q249" s="45" t="n"/>
      <c r="R249" s="45" t="n">
        <v>0.973649662415604</v>
      </c>
      <c r="S249" s="45" t="n"/>
      <c r="T249" s="45" t="n"/>
      <c r="U249" s="45" t="n">
        <v>0.997928264673135</v>
      </c>
      <c r="V249" s="45" t="n"/>
      <c r="W249" s="45" t="n"/>
      <c r="X249" s="45" t="n"/>
      <c r="Y249" s="45" t="n"/>
      <c r="Z249" s="45" t="n"/>
      <c r="AA249" s="45" t="n"/>
      <c r="AB249" s="45" t="n">
        <v>0.952219369038885</v>
      </c>
      <c r="AC249" s="45" t="n"/>
      <c r="AD249" s="45" t="n"/>
      <c r="AE249" s="45" t="n">
        <v>0.99888154752428</v>
      </c>
      <c r="AF249" s="75">
        <f>IFERROR(AVERAGE(L249:U249),"")</f>
        <v/>
      </c>
      <c r="AG249" s="75">
        <f>IFERROR(AVERAGE(V249:AE249),"")</f>
        <v/>
      </c>
      <c r="AH249" s="75">
        <f>IFERROR(AVERAGE(B249:K249),"")</f>
        <v/>
      </c>
      <c r="AI249" s="45" t="n">
        <v>0.996940612792969</v>
      </c>
      <c r="AJ249" s="47" t="n">
        <v>0</v>
      </c>
    </row>
    <row r="250" ht="15" customHeight="1" s="30">
      <c r="A250" s="73" t="inlineStr">
        <is>
          <t>8021.jpg</t>
        </is>
      </c>
      <c r="B250" s="45" t="n"/>
      <c r="C250" s="45" t="n"/>
      <c r="D250" s="45" t="n"/>
      <c r="E250" s="45" t="n"/>
      <c r="F250" s="45" t="n"/>
      <c r="G250" s="45" t="n"/>
      <c r="H250" s="45" t="n">
        <v>0.9319449077824909</v>
      </c>
      <c r="I250" s="45" t="n"/>
      <c r="J250" s="45" t="n"/>
      <c r="K250" s="45" t="n">
        <v>0.994113500612146</v>
      </c>
      <c r="L250" s="45" t="n"/>
      <c r="M250" s="45" t="n"/>
      <c r="N250" s="45" t="n"/>
      <c r="O250" s="45" t="n"/>
      <c r="P250" s="45" t="n"/>
      <c r="Q250" s="45" t="n"/>
      <c r="R250" s="45" t="n">
        <v>0.9795621900515959</v>
      </c>
      <c r="S250" s="45" t="n"/>
      <c r="T250" s="45" t="n"/>
      <c r="U250" s="45" t="n">
        <v>0.995788274059484</v>
      </c>
      <c r="V250" s="45" t="n"/>
      <c r="W250" s="45" t="n"/>
      <c r="X250" s="45" t="n"/>
      <c r="Y250" s="45" t="n"/>
      <c r="Z250" s="45" t="n"/>
      <c r="AA250" s="45" t="n"/>
      <c r="AB250" s="45" t="n">
        <v>0.950425273390037</v>
      </c>
      <c r="AC250" s="45" t="n"/>
      <c r="AD250" s="45" t="n"/>
      <c r="AE250" s="45" t="n">
        <v>0.998311041565764</v>
      </c>
      <c r="AF250" s="75">
        <f>IFERROR(AVERAGE(L250:U250),"")</f>
        <v/>
      </c>
      <c r="AG250" s="75">
        <f>IFERROR(AVERAGE(V250:AE250),"")</f>
        <v/>
      </c>
      <c r="AH250" s="75">
        <f>IFERROR(AVERAGE(B250:K250),"")</f>
        <v/>
      </c>
      <c r="AI250" s="45" t="n">
        <v>0.9945526123046881</v>
      </c>
      <c r="AJ250" s="47" t="n">
        <v>0</v>
      </c>
    </row>
    <row r="251" ht="15" customHeight="1" s="30">
      <c r="A251" s="73" t="inlineStr">
        <is>
          <t>8022.jpg</t>
        </is>
      </c>
      <c r="B251" s="45" t="n"/>
      <c r="C251" s="45" t="n"/>
      <c r="D251" s="45" t="n"/>
      <c r="E251" s="45" t="n"/>
      <c r="F251" s="45" t="n"/>
      <c r="G251" s="45" t="n"/>
      <c r="H251" s="45" t="n">
        <v>0.931921331316188</v>
      </c>
      <c r="I251" s="45" t="n"/>
      <c r="J251" s="45" t="n"/>
      <c r="K251" s="45" t="n">
        <v>0.995246375869466</v>
      </c>
      <c r="L251" s="45" t="n"/>
      <c r="M251" s="45" t="n"/>
      <c r="N251" s="45" t="n"/>
      <c r="O251" s="45" t="n"/>
      <c r="P251" s="45" t="n"/>
      <c r="Q251" s="45" t="n"/>
      <c r="R251" s="45" t="n">
        <v>0.979152656355077</v>
      </c>
      <c r="S251" s="45" t="n"/>
      <c r="T251" s="45" t="n"/>
      <c r="U251" s="45" t="n">
        <v>0.996627160915752</v>
      </c>
      <c r="V251" s="45" t="n"/>
      <c r="W251" s="45" t="n"/>
      <c r="X251" s="45" t="n"/>
      <c r="Y251" s="45" t="n"/>
      <c r="Z251" s="45" t="n"/>
      <c r="AA251" s="45" t="n"/>
      <c r="AB251" s="45" t="n">
        <v>0.950786583555951</v>
      </c>
      <c r="AC251" s="45" t="n"/>
      <c r="AD251" s="45" t="n"/>
      <c r="AE251" s="45" t="n">
        <v>0.9986098598037501</v>
      </c>
      <c r="AF251" s="75">
        <f>IFERROR(AVERAGE(L251:U251),"")</f>
        <v/>
      </c>
      <c r="AG251" s="75">
        <f>IFERROR(AVERAGE(V251:AE251),"")</f>
        <v/>
      </c>
      <c r="AH251" s="75">
        <f>IFERROR(AVERAGE(B251:K251),"")</f>
        <v/>
      </c>
      <c r="AI251" s="45" t="n">
        <v>0.995536804199219</v>
      </c>
      <c r="AJ251" s="47" t="n">
        <v>0</v>
      </c>
    </row>
    <row r="252" ht="15" customHeight="1" s="30">
      <c r="A252" s="73" t="inlineStr">
        <is>
          <t>8048.jpg</t>
        </is>
      </c>
      <c r="B252" s="45" t="n"/>
      <c r="C252" s="45" t="n"/>
      <c r="D252" s="45" t="n"/>
      <c r="E252" s="45" t="n"/>
      <c r="F252" s="45" t="n"/>
      <c r="G252" s="45" t="n"/>
      <c r="H252" s="45" t="n">
        <v>0</v>
      </c>
      <c r="I252" s="45" t="n"/>
      <c r="J252" s="45" t="n"/>
      <c r="K252" s="45" t="n">
        <v>0.998180389404297</v>
      </c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>
        <v>0.998180389404297</v>
      </c>
      <c r="V252" s="45" t="n"/>
      <c r="W252" s="45" t="n"/>
      <c r="X252" s="45" t="n"/>
      <c r="Y252" s="45" t="n"/>
      <c r="Z252" s="45" t="n"/>
      <c r="AA252" s="45" t="n"/>
      <c r="AB252" s="45" t="n">
        <v>0</v>
      </c>
      <c r="AC252" s="45" t="n"/>
      <c r="AD252" s="45" t="n"/>
      <c r="AE252" s="45" t="n">
        <v>1</v>
      </c>
      <c r="AF252" s="75">
        <f>IFERROR(AVERAGE(L252:U252),"")</f>
        <v/>
      </c>
      <c r="AG252" s="75">
        <f>IFERROR(AVERAGE(V252:AE252),"")</f>
        <v/>
      </c>
      <c r="AH252" s="75">
        <f>IFERROR(AVERAGE(B252:K252),"")</f>
        <v/>
      </c>
      <c r="AI252" s="45" t="n">
        <v>0.998180389404297</v>
      </c>
      <c r="AJ252" s="47" t="n">
        <v>0</v>
      </c>
    </row>
    <row r="253" ht="15" customHeight="1" s="30">
      <c r="A253" s="73" t="inlineStr">
        <is>
          <t>8062.jpg</t>
        </is>
      </c>
      <c r="B253" s="45" t="n"/>
      <c r="C253" s="45" t="n"/>
      <c r="D253" s="45" t="n"/>
      <c r="E253" s="45" t="n"/>
      <c r="F253" s="45" t="n"/>
      <c r="G253" s="45" t="n"/>
      <c r="H253" s="45" t="n">
        <v>0.804972804972805</v>
      </c>
      <c r="I253" s="45" t="n"/>
      <c r="J253" s="45" t="n"/>
      <c r="K253" s="45" t="n">
        <v>0.99903871195061</v>
      </c>
      <c r="L253" s="45" t="n"/>
      <c r="M253" s="45" t="n"/>
      <c r="N253" s="45" t="n"/>
      <c r="O253" s="45" t="n"/>
      <c r="P253" s="45" t="n"/>
      <c r="Q253" s="45" t="n"/>
      <c r="R253" s="45" t="n">
        <v>0.920888888888889</v>
      </c>
      <c r="S253" s="45" t="n"/>
      <c r="T253" s="45" t="n"/>
      <c r="U253" s="45" t="n">
        <v>0.999379355525843</v>
      </c>
      <c r="V253" s="45" t="n"/>
      <c r="W253" s="45" t="n"/>
      <c r="X253" s="45" t="n"/>
      <c r="Y253" s="45" t="n"/>
      <c r="Z253" s="45" t="n"/>
      <c r="AA253" s="45" t="n"/>
      <c r="AB253" s="45" t="n">
        <v>0.864774624373957</v>
      </c>
      <c r="AC253" s="45" t="n"/>
      <c r="AD253" s="45" t="n"/>
      <c r="AE253" s="45" t="n">
        <v>0.999658933265886</v>
      </c>
      <c r="AF253" s="75">
        <f>IFERROR(AVERAGE(L253:U253),"")</f>
        <v/>
      </c>
      <c r="AG253" s="75">
        <f>IFERROR(AVERAGE(V253:AE253),"")</f>
        <v/>
      </c>
      <c r="AH253" s="75">
        <f>IFERROR(AVERAGE(B253:K253),"")</f>
        <v/>
      </c>
      <c r="AI253" s="45" t="n">
        <v>0.999042510986328</v>
      </c>
      <c r="AJ253" s="47" t="n">
        <v>0</v>
      </c>
    </row>
    <row r="254" ht="15" customHeight="1" s="30">
      <c r="A254" s="73" t="inlineStr">
        <is>
          <t>8064.jpg</t>
        </is>
      </c>
      <c r="B254" s="45" t="n"/>
      <c r="C254" s="45" t="n"/>
      <c r="D254" s="45" t="n"/>
      <c r="E254" s="45" t="n"/>
      <c r="F254" s="45" t="n">
        <v>0.899668325041459</v>
      </c>
      <c r="G254" s="45" t="n"/>
      <c r="H254" s="45" t="n">
        <v>0.7637028014616321</v>
      </c>
      <c r="I254" s="45" t="n"/>
      <c r="J254" s="45" t="n"/>
      <c r="K254" s="45" t="n">
        <v>0.997843275433475</v>
      </c>
      <c r="L254" s="45" t="n"/>
      <c r="M254" s="45" t="n"/>
      <c r="N254" s="45" t="n"/>
      <c r="O254" s="45" t="n"/>
      <c r="P254" s="45" t="n">
        <v>0.989963503649635</v>
      </c>
      <c r="Q254" s="45" t="n"/>
      <c r="R254" s="45" t="n">
        <v>0.869625520110957</v>
      </c>
      <c r="S254" s="45" t="n"/>
      <c r="T254" s="45" t="n"/>
      <c r="U254" s="45" t="n">
        <v>0.998334204970268</v>
      </c>
      <c r="V254" s="45" t="n"/>
      <c r="W254" s="45" t="n"/>
      <c r="X254" s="45" t="n"/>
      <c r="Y254" s="45" t="n"/>
      <c r="Z254" s="45" t="n">
        <v>0.907949790794979</v>
      </c>
      <c r="AA254" s="45" t="n"/>
      <c r="AB254" s="45" t="n">
        <v>0.8624484181568089</v>
      </c>
      <c r="AC254" s="45" t="n"/>
      <c r="AD254" s="45" t="n"/>
      <c r="AE254" s="45" t="n">
        <v>0.999507431195507</v>
      </c>
      <c r="AF254" s="75">
        <f>IFERROR(AVERAGE(L254:U254),"")</f>
        <v/>
      </c>
      <c r="AG254" s="75">
        <f>IFERROR(AVERAGE(V254:AE254),"")</f>
        <v/>
      </c>
      <c r="AH254" s="75">
        <f>IFERROR(AVERAGE(B254:K254),"")</f>
        <v/>
      </c>
      <c r="AI254" s="45" t="n">
        <v>0.997875213623047</v>
      </c>
      <c r="AJ254" s="47" t="n">
        <v>0</v>
      </c>
    </row>
    <row r="255" ht="15" customHeight="1" s="30">
      <c r="A255" s="73" t="inlineStr">
        <is>
          <t>8066.jpg</t>
        </is>
      </c>
      <c r="B255" s="45" t="n"/>
      <c r="C255" s="45" t="n"/>
      <c r="D255" s="45" t="n"/>
      <c r="E255" s="45" t="n"/>
      <c r="F255" s="45" t="n">
        <v>0.91925658876181</v>
      </c>
      <c r="G255" s="45" t="n"/>
      <c r="H255" s="45" t="n">
        <v>0.742331288343558</v>
      </c>
      <c r="I255" s="45" t="n"/>
      <c r="J255" s="45" t="n"/>
      <c r="K255" s="45" t="n">
        <v>0.992842161740318</v>
      </c>
      <c r="L255" s="45" t="n"/>
      <c r="M255" s="45" t="n"/>
      <c r="N255" s="45" t="n"/>
      <c r="O255" s="45" t="n"/>
      <c r="P255" s="45" t="n">
        <v>0.9724487112046289</v>
      </c>
      <c r="Q255" s="45" t="n"/>
      <c r="R255" s="45" t="n">
        <v>0.819076923076923</v>
      </c>
      <c r="S255" s="45" t="n"/>
      <c r="T255" s="45" t="n"/>
      <c r="U255" s="45" t="n">
        <v>0.9957278719666059</v>
      </c>
      <c r="V255" s="45" t="n"/>
      <c r="W255" s="45" t="n"/>
      <c r="X255" s="45" t="n"/>
      <c r="Y255" s="45" t="n"/>
      <c r="Z255" s="45" t="n">
        <v>0.943838151764631</v>
      </c>
      <c r="AA255" s="45" t="n"/>
      <c r="AB255" s="45" t="n">
        <v>0.887925283522348</v>
      </c>
      <c r="AC255" s="45" t="n"/>
      <c r="AD255" s="45" t="n"/>
      <c r="AE255" s="45" t="n">
        <v>0.997089510809222</v>
      </c>
      <c r="AF255" s="75">
        <f>IFERROR(AVERAGE(L255:U255),"")</f>
        <v/>
      </c>
      <c r="AG255" s="75">
        <f>IFERROR(AVERAGE(V255:AE255),"")</f>
        <v/>
      </c>
      <c r="AH255" s="75">
        <f>IFERROR(AVERAGE(B255:K255),"")</f>
        <v/>
      </c>
      <c r="AI255" s="45" t="n">
        <v>0.993282318115234</v>
      </c>
      <c r="AJ255" s="47" t="n">
        <v>0</v>
      </c>
    </row>
    <row r="256" ht="15" customHeight="1" s="30">
      <c r="A256" s="73" t="inlineStr">
        <is>
          <t>8069.jpg</t>
        </is>
      </c>
      <c r="B256" s="45" t="n"/>
      <c r="C256" s="45" t="n"/>
      <c r="D256" s="45" t="n"/>
      <c r="E256" s="45" t="n"/>
      <c r="F256" s="45" t="n">
        <v>0.84059910060579</v>
      </c>
      <c r="G256" s="45" t="n"/>
      <c r="H256" s="45" t="n">
        <v>0.17137181725155</v>
      </c>
      <c r="I256" s="45" t="n"/>
      <c r="J256" s="45" t="n"/>
      <c r="K256" s="45" t="n">
        <v>0.9241949116727241</v>
      </c>
      <c r="L256" s="45" t="n"/>
      <c r="M256" s="45" t="n"/>
      <c r="N256" s="45" t="n"/>
      <c r="O256" s="45" t="n"/>
      <c r="P256" s="45" t="n">
        <v>0.954547372863473</v>
      </c>
      <c r="Q256" s="45" t="n"/>
      <c r="R256" s="45" t="n">
        <v>0.685363505055368</v>
      </c>
      <c r="S256" s="45" t="n"/>
      <c r="T256" s="45" t="n"/>
      <c r="U256" s="45" t="n">
        <v>0.93336605561365</v>
      </c>
      <c r="V256" s="45" t="n"/>
      <c r="W256" s="45" t="n"/>
      <c r="X256" s="45" t="n"/>
      <c r="Y256" s="45" t="n"/>
      <c r="Z256" s="45" t="n">
        <v>0.875648470770422</v>
      </c>
      <c r="AA256" s="45" t="n"/>
      <c r="AB256" s="45" t="n">
        <v>0.186005488043904</v>
      </c>
      <c r="AC256" s="45" t="n"/>
      <c r="AD256" s="45" t="n"/>
      <c r="AE256" s="45" t="n">
        <v>0.989480018822848</v>
      </c>
      <c r="AF256" s="75">
        <f>IFERROR(AVERAGE(L256:U256),"")</f>
        <v/>
      </c>
      <c r="AG256" s="75">
        <f>IFERROR(AVERAGE(V256:AE256),"")</f>
        <v/>
      </c>
      <c r="AH256" s="75">
        <f>IFERROR(AVERAGE(B256:K256),"")</f>
        <v/>
      </c>
      <c r="AI256" s="45" t="n">
        <v>0.9313507080078131</v>
      </c>
      <c r="AJ256" s="47" t="n">
        <v>0</v>
      </c>
    </row>
    <row r="257" ht="15" customHeight="1" s="30">
      <c r="A257" s="73" t="inlineStr">
        <is>
          <t>8073.jpg</t>
        </is>
      </c>
      <c r="B257" s="45" t="n"/>
      <c r="C257" s="45" t="n"/>
      <c r="D257" s="45" t="n"/>
      <c r="E257" s="45" t="n"/>
      <c r="F257" s="45" t="n">
        <v>0.921968586387435</v>
      </c>
      <c r="G257" s="45" t="n"/>
      <c r="H257" s="45" t="n">
        <v>0.860776958565084</v>
      </c>
      <c r="I257" s="45" t="n"/>
      <c r="J257" s="45" t="n"/>
      <c r="K257" s="45" t="n">
        <v>0.979560556513197</v>
      </c>
      <c r="L257" s="45" t="n"/>
      <c r="M257" s="45" t="n"/>
      <c r="N257" s="45" t="n"/>
      <c r="O257" s="45" t="n"/>
      <c r="P257" s="45" t="n">
        <v>0.978572063661421</v>
      </c>
      <c r="Q257" s="45" t="n"/>
      <c r="R257" s="45" t="n">
        <v>0.8714859437751</v>
      </c>
      <c r="S257" s="45" t="n"/>
      <c r="T257" s="45" t="n"/>
      <c r="U257" s="45" t="n">
        <v>0.993692962139318</v>
      </c>
      <c r="V257" s="45" t="n"/>
      <c r="W257" s="45" t="n"/>
      <c r="X257" s="45" t="n"/>
      <c r="Y257" s="45" t="n"/>
      <c r="Z257" s="45" t="n">
        <v>0.940965246013765</v>
      </c>
      <c r="AA257" s="45" t="n"/>
      <c r="AB257" s="45" t="n">
        <v>0.985925230875599</v>
      </c>
      <c r="AC257" s="45" t="n"/>
      <c r="AD257" s="45" t="n"/>
      <c r="AE257" s="45" t="n">
        <v>0.985688918179239</v>
      </c>
      <c r="AF257" s="75">
        <f>IFERROR(AVERAGE(L257:U257),"")</f>
        <v/>
      </c>
      <c r="AG257" s="75">
        <f>IFERROR(AVERAGE(V257:AE257),"")</f>
        <v/>
      </c>
      <c r="AH257" s="75">
        <f>IFERROR(AVERAGE(B257:K257),"")</f>
        <v/>
      </c>
      <c r="AI257" s="45" t="n">
        <v>0.981716156005859</v>
      </c>
      <c r="AJ257" s="47" t="n">
        <v>0</v>
      </c>
    </row>
    <row r="258" ht="15" customHeight="1" s="30">
      <c r="A258" s="73" t="inlineStr">
        <is>
          <t>8076.jpg</t>
        </is>
      </c>
      <c r="B258" s="45" t="n"/>
      <c r="C258" s="45" t="n"/>
      <c r="D258" s="45" t="n"/>
      <c r="E258" s="45" t="n"/>
      <c r="F258" s="45" t="n">
        <v>0.923920470643135</v>
      </c>
      <c r="G258" s="45" t="n"/>
      <c r="H258" s="45" t="n">
        <v>0</v>
      </c>
      <c r="I258" s="45" t="n">
        <v>0.907981220657277</v>
      </c>
      <c r="J258" s="45" t="n"/>
      <c r="K258" s="45" t="n">
        <v>0.975559348573485</v>
      </c>
      <c r="L258" s="45" t="n"/>
      <c r="M258" s="45" t="n"/>
      <c r="N258" s="45" t="n"/>
      <c r="O258" s="45" t="n"/>
      <c r="P258" s="45" t="n">
        <v>0.964357159009863</v>
      </c>
      <c r="Q258" s="45" t="n"/>
      <c r="R258" s="45" t="n">
        <v>0</v>
      </c>
      <c r="S258" s="45" t="n">
        <v>0.973816717019134</v>
      </c>
      <c r="T258" s="45" t="n"/>
      <c r="U258" s="45" t="n">
        <v>0.987740331355703</v>
      </c>
      <c r="V258" s="45" t="n"/>
      <c r="W258" s="45" t="n"/>
      <c r="X258" s="45" t="n"/>
      <c r="Y258" s="45" t="n"/>
      <c r="Z258" s="45" t="n">
        <v>0.956586258066743</v>
      </c>
      <c r="AA258" s="45" t="n"/>
      <c r="AB258" s="45" t="n"/>
      <c r="AC258" s="45" t="n">
        <v>0.930702598652551</v>
      </c>
      <c r="AD258" s="45" t="n"/>
      <c r="AE258" s="45" t="n">
        <v>0.987516674788704</v>
      </c>
      <c r="AF258" s="75">
        <f>IFERROR(AVERAGE(L258:U258),"")</f>
        <v/>
      </c>
      <c r="AG258" s="75">
        <f>IFERROR(AVERAGE(V258:AE258),"")</f>
        <v/>
      </c>
      <c r="AH258" s="75">
        <f>IFERROR(AVERAGE(B258:K258),"")</f>
        <v/>
      </c>
      <c r="AI258" s="45" t="n">
        <v>0.9804534912109381</v>
      </c>
      <c r="AJ258" s="47" t="n">
        <v>0</v>
      </c>
    </row>
    <row r="259" ht="15" customHeight="1" s="30">
      <c r="A259" s="73" t="inlineStr">
        <is>
          <t>8100.jpg</t>
        </is>
      </c>
      <c r="B259" s="45" t="n"/>
      <c r="C259" s="45" t="n"/>
      <c r="D259" s="45" t="n"/>
      <c r="E259" s="45" t="n"/>
      <c r="F259" s="45" t="n">
        <v>0.8706578800402101</v>
      </c>
      <c r="G259" s="45" t="n"/>
      <c r="H259" s="45" t="n">
        <v>0</v>
      </c>
      <c r="I259" s="45" t="n"/>
      <c r="J259" s="45" t="n"/>
      <c r="K259" s="45" t="n">
        <v>0.981509121733981</v>
      </c>
      <c r="L259" s="45" t="n"/>
      <c r="M259" s="45" t="n"/>
      <c r="N259" s="45" t="n"/>
      <c r="O259" s="45" t="n"/>
      <c r="P259" s="45" t="n">
        <v>0.957263907650743</v>
      </c>
      <c r="Q259" s="45" t="n"/>
      <c r="R259" s="45" t="n">
        <v>0</v>
      </c>
      <c r="S259" s="45" t="n"/>
      <c r="T259" s="45" t="n"/>
      <c r="U259" s="45" t="n">
        <v>0.993350163167293</v>
      </c>
      <c r="V259" s="45" t="n"/>
      <c r="W259" s="45" t="n"/>
      <c r="X259" s="45" t="n"/>
      <c r="Y259" s="45" t="n"/>
      <c r="Z259" s="45" t="n">
        <v>0.905868680999419</v>
      </c>
      <c r="AA259" s="45" t="n"/>
      <c r="AB259" s="45" t="n"/>
      <c r="AC259" s="45" t="n"/>
      <c r="AD259" s="45" t="n"/>
      <c r="AE259" s="45" t="n">
        <v>0.988000849208358</v>
      </c>
      <c r="AF259" s="75">
        <f>IFERROR(AVERAGE(L259:U259),"")</f>
        <v/>
      </c>
      <c r="AG259" s="75">
        <f>IFERROR(AVERAGE(V259:AE259),"")</f>
        <v/>
      </c>
      <c r="AH259" s="75">
        <f>IFERROR(AVERAGE(B259:K259),"")</f>
        <v/>
      </c>
      <c r="AI259" s="45" t="n">
        <v>0.982608795166016</v>
      </c>
      <c r="AJ259" s="47" t="n">
        <v>0</v>
      </c>
    </row>
    <row r="260" ht="15" customHeight="1" s="30">
      <c r="A260" s="73" t="inlineStr">
        <is>
          <t>8103.jpg</t>
        </is>
      </c>
      <c r="B260" s="45" t="n"/>
      <c r="C260" s="45" t="n"/>
      <c r="D260" s="45" t="n"/>
      <c r="E260" s="45" t="n"/>
      <c r="F260" s="45" t="n">
        <v>0.868330236262278</v>
      </c>
      <c r="G260" s="45" t="n"/>
      <c r="H260" s="45" t="n">
        <v>0</v>
      </c>
      <c r="I260" s="45" t="n"/>
      <c r="J260" s="45" t="n"/>
      <c r="K260" s="45" t="n">
        <v>0.9927973959515179</v>
      </c>
      <c r="L260" s="45" t="n"/>
      <c r="M260" s="45" t="n"/>
      <c r="N260" s="45" t="n"/>
      <c r="O260" s="45" t="n"/>
      <c r="P260" s="45" t="n">
        <v>0.955873758036236</v>
      </c>
      <c r="Q260" s="45" t="n"/>
      <c r="R260" s="45" t="n">
        <v>0</v>
      </c>
      <c r="S260" s="45" t="n"/>
      <c r="T260" s="45" t="n"/>
      <c r="U260" s="45" t="n">
        <v>0.9972882794722761</v>
      </c>
      <c r="V260" s="45" t="n"/>
      <c r="W260" s="45" t="n"/>
      <c r="X260" s="45" t="n"/>
      <c r="Y260" s="45" t="n"/>
      <c r="Z260" s="45" t="n">
        <v>0.9045907079646019</v>
      </c>
      <c r="AA260" s="45" t="n"/>
      <c r="AB260" s="45" t="n"/>
      <c r="AC260" s="45" t="n"/>
      <c r="AD260" s="45" t="n"/>
      <c r="AE260" s="45" t="n">
        <v>0.9954847162942509</v>
      </c>
      <c r="AF260" s="75">
        <f>IFERROR(AVERAGE(L260:U260),"")</f>
        <v/>
      </c>
      <c r="AG260" s="75">
        <f>IFERROR(AVERAGE(V260:AE260),"")</f>
        <v/>
      </c>
      <c r="AH260" s="75">
        <f>IFERROR(AVERAGE(B260:K260),"")</f>
        <v/>
      </c>
      <c r="AI260" s="45" t="n">
        <v>0.992977142333984</v>
      </c>
      <c r="AJ260" s="47" t="n">
        <v>0</v>
      </c>
    </row>
    <row r="261" ht="15" customHeight="1" s="30">
      <c r="A261" s="73" t="inlineStr">
        <is>
          <t>8104.jpg</t>
        </is>
      </c>
      <c r="B261" s="45" t="n"/>
      <c r="C261" s="45" t="n"/>
      <c r="D261" s="45" t="n"/>
      <c r="E261" s="45" t="n"/>
      <c r="F261" s="45" t="n">
        <v>0.813894736842105</v>
      </c>
      <c r="G261" s="45" t="n"/>
      <c r="H261" s="45" t="n"/>
      <c r="I261" s="45" t="n"/>
      <c r="J261" s="45" t="n"/>
      <c r="K261" s="45" t="n">
        <v>0.994827283543662</v>
      </c>
      <c r="L261" s="45" t="n"/>
      <c r="M261" s="45" t="n"/>
      <c r="N261" s="45" t="n"/>
      <c r="O261" s="45" t="n"/>
      <c r="P261" s="45" t="n">
        <v>0.834628670120898</v>
      </c>
      <c r="Q261" s="45" t="n"/>
      <c r="R261" s="45" t="n"/>
      <c r="S261" s="45" t="n"/>
      <c r="T261" s="45" t="n"/>
      <c r="U261" s="45" t="n">
        <v>0.999306415461057</v>
      </c>
      <c r="V261" s="45" t="n"/>
      <c r="W261" s="45" t="n"/>
      <c r="X261" s="45" t="n"/>
      <c r="Y261" s="45" t="n"/>
      <c r="Z261" s="45" t="n">
        <v>0.970381526104418</v>
      </c>
      <c r="AA261" s="45" t="n"/>
      <c r="AB261" s="45" t="n"/>
      <c r="AC261" s="45" t="n"/>
      <c r="AD261" s="45" t="n"/>
      <c r="AE261" s="45" t="n">
        <v>0.995514662252897</v>
      </c>
      <c r="AF261" s="75">
        <f>IFERROR(AVERAGE(L261:U261),"")</f>
        <v/>
      </c>
      <c r="AG261" s="75">
        <f>IFERROR(AVERAGE(V261:AE261),"")</f>
        <v/>
      </c>
      <c r="AH261" s="75">
        <f>IFERROR(AVERAGE(B261:K261),"")</f>
        <v/>
      </c>
      <c r="AI261" s="45" t="n">
        <v>0.994941711425781</v>
      </c>
      <c r="AJ261" s="47" t="n">
        <v>0</v>
      </c>
    </row>
    <row r="262" ht="15" customHeight="1" s="30">
      <c r="A262" s="73" t="inlineStr">
        <is>
          <t>8111.jpg</t>
        </is>
      </c>
      <c r="B262" s="45" t="n"/>
      <c r="C262" s="45" t="n"/>
      <c r="D262" s="45" t="n"/>
      <c r="E262" s="45" t="n"/>
      <c r="F262" s="45" t="n"/>
      <c r="G262" s="45" t="n">
        <v>0.853953332214202</v>
      </c>
      <c r="H262" s="45" t="n"/>
      <c r="I262" s="45" t="n"/>
      <c r="J262" s="45" t="n"/>
      <c r="K262" s="45" t="n">
        <v>0.996615536631953</v>
      </c>
      <c r="L262" s="45" t="n"/>
      <c r="M262" s="45" t="n"/>
      <c r="N262" s="45" t="n"/>
      <c r="O262" s="45" t="n"/>
      <c r="P262" s="45" t="n"/>
      <c r="Q262" s="45" t="n">
        <v>0.96637537993921</v>
      </c>
      <c r="R262" s="45" t="n"/>
      <c r="S262" s="45" t="n"/>
      <c r="T262" s="45" t="n"/>
      <c r="U262" s="45" t="n">
        <v>0.9973022422921211</v>
      </c>
      <c r="V262" s="45" t="n"/>
      <c r="W262" s="45" t="n"/>
      <c r="X262" s="45" t="n"/>
      <c r="Y262" s="45" t="n"/>
      <c r="Z262" s="45" t="n"/>
      <c r="AA262" s="45" t="n">
        <v>0.880103806228374</v>
      </c>
      <c r="AB262" s="45" t="n"/>
      <c r="AC262" s="45" t="n"/>
      <c r="AD262" s="45" t="n"/>
      <c r="AE262" s="45" t="n">
        <v>0.9993095754474109</v>
      </c>
      <c r="AF262" s="75">
        <f>IFERROR(AVERAGE(L262:U262),"")</f>
        <v/>
      </c>
      <c r="AG262" s="75">
        <f>IFERROR(AVERAGE(V262:AE262),"")</f>
        <v/>
      </c>
      <c r="AH262" s="75">
        <f>IFERROR(AVERAGE(B262:K262),"")</f>
        <v/>
      </c>
      <c r="AI262" s="45" t="n">
        <v>0.996681213378906</v>
      </c>
      <c r="AJ262" s="47" t="n">
        <v>0</v>
      </c>
    </row>
    <row r="263" ht="15" customHeight="1" s="30">
      <c r="A263" s="73" t="inlineStr">
        <is>
          <t>8112.jpg</t>
        </is>
      </c>
      <c r="B263" s="45" t="n"/>
      <c r="C263" s="45" t="n"/>
      <c r="D263" s="45" t="n"/>
      <c r="E263" s="45" t="n"/>
      <c r="F263" s="45" t="n"/>
      <c r="G263" s="45" t="n">
        <v>0.9284227151985071</v>
      </c>
      <c r="H263" s="45" t="n"/>
      <c r="I263" s="45" t="n"/>
      <c r="J263" s="45" t="n"/>
      <c r="K263" s="45" t="n">
        <v>0.995999390077524</v>
      </c>
      <c r="L263" s="45" t="n"/>
      <c r="M263" s="45" t="n"/>
      <c r="N263" s="45" t="n"/>
      <c r="O263" s="45" t="n"/>
      <c r="P263" s="45" t="n"/>
      <c r="Q263" s="45" t="n">
        <v>0.95884926225254</v>
      </c>
      <c r="R263" s="45" t="n"/>
      <c r="S263" s="45" t="n"/>
      <c r="T263" s="45" t="n"/>
      <c r="U263" s="45" t="n">
        <v>0.998222451006809</v>
      </c>
      <c r="V263" s="45" t="n"/>
      <c r="W263" s="45" t="n"/>
      <c r="X263" s="45" t="n"/>
      <c r="Y263" s="45" t="n"/>
      <c r="Z263" s="45" t="n"/>
      <c r="AA263" s="45" t="n">
        <v>0.966950800059818</v>
      </c>
      <c r="AB263" s="45" t="n"/>
      <c r="AC263" s="45" t="n"/>
      <c r="AD263" s="45" t="n"/>
      <c r="AE263" s="45" t="n">
        <v>0.997769023596093</v>
      </c>
      <c r="AF263" s="75">
        <f>IFERROR(AVERAGE(L263:U263),"")</f>
        <v/>
      </c>
      <c r="AG263" s="75">
        <f>IFERROR(AVERAGE(V263:AE263),"")</f>
        <v/>
      </c>
      <c r="AH263" s="75">
        <f>IFERROR(AVERAGE(B263:K263),"")</f>
        <v/>
      </c>
      <c r="AI263" s="45" t="n">
        <v>0.996196746826172</v>
      </c>
      <c r="AJ263" s="47" t="n">
        <v>0</v>
      </c>
    </row>
    <row r="264" ht="15" customHeight="1" s="30">
      <c r="A264" s="73" t="inlineStr">
        <is>
          <t>8115.jpg</t>
        </is>
      </c>
      <c r="B264" s="45" t="n"/>
      <c r="C264" s="45" t="n"/>
      <c r="D264" s="45" t="n"/>
      <c r="E264" s="45" t="n"/>
      <c r="F264" s="45" t="n"/>
      <c r="G264" s="45" t="n">
        <v>0.947353427155148</v>
      </c>
      <c r="H264" s="45" t="n"/>
      <c r="I264" s="45" t="n"/>
      <c r="J264" s="45" t="n"/>
      <c r="K264" s="45" t="n">
        <v>0.996236513153875</v>
      </c>
      <c r="L264" s="45" t="n"/>
      <c r="M264" s="45" t="n"/>
      <c r="N264" s="45" t="n"/>
      <c r="O264" s="45" t="n"/>
      <c r="P264" s="45" t="n"/>
      <c r="Q264" s="45" t="n">
        <v>0.974961885774598</v>
      </c>
      <c r="R264" s="45" t="n"/>
      <c r="S264" s="45" t="n"/>
      <c r="T264" s="45" t="n"/>
      <c r="U264" s="45" t="n">
        <v>0.9979721734872899</v>
      </c>
      <c r="V264" s="45" t="n"/>
      <c r="W264" s="45" t="n"/>
      <c r="X264" s="45" t="n"/>
      <c r="Y264" s="45" t="n"/>
      <c r="Z264" s="45" t="n"/>
      <c r="AA264" s="45" t="n">
        <v>0.970976407381453</v>
      </c>
      <c r="AB264" s="45" t="n"/>
      <c r="AC264" s="45" t="n"/>
      <c r="AD264" s="45" t="n"/>
      <c r="AE264" s="45" t="n">
        <v>0.998257285119582</v>
      </c>
      <c r="AF264" s="75">
        <f>IFERROR(AVERAGE(L264:U264),"")</f>
        <v/>
      </c>
      <c r="AG264" s="75">
        <f>IFERROR(AVERAGE(V264:AE264),"")</f>
        <v/>
      </c>
      <c r="AH264" s="75">
        <f>IFERROR(AVERAGE(B264:K264),"")</f>
        <v/>
      </c>
      <c r="AI264" s="45" t="n">
        <v>0.9964752197265631</v>
      </c>
      <c r="AJ264" s="47" t="n">
        <v>0</v>
      </c>
    </row>
    <row r="265" ht="15" customHeight="1" s="30">
      <c r="A265" s="73" t="inlineStr">
        <is>
          <t>8136.jpg</t>
        </is>
      </c>
      <c r="B265" s="45" t="n"/>
      <c r="C265" s="45" t="n"/>
      <c r="D265" s="45" t="n"/>
      <c r="E265" s="45" t="n"/>
      <c r="F265" s="45" t="n"/>
      <c r="G265" s="45" t="n">
        <v>0.977407240141665</v>
      </c>
      <c r="H265" s="45" t="n">
        <v>0</v>
      </c>
      <c r="I265" s="45" t="n"/>
      <c r="J265" s="45" t="n"/>
      <c r="K265" s="45" t="n">
        <v>0.988738375680228</v>
      </c>
      <c r="L265" s="45" t="n"/>
      <c r="M265" s="45" t="n"/>
      <c r="N265" s="45" t="n"/>
      <c r="O265" s="45" t="n"/>
      <c r="P265" s="45" t="n"/>
      <c r="Q265" s="45" t="n">
        <v>0.998712764277994</v>
      </c>
      <c r="R265" s="45" t="n">
        <v>0</v>
      </c>
      <c r="S265" s="45" t="n"/>
      <c r="T265" s="45" t="n"/>
      <c r="U265" s="45" t="n">
        <v>0.9900095729996879</v>
      </c>
      <c r="V265" s="45" t="n"/>
      <c r="W265" s="45" t="n"/>
      <c r="X265" s="45" t="n"/>
      <c r="Y265" s="45" t="n"/>
      <c r="Z265" s="45" t="n"/>
      <c r="AA265" s="45" t="n">
        <v>0.978640106620972</v>
      </c>
      <c r="AB265" s="45" t="n"/>
      <c r="AC265" s="45" t="n"/>
      <c r="AD265" s="45" t="n"/>
      <c r="AE265" s="45" t="n">
        <v>0.998703034114133</v>
      </c>
      <c r="AF265" s="75">
        <f>IFERROR(AVERAGE(L265:U265),"")</f>
        <v/>
      </c>
      <c r="AG265" s="75">
        <f>IFERROR(AVERAGE(V265:AE265),"")</f>
        <v/>
      </c>
      <c r="AH265" s="75">
        <f>IFERROR(AVERAGE(B265:K265),"")</f>
        <v/>
      </c>
      <c r="AI265" s="45" t="n">
        <v>0.992271423339844</v>
      </c>
      <c r="AJ265" s="47" t="n">
        <v>0</v>
      </c>
    </row>
    <row r="266" ht="15" customHeight="1" s="30">
      <c r="A266" s="73" t="inlineStr">
        <is>
          <t>8140.jpg</t>
        </is>
      </c>
      <c r="B266" s="45" t="n"/>
      <c r="C266" s="45" t="n"/>
      <c r="D266" s="45" t="n"/>
      <c r="E266" s="45" t="n"/>
      <c r="F266" s="45" t="n">
        <v>0</v>
      </c>
      <c r="G266" s="45" t="n">
        <v>0.883942414174972</v>
      </c>
      <c r="H266" s="45" t="n"/>
      <c r="I266" s="45" t="n"/>
      <c r="J266" s="45" t="n"/>
      <c r="K266" s="45" t="n">
        <v>0.993449060048316</v>
      </c>
      <c r="L266" s="45" t="n"/>
      <c r="M266" s="45" t="n"/>
      <c r="N266" s="45" t="n"/>
      <c r="O266" s="45" t="n"/>
      <c r="P266" s="45" t="n">
        <v>0</v>
      </c>
      <c r="Q266" s="45" t="n">
        <v>0.896954714012811</v>
      </c>
      <c r="R266" s="45" t="n"/>
      <c r="S266" s="45" t="n"/>
      <c r="T266" s="45" t="n"/>
      <c r="U266" s="45" t="n">
        <v>0.999481450987222</v>
      </c>
      <c r="V266" s="45" t="n"/>
      <c r="W266" s="45" t="n"/>
      <c r="X266" s="45" t="n"/>
      <c r="Y266" s="45" t="n"/>
      <c r="Z266" s="45" t="n"/>
      <c r="AA266" s="45" t="n">
        <v>0.983853075311229</v>
      </c>
      <c r="AB266" s="45" t="n"/>
      <c r="AC266" s="45" t="n"/>
      <c r="AD266" s="45" t="n"/>
      <c r="AE266" s="45" t="n">
        <v>0.993961366919785</v>
      </c>
      <c r="AF266" s="75">
        <f>IFERROR(AVERAGE(L266:U266),"")</f>
        <v/>
      </c>
      <c r="AG266" s="75">
        <f>IFERROR(AVERAGE(V266:AE266),"")</f>
        <v/>
      </c>
      <c r="AH266" s="75">
        <f>IFERROR(AVERAGE(B266:K266),"")</f>
        <v/>
      </c>
      <c r="AI266" s="45" t="n">
        <v>0.993648529052734</v>
      </c>
      <c r="AJ266" s="47" t="n">
        <v>0</v>
      </c>
    </row>
    <row r="267" ht="15" customHeight="1" s="30">
      <c r="A267" s="73" t="inlineStr">
        <is>
          <t>8147.jpg</t>
        </is>
      </c>
      <c r="B267" s="45" t="n"/>
      <c r="C267" s="45" t="n"/>
      <c r="D267" s="45" t="n"/>
      <c r="E267" s="45" t="n"/>
      <c r="F267" s="45" t="n">
        <v>0.907951402261826</v>
      </c>
      <c r="G267" s="45" t="n"/>
      <c r="H267" s="45" t="n">
        <v>0</v>
      </c>
      <c r="I267" s="45" t="n"/>
      <c r="J267" s="45" t="n"/>
      <c r="K267" s="45" t="n">
        <v>0.984869523986927</v>
      </c>
      <c r="L267" s="45" t="n"/>
      <c r="M267" s="45" t="n"/>
      <c r="N267" s="45" t="n"/>
      <c r="O267" s="45" t="n"/>
      <c r="P267" s="45" t="n">
        <v>0.945009292664262</v>
      </c>
      <c r="Q267" s="45" t="n"/>
      <c r="R267" s="45" t="n">
        <v>0</v>
      </c>
      <c r="S267" s="45" t="n"/>
      <c r="T267" s="45" t="n"/>
      <c r="U267" s="45" t="n">
        <v>0.995208720129365</v>
      </c>
      <c r="V267" s="45" t="n"/>
      <c r="W267" s="45" t="n"/>
      <c r="X267" s="45" t="n"/>
      <c r="Y267" s="45" t="n"/>
      <c r="Z267" s="45" t="n">
        <v>0.958598255212184</v>
      </c>
      <c r="AA267" s="45" t="n"/>
      <c r="AB267" s="45" t="n"/>
      <c r="AC267" s="45" t="n"/>
      <c r="AD267" s="45" t="n"/>
      <c r="AE267" s="45" t="n">
        <v>0.989561533357154</v>
      </c>
      <c r="AF267" s="75">
        <f>IFERROR(AVERAGE(L267:U267),"")</f>
        <v/>
      </c>
      <c r="AG267" s="75">
        <f>IFERROR(AVERAGE(V267:AE267),"")</f>
        <v/>
      </c>
      <c r="AH267" s="75">
        <f>IFERROR(AVERAGE(B267:K267),"")</f>
        <v/>
      </c>
      <c r="AI267" s="45" t="n">
        <v>0.986366271972656</v>
      </c>
      <c r="AJ267" s="47" t="n">
        <v>0</v>
      </c>
    </row>
    <row r="268" ht="15" customHeight="1" s="30">
      <c r="A268" s="73" t="inlineStr">
        <is>
          <t>8154.jpg</t>
        </is>
      </c>
      <c r="B268" s="45" t="n"/>
      <c r="C268" s="45" t="n"/>
      <c r="D268" s="45" t="n"/>
      <c r="E268" s="45" t="n"/>
      <c r="F268" s="45" t="n">
        <v>0.85426231542375</v>
      </c>
      <c r="G268" s="45" t="n"/>
      <c r="H268" s="45" t="n">
        <v>0</v>
      </c>
      <c r="I268" s="45" t="n"/>
      <c r="J268" s="45" t="n"/>
      <c r="K268" s="45" t="n">
        <v>0.977873541171155</v>
      </c>
      <c r="L268" s="45" t="n"/>
      <c r="M268" s="45" t="n"/>
      <c r="N268" s="45" t="n"/>
      <c r="O268" s="45" t="n"/>
      <c r="P268" s="45" t="n">
        <v>0.955417548485585</v>
      </c>
      <c r="Q268" s="45" t="n"/>
      <c r="R268" s="45" t="n">
        <v>0</v>
      </c>
      <c r="S268" s="45" t="n"/>
      <c r="T268" s="45" t="n"/>
      <c r="U268" s="45" t="n">
        <v>0.985341110175752</v>
      </c>
      <c r="V268" s="45" t="n"/>
      <c r="W268" s="45" t="n"/>
      <c r="X268" s="45" t="n"/>
      <c r="Y268" s="45" t="n"/>
      <c r="Z268" s="45" t="n">
        <v>0.889728926367484</v>
      </c>
      <c r="AA268" s="45" t="n"/>
      <c r="AB268" s="45" t="n"/>
      <c r="AC268" s="45" t="n"/>
      <c r="AD268" s="45" t="n"/>
      <c r="AE268" s="45" t="n">
        <v>0.992309455736117</v>
      </c>
      <c r="AF268" s="75">
        <f>IFERROR(AVERAGE(L268:U268),"")</f>
        <v/>
      </c>
      <c r="AG268" s="75">
        <f>IFERROR(AVERAGE(V268:AE268),"")</f>
        <v/>
      </c>
      <c r="AH268" s="75">
        <f>IFERROR(AVERAGE(B268:K268),"")</f>
        <v/>
      </c>
      <c r="AI268" s="45" t="n">
        <v>0.980197906494141</v>
      </c>
      <c r="AJ268" s="47" t="n">
        <v>0</v>
      </c>
    </row>
    <row r="269" ht="15" customHeight="1" s="30">
      <c r="A269" s="73" t="inlineStr">
        <is>
          <t>8160.jpg</t>
        </is>
      </c>
      <c r="B269" s="45" t="n"/>
      <c r="C269" s="45" t="n"/>
      <c r="D269" s="45" t="n"/>
      <c r="E269" s="45" t="n"/>
      <c r="F269" s="45" t="n">
        <v>0.757206443408224</v>
      </c>
      <c r="G269" s="45" t="n"/>
      <c r="H269" s="45" t="n">
        <v>0.498149605151966</v>
      </c>
      <c r="I269" s="45" t="n"/>
      <c r="J269" s="45" t="n"/>
      <c r="K269" s="45" t="n">
        <v>0.737666959988595</v>
      </c>
      <c r="L269" s="45" t="n"/>
      <c r="M269" s="45" t="n"/>
      <c r="N269" s="45" t="n"/>
      <c r="O269" s="45" t="n"/>
      <c r="P269" s="45" t="n">
        <v>0.760996911279157</v>
      </c>
      <c r="Q269" s="45" t="n"/>
      <c r="R269" s="45" t="n">
        <v>0.997801470874353</v>
      </c>
      <c r="S269" s="45" t="n"/>
      <c r="T269" s="45" t="n"/>
      <c r="U269" s="45" t="n">
        <v>0.745213724876712</v>
      </c>
      <c r="V269" s="45" t="n"/>
      <c r="W269" s="45" t="n"/>
      <c r="X269" s="45" t="n"/>
      <c r="Y269" s="45" t="n"/>
      <c r="Z269" s="45" t="n">
        <v>0.993464961067853</v>
      </c>
      <c r="AA269" s="45" t="n"/>
      <c r="AB269" s="45" t="n">
        <v>0.498696979715669</v>
      </c>
      <c r="AC269" s="45" t="n"/>
      <c r="AD269" s="45" t="n"/>
      <c r="AE269" s="45" t="n">
        <v>0.986457525277095</v>
      </c>
      <c r="AF269" s="75">
        <f>IFERROR(AVERAGE(L269:U269),"")</f>
        <v/>
      </c>
      <c r="AG269" s="75">
        <f>IFERROR(AVERAGE(V269:AE269),"")</f>
        <v/>
      </c>
      <c r="AH269" s="75">
        <f>IFERROR(AVERAGE(B269:K269),"")</f>
        <v/>
      </c>
      <c r="AI269" s="45" t="n">
        <v>0.7953033447265631</v>
      </c>
      <c r="AJ269" s="47" t="n">
        <v>0</v>
      </c>
    </row>
    <row r="270" ht="15" customHeight="1" s="30">
      <c r="A270" s="73" t="inlineStr">
        <is>
          <t>8162.jpg</t>
        </is>
      </c>
      <c r="B270" s="45" t="n"/>
      <c r="C270" s="45" t="n"/>
      <c r="D270" s="45" t="n"/>
      <c r="E270" s="45" t="n"/>
      <c r="F270" s="45" t="n">
        <v>0.90006421576497</v>
      </c>
      <c r="G270" s="45" t="n">
        <v>0.886953281475616</v>
      </c>
      <c r="H270" s="45" t="n">
        <v>0</v>
      </c>
      <c r="I270" s="45" t="n"/>
      <c r="J270" s="45" t="n"/>
      <c r="K270" s="45" t="n">
        <v>0.983091787439614</v>
      </c>
      <c r="L270" s="45" t="n"/>
      <c r="M270" s="45" t="n"/>
      <c r="N270" s="45" t="n"/>
      <c r="O270" s="45" t="n"/>
      <c r="P270" s="45" t="n">
        <v>0.908302956662616</v>
      </c>
      <c r="Q270" s="45" t="n">
        <v>0.986529893275308</v>
      </c>
      <c r="R270" s="45" t="n">
        <v>0</v>
      </c>
      <c r="S270" s="45" t="n"/>
      <c r="T270" s="45" t="n"/>
      <c r="U270" s="45" t="n">
        <v>0.989073044512046</v>
      </c>
      <c r="V270" s="45" t="n"/>
      <c r="W270" s="45" t="n"/>
      <c r="X270" s="45" t="n"/>
      <c r="Y270" s="45" t="n"/>
      <c r="Z270" s="45" t="n">
        <v>0.990022956030373</v>
      </c>
      <c r="AA270" s="45" t="n">
        <v>0.897826394455184</v>
      </c>
      <c r="AB270" s="45" t="n">
        <v>0</v>
      </c>
      <c r="AC270" s="45" t="n"/>
      <c r="AD270" s="45" t="n"/>
      <c r="AE270" s="45" t="n">
        <v>0.993886263417719</v>
      </c>
      <c r="AF270" s="75">
        <f>IFERROR(AVERAGE(L270:U270),"")</f>
        <v/>
      </c>
      <c r="AG270" s="75">
        <f>IFERROR(AVERAGE(V270:AE270),"")</f>
        <v/>
      </c>
      <c r="AH270" s="75">
        <f>IFERROR(AVERAGE(B270:K270),"")</f>
        <v/>
      </c>
      <c r="AI270" s="45" t="n">
        <v>0.978649139404297</v>
      </c>
      <c r="AJ270" s="47" t="n">
        <v>0</v>
      </c>
    </row>
    <row r="271" ht="15" customHeight="1" s="30">
      <c r="A271" s="73" t="inlineStr">
        <is>
          <t>8169.jpg</t>
        </is>
      </c>
      <c r="B271" s="45" t="n"/>
      <c r="C271" s="45" t="n"/>
      <c r="D271" s="45" t="n"/>
      <c r="E271" s="45" t="n"/>
      <c r="F271" s="45" t="n">
        <v>0.669099901677442</v>
      </c>
      <c r="G271" s="45" t="n"/>
      <c r="H271" s="45" t="n">
        <v>0</v>
      </c>
      <c r="I271" s="45" t="n"/>
      <c r="J271" s="45" t="n"/>
      <c r="K271" s="45" t="n">
        <v>0.943505488407799</v>
      </c>
      <c r="L271" s="45" t="n"/>
      <c r="M271" s="45" t="n"/>
      <c r="N271" s="45" t="n"/>
      <c r="O271" s="45" t="n"/>
      <c r="P271" s="45" t="n">
        <v>0.980141410614525</v>
      </c>
      <c r="Q271" s="45" t="n"/>
      <c r="R271" s="45" t="n">
        <v>0</v>
      </c>
      <c r="S271" s="45" t="n"/>
      <c r="T271" s="45" t="n"/>
      <c r="U271" s="45" t="n">
        <v>0.955020545023797</v>
      </c>
      <c r="V271" s="45" t="n"/>
      <c r="W271" s="45" t="n"/>
      <c r="X271" s="45" t="n"/>
      <c r="Y271" s="45" t="n"/>
      <c r="Z271" s="45" t="n">
        <v>0.678295276066208</v>
      </c>
      <c r="AA271" s="45" t="n"/>
      <c r="AB271" s="45" t="n"/>
      <c r="AC271" s="45" t="n"/>
      <c r="AD271" s="45" t="n"/>
      <c r="AE271" s="45" t="n">
        <v>0.987381896295779</v>
      </c>
      <c r="AF271" s="75">
        <f>IFERROR(AVERAGE(L271:U271),"")</f>
        <v/>
      </c>
      <c r="AG271" s="75">
        <f>IFERROR(AVERAGE(V271:AE271),"")</f>
        <v/>
      </c>
      <c r="AH271" s="75">
        <f>IFERROR(AVERAGE(B271:K271),"")</f>
        <v/>
      </c>
      <c r="AI271" s="45" t="n">
        <v>0.948345184326172</v>
      </c>
      <c r="AJ271" s="47" t="n">
        <v>0</v>
      </c>
    </row>
    <row r="272" ht="15" customHeight="1" s="30">
      <c r="A272" s="73" t="inlineStr">
        <is>
          <t>8170.jpg</t>
        </is>
      </c>
      <c r="B272" s="45" t="n"/>
      <c r="C272" s="45" t="n"/>
      <c r="D272" s="45" t="n"/>
      <c r="E272" s="45" t="n"/>
      <c r="F272" s="45" t="n">
        <v>0.6461706010478599</v>
      </c>
      <c r="G272" s="45" t="n"/>
      <c r="H272" s="45" t="n">
        <v>0</v>
      </c>
      <c r="I272" s="45" t="n"/>
      <c r="J272" s="45" t="n"/>
      <c r="K272" s="45" t="n">
        <v>0.937724560870307</v>
      </c>
      <c r="L272" s="45" t="n"/>
      <c r="M272" s="45" t="n"/>
      <c r="N272" s="45" t="n"/>
      <c r="O272" s="45" t="n"/>
      <c r="P272" s="45" t="n">
        <v>0.975255442025766</v>
      </c>
      <c r="Q272" s="45" t="n"/>
      <c r="R272" s="45" t="n">
        <v>0</v>
      </c>
      <c r="S272" s="45" t="n"/>
      <c r="T272" s="45" t="n"/>
      <c r="U272" s="45" t="n">
        <v>0.9515667710194891</v>
      </c>
      <c r="V272" s="45" t="n"/>
      <c r="W272" s="45" t="n"/>
      <c r="X272" s="45" t="n"/>
      <c r="Y272" s="45" t="n"/>
      <c r="Z272" s="45" t="n">
        <v>0.656941077894485</v>
      </c>
      <c r="AA272" s="45" t="n"/>
      <c r="AB272" s="45" t="n"/>
      <c r="AC272" s="45" t="n"/>
      <c r="AD272" s="45" t="n"/>
      <c r="AE272" s="45" t="n">
        <v>0.984724147127361</v>
      </c>
      <c r="AF272" s="75">
        <f>IFERROR(AVERAGE(L272:U272),"")</f>
        <v/>
      </c>
      <c r="AG272" s="75">
        <f>IFERROR(AVERAGE(V272:AE272),"")</f>
        <v/>
      </c>
      <c r="AH272" s="75">
        <f>IFERROR(AVERAGE(B272:K272),"")</f>
        <v/>
      </c>
      <c r="AI272" s="45" t="n">
        <v>0.942939758300781</v>
      </c>
      <c r="AJ272" s="47" t="n">
        <v>0</v>
      </c>
    </row>
    <row r="273" ht="15" customHeight="1" s="30">
      <c r="A273" s="73" t="inlineStr">
        <is>
          <t>8183.jpg</t>
        </is>
      </c>
      <c r="B273" s="45" t="n"/>
      <c r="C273" s="45" t="n"/>
      <c r="D273" s="45" t="n"/>
      <c r="E273" s="45" t="n"/>
      <c r="F273" s="45" t="n"/>
      <c r="G273" s="45" t="n">
        <v>0.948781902552204</v>
      </c>
      <c r="H273" s="45" t="n">
        <v>0.481833241303147</v>
      </c>
      <c r="I273" s="45" t="n"/>
      <c r="J273" s="45" t="n"/>
      <c r="K273" s="45" t="n">
        <v>0.957245273013678</v>
      </c>
      <c r="L273" s="45" t="n"/>
      <c r="M273" s="45" t="n"/>
      <c r="N273" s="45" t="n"/>
      <c r="O273" s="45" t="n"/>
      <c r="P273" s="45" t="n"/>
      <c r="Q273" s="45" t="n">
        <v>0.964531061119793</v>
      </c>
      <c r="R273" s="45" t="n">
        <v>0.604963948973932</v>
      </c>
      <c r="S273" s="45" t="n"/>
      <c r="T273" s="45" t="n"/>
      <c r="U273" s="45" t="n">
        <v>0.984131310863825</v>
      </c>
      <c r="V273" s="45" t="n"/>
      <c r="W273" s="45" t="n"/>
      <c r="X273" s="45" t="n"/>
      <c r="Y273" s="45" t="n"/>
      <c r="Z273" s="45" t="n"/>
      <c r="AA273" s="45" t="n">
        <v>0.983081407578808</v>
      </c>
      <c r="AB273" s="45" t="n">
        <v>0.703029326458266</v>
      </c>
      <c r="AC273" s="45" t="n"/>
      <c r="AD273" s="45" t="n"/>
      <c r="AE273" s="45" t="n">
        <v>0.972252143792506</v>
      </c>
      <c r="AF273" s="75">
        <f>IFERROR(AVERAGE(L273:U273),"")</f>
        <v/>
      </c>
      <c r="AG273" s="75">
        <f>IFERROR(AVERAGE(V273:AE273),"")</f>
        <v/>
      </c>
      <c r="AH273" s="75">
        <f>IFERROR(AVERAGE(B273:K273),"")</f>
        <v/>
      </c>
      <c r="AI273" s="45" t="n">
        <v>0.9686279296875</v>
      </c>
      <c r="AJ273" s="47" t="n">
        <v>0</v>
      </c>
    </row>
    <row r="274" ht="15" customHeight="1" s="30">
      <c r="A274" s="73" t="inlineStr">
        <is>
          <t>8189.jpg</t>
        </is>
      </c>
      <c r="B274" s="45" t="n"/>
      <c r="C274" s="45" t="n"/>
      <c r="D274" s="45" t="n"/>
      <c r="E274" s="45" t="n"/>
      <c r="F274" s="45" t="n"/>
      <c r="G274" s="45" t="n"/>
      <c r="H274" s="45" t="n">
        <v>0</v>
      </c>
      <c r="I274" s="45" t="n"/>
      <c r="J274" s="45" t="n"/>
      <c r="K274" s="45" t="n">
        <v>0.991992950439453</v>
      </c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>
        <v>0.991992950439453</v>
      </c>
      <c r="V274" s="45" t="n"/>
      <c r="W274" s="45" t="n"/>
      <c r="X274" s="45" t="n"/>
      <c r="Y274" s="45" t="n"/>
      <c r="Z274" s="45" t="n"/>
      <c r="AA274" s="45" t="n"/>
      <c r="AB274" s="45" t="n">
        <v>0</v>
      </c>
      <c r="AC274" s="45" t="n"/>
      <c r="AD274" s="45" t="n"/>
      <c r="AE274" s="45" t="n">
        <v>1</v>
      </c>
      <c r="AF274" s="75">
        <f>IFERROR(AVERAGE(L274:U274),"")</f>
        <v/>
      </c>
      <c r="AG274" s="75">
        <f>IFERROR(AVERAGE(V274:AE274),"")</f>
        <v/>
      </c>
      <c r="AH274" s="75">
        <f>IFERROR(AVERAGE(B274:K274),"")</f>
        <v/>
      </c>
      <c r="AI274" s="45" t="n">
        <v>0.991992950439453</v>
      </c>
      <c r="AJ274" s="47" t="n">
        <v>0</v>
      </c>
    </row>
    <row r="275" ht="15" customHeight="1" s="30">
      <c r="A275" s="73" t="inlineStr">
        <is>
          <t>8203.jpg</t>
        </is>
      </c>
      <c r="B275" s="45" t="n"/>
      <c r="C275" s="45" t="n"/>
      <c r="D275" s="45" t="n"/>
      <c r="E275" s="45" t="n"/>
      <c r="F275" s="45" t="n"/>
      <c r="G275" s="45" t="n">
        <v>0.80983677207348</v>
      </c>
      <c r="H275" s="45" t="n"/>
      <c r="I275" s="45" t="n"/>
      <c r="J275" s="45" t="n"/>
      <c r="K275" s="45" t="n">
        <v>0.985714921634407</v>
      </c>
      <c r="L275" s="45" t="n"/>
      <c r="M275" s="45" t="n"/>
      <c r="N275" s="45" t="n"/>
      <c r="O275" s="45" t="n"/>
      <c r="P275" s="45" t="n"/>
      <c r="Q275" s="45" t="n">
        <v>0.999800478850758</v>
      </c>
      <c r="R275" s="45" t="n"/>
      <c r="S275" s="45" t="n"/>
      <c r="T275" s="45" t="n"/>
      <c r="U275" s="45" t="n">
        <v>0.9857268886478791</v>
      </c>
      <c r="V275" s="45" t="n"/>
      <c r="W275" s="45" t="n"/>
      <c r="X275" s="45" t="n"/>
      <c r="Y275" s="45" t="n"/>
      <c r="Z275" s="45" t="n"/>
      <c r="AA275" s="45" t="n">
        <v>0.809967672413793</v>
      </c>
      <c r="AB275" s="45" t="n"/>
      <c r="AC275" s="45" t="n"/>
      <c r="AD275" s="45" t="n"/>
      <c r="AE275" s="45" t="n">
        <v>0.999987683920126</v>
      </c>
      <c r="AF275" s="75">
        <f>IFERROR(AVERAGE(L275:U275),"")</f>
        <v/>
      </c>
      <c r="AG275" s="75">
        <f>IFERROR(AVERAGE(V275:AE275),"")</f>
        <v/>
      </c>
      <c r="AH275" s="75">
        <f>IFERROR(AVERAGE(B275:K275),"")</f>
        <v/>
      </c>
      <c r="AI275" s="45" t="n">
        <v>0.986534118652344</v>
      </c>
      <c r="AJ275" s="47" t="n">
        <v>0</v>
      </c>
    </row>
    <row r="276" ht="15" customHeight="1" s="30">
      <c r="A276" s="73" t="inlineStr">
        <is>
          <t>8211.jpg</t>
        </is>
      </c>
      <c r="B276" s="45" t="n"/>
      <c r="C276" s="45" t="n"/>
      <c r="D276" s="45" t="n"/>
      <c r="E276" s="45" t="n"/>
      <c r="F276" s="45" t="n">
        <v>0.950937011972931</v>
      </c>
      <c r="G276" s="45" t="n">
        <v>0</v>
      </c>
      <c r="H276" s="45" t="n"/>
      <c r="I276" s="45" t="n"/>
      <c r="J276" s="45" t="n"/>
      <c r="K276" s="45" t="n">
        <v>0.925617096917545</v>
      </c>
      <c r="L276" s="45" t="n"/>
      <c r="M276" s="45" t="n"/>
      <c r="N276" s="45" t="n"/>
      <c r="O276" s="45" t="n"/>
      <c r="P276" s="45" t="n">
        <v>0.982189663283823</v>
      </c>
      <c r="Q276" s="45" t="n">
        <v>0</v>
      </c>
      <c r="R276" s="45" t="n"/>
      <c r="S276" s="45" t="n"/>
      <c r="T276" s="45" t="n"/>
      <c r="U276" s="45" t="n">
        <v>0.997870273989905</v>
      </c>
      <c r="V276" s="45" t="n"/>
      <c r="W276" s="45" t="n"/>
      <c r="X276" s="45" t="n"/>
      <c r="Y276" s="45" t="n"/>
      <c r="Z276" s="45" t="n">
        <v>0.967622326690062</v>
      </c>
      <c r="AA276" s="45" t="n"/>
      <c r="AB276" s="45" t="n"/>
      <c r="AC276" s="45" t="n"/>
      <c r="AD276" s="45" t="n"/>
      <c r="AE276" s="45" t="n">
        <v>0.927449289794002</v>
      </c>
      <c r="AF276" s="75">
        <f>IFERROR(AVERAGE(L276:U276),"")</f>
        <v/>
      </c>
      <c r="AG276" s="75">
        <f>IFERROR(AVERAGE(V276:AE276),"")</f>
        <v/>
      </c>
      <c r="AH276" s="75">
        <f>IFERROR(AVERAGE(B276:K276),"")</f>
        <v/>
      </c>
      <c r="AI276" s="45" t="n">
        <v>0.9297637939453131</v>
      </c>
      <c r="AJ276" s="47" t="n">
        <v>0</v>
      </c>
    </row>
    <row r="277" ht="15" customHeight="1" s="30">
      <c r="A277" s="73" t="inlineStr">
        <is>
          <t>8214.jpg</t>
        </is>
      </c>
      <c r="B277" s="45" t="n"/>
      <c r="C277" s="45" t="n"/>
      <c r="D277" s="45" t="n"/>
      <c r="E277" s="45" t="n"/>
      <c r="F277" s="45" t="n">
        <v>0.905494068526741</v>
      </c>
      <c r="G277" s="45" t="n"/>
      <c r="H277" s="45" t="n"/>
      <c r="I277" s="45" t="n"/>
      <c r="J277" s="45" t="n"/>
      <c r="K277" s="45" t="n">
        <v>0.994261130629706</v>
      </c>
      <c r="L277" s="45" t="n"/>
      <c r="M277" s="45" t="n"/>
      <c r="N277" s="45" t="n"/>
      <c r="O277" s="45" t="n"/>
      <c r="P277" s="45" t="n">
        <v>0.921246038702717</v>
      </c>
      <c r="Q277" s="45" t="n"/>
      <c r="R277" s="45" t="n"/>
      <c r="S277" s="45" t="n"/>
      <c r="T277" s="45" t="n"/>
      <c r="U277" s="45" t="n">
        <v>0.998956787552616</v>
      </c>
      <c r="V277" s="45" t="n"/>
      <c r="W277" s="45" t="n"/>
      <c r="X277" s="45" t="n"/>
      <c r="Y277" s="45" t="n"/>
      <c r="Z277" s="45" t="n">
        <v>0.981466848645931</v>
      </c>
      <c r="AA277" s="45" t="n"/>
      <c r="AB277" s="45" t="n"/>
      <c r="AC277" s="45" t="n"/>
      <c r="AD277" s="45" t="n"/>
      <c r="AE277" s="45" t="n">
        <v>0.995294553687612</v>
      </c>
      <c r="AF277" s="75">
        <f>IFERROR(AVERAGE(L277:U277),"")</f>
        <v/>
      </c>
      <c r="AG277" s="75">
        <f>IFERROR(AVERAGE(V277:AE277),"")</f>
        <v/>
      </c>
      <c r="AH277" s="75">
        <f>IFERROR(AVERAGE(B277:K277),"")</f>
        <v/>
      </c>
      <c r="AI277" s="45" t="n">
        <v>0.994560241699219</v>
      </c>
      <c r="AJ277" s="47" t="n">
        <v>0</v>
      </c>
    </row>
    <row r="278" ht="15" customHeight="1" s="30">
      <c r="A278" s="73" t="inlineStr">
        <is>
          <t>8219.jpg</t>
        </is>
      </c>
      <c r="B278" s="45" t="n"/>
      <c r="C278" s="45" t="n"/>
      <c r="D278" s="45" t="n"/>
      <c r="E278" s="45" t="n"/>
      <c r="F278" s="45" t="n"/>
      <c r="G278" s="45" t="n"/>
      <c r="H278" s="45" t="n">
        <v>0.81571803120177</v>
      </c>
      <c r="I278" s="45" t="n"/>
      <c r="J278" s="45" t="n"/>
      <c r="K278" s="45" t="n">
        <v>0.8863520386223031</v>
      </c>
      <c r="L278" s="45" t="n"/>
      <c r="M278" s="45" t="n"/>
      <c r="N278" s="45" t="n"/>
      <c r="O278" s="45" t="n"/>
      <c r="P278" s="45" t="n"/>
      <c r="Q278" s="45" t="n"/>
      <c r="R278" s="45" t="n">
        <v>0.954835830966296</v>
      </c>
      <c r="S278" s="45" t="n"/>
      <c r="T278" s="45" t="n"/>
      <c r="U278" s="45" t="n">
        <v>0.90795679472797</v>
      </c>
      <c r="V278" s="45" t="n"/>
      <c r="W278" s="45" t="n"/>
      <c r="X278" s="45" t="n"/>
      <c r="Y278" s="45" t="n"/>
      <c r="Z278" s="45" t="n"/>
      <c r="AA278" s="45" t="n"/>
      <c r="AB278" s="45" t="n">
        <v>0.848454665016246</v>
      </c>
      <c r="AC278" s="45" t="n"/>
      <c r="AD278" s="45" t="n"/>
      <c r="AE278" s="45" t="n">
        <v>0.973855962100595</v>
      </c>
      <c r="AF278" s="75">
        <f>IFERROR(AVERAGE(L278:U278),"")</f>
        <v/>
      </c>
      <c r="AG278" s="75">
        <f>IFERROR(AVERAGE(V278:AE278),"")</f>
        <v/>
      </c>
      <c r="AH278" s="75">
        <f>IFERROR(AVERAGE(B278:K278),"")</f>
        <v/>
      </c>
      <c r="AI278" s="45" t="n">
        <v>0.924388885498047</v>
      </c>
      <c r="AJ278" s="47" t="n">
        <v>0</v>
      </c>
    </row>
    <row r="279" ht="15" customHeight="1" s="30">
      <c r="A279" s="73" t="inlineStr">
        <is>
          <t>8233.jpg</t>
        </is>
      </c>
      <c r="B279" s="45" t="n"/>
      <c r="C279" s="45" t="n"/>
      <c r="D279" s="45" t="n"/>
      <c r="E279" s="45" t="n"/>
      <c r="F279" s="45" t="n">
        <v>0.945209864686834</v>
      </c>
      <c r="G279" s="45" t="n"/>
      <c r="H279" s="45" t="n">
        <v>0.760004805309867</v>
      </c>
      <c r="I279" s="45" t="n">
        <v>0.818181818181818</v>
      </c>
      <c r="J279" s="45" t="n"/>
      <c r="K279" s="45" t="n">
        <v>0.848693136248136</v>
      </c>
      <c r="L279" s="45" t="n"/>
      <c r="M279" s="45" t="n"/>
      <c r="N279" s="45" t="n"/>
      <c r="O279" s="45" t="n"/>
      <c r="P279" s="45" t="n">
        <v>0.956253659022683</v>
      </c>
      <c r="Q279" s="45" t="n"/>
      <c r="R279" s="45" t="n">
        <v>0.860160777715461</v>
      </c>
      <c r="S279" s="45" t="n">
        <v>0.905151267375307</v>
      </c>
      <c r="T279" s="45" t="n"/>
      <c r="U279" s="45" t="n">
        <v>0.929590069047052</v>
      </c>
      <c r="V279" s="45" t="n"/>
      <c r="W279" s="45" t="n"/>
      <c r="X279" s="45" t="n"/>
      <c r="Y279" s="45" t="n"/>
      <c r="Z279" s="45" t="n">
        <v>0.987929015404018</v>
      </c>
      <c r="AA279" s="45" t="n"/>
      <c r="AB279" s="45" t="n">
        <v>0.867146406236614</v>
      </c>
      <c r="AC279" s="45" t="n">
        <v>0.894907033144705</v>
      </c>
      <c r="AD279" s="45" t="n"/>
      <c r="AE279" s="45" t="n">
        <v>0.906997236351985</v>
      </c>
      <c r="AF279" s="75">
        <f>IFERROR(AVERAGE(L279:U279),"")</f>
        <v/>
      </c>
      <c r="AG279" s="75">
        <f>IFERROR(AVERAGE(V279:AE279),"")</f>
        <v/>
      </c>
      <c r="AH279" s="75">
        <f>IFERROR(AVERAGE(B279:K279),"")</f>
        <v/>
      </c>
      <c r="AI279" s="45" t="n">
        <v>0.92205810546875</v>
      </c>
      <c r="AJ279" s="47" t="n">
        <v>0</v>
      </c>
    </row>
    <row r="280" ht="15" customHeight="1" s="30">
      <c r="A280" s="73" t="inlineStr">
        <is>
          <t>8237.jpg</t>
        </is>
      </c>
      <c r="B280" s="45" t="n"/>
      <c r="C280" s="45" t="n"/>
      <c r="D280" s="45" t="n"/>
      <c r="E280" s="45" t="n"/>
      <c r="F280" s="45" t="n">
        <v>0</v>
      </c>
      <c r="G280" s="45" t="n"/>
      <c r="H280" s="45" t="n">
        <v>0.732947030295396</v>
      </c>
      <c r="I280" s="45" t="n"/>
      <c r="J280" s="45" t="n"/>
      <c r="K280" s="45" t="n">
        <v>0.895376031457303</v>
      </c>
      <c r="L280" s="45" t="n"/>
      <c r="M280" s="45" t="n"/>
      <c r="N280" s="45" t="n"/>
      <c r="O280" s="45" t="n"/>
      <c r="P280" s="45" t="n">
        <v>0</v>
      </c>
      <c r="Q280" s="45" t="n"/>
      <c r="R280" s="45" t="n">
        <v>0.858527732282768</v>
      </c>
      <c r="S280" s="45" t="n"/>
      <c r="T280" s="45" t="n"/>
      <c r="U280" s="45" t="n">
        <v>0.940215824374974</v>
      </c>
      <c r="V280" s="45" t="n"/>
      <c r="W280" s="45" t="n"/>
      <c r="X280" s="45" t="n"/>
      <c r="Y280" s="45" t="n"/>
      <c r="Z280" s="45" t="n"/>
      <c r="AA280" s="45" t="n"/>
      <c r="AB280" s="45" t="n">
        <v>0.833631817986446</v>
      </c>
      <c r="AC280" s="45" t="n"/>
      <c r="AD280" s="45" t="n"/>
      <c r="AE280" s="45" t="n">
        <v>0.949429936520975</v>
      </c>
      <c r="AF280" s="75">
        <f>IFERROR(AVERAGE(L280:U280),"")</f>
        <v/>
      </c>
      <c r="AG280" s="75">
        <f>IFERROR(AVERAGE(V280:AE280),"")</f>
        <v/>
      </c>
      <c r="AH280" s="75">
        <f>IFERROR(AVERAGE(B280:K280),"")</f>
        <v/>
      </c>
      <c r="AI280" s="45" t="n">
        <v>0.918598175048828</v>
      </c>
      <c r="AJ280" s="47" t="n">
        <v>0</v>
      </c>
    </row>
    <row r="281" ht="15" customHeight="1" s="30">
      <c r="A281" s="73" t="inlineStr">
        <is>
          <t>8250.jpg</t>
        </is>
      </c>
      <c r="B281" s="45" t="n"/>
      <c r="C281" s="45" t="n"/>
      <c r="D281" s="45" t="n"/>
      <c r="E281" s="45" t="n"/>
      <c r="F281" s="45" t="n"/>
      <c r="G281" s="45" t="n"/>
      <c r="H281" s="45" t="n">
        <v>0.8330072889043461</v>
      </c>
      <c r="I281" s="45" t="n"/>
      <c r="J281" s="45" t="n"/>
      <c r="K281" s="45" t="n">
        <v>0.94369170180642</v>
      </c>
      <c r="L281" s="45" t="n"/>
      <c r="M281" s="45" t="n"/>
      <c r="N281" s="45" t="n"/>
      <c r="O281" s="45" t="n"/>
      <c r="P281" s="45" t="n"/>
      <c r="Q281" s="45" t="n"/>
      <c r="R281" s="45" t="n">
        <v>0.89352607445403</v>
      </c>
      <c r="S281" s="45" t="n"/>
      <c r="T281" s="45" t="n"/>
      <c r="U281" s="45" t="n">
        <v>0.976371145903372</v>
      </c>
      <c r="V281" s="45" t="n"/>
      <c r="W281" s="45" t="n"/>
      <c r="X281" s="45" t="n"/>
      <c r="Y281" s="45" t="n"/>
      <c r="Z281" s="45" t="n"/>
      <c r="AA281" s="45" t="n"/>
      <c r="AB281" s="45" t="n">
        <v>0.924805740118084</v>
      </c>
      <c r="AC281" s="45" t="n"/>
      <c r="AD281" s="45" t="n"/>
      <c r="AE281" s="45" t="n">
        <v>0.965747431057329</v>
      </c>
      <c r="AF281" s="75">
        <f>IFERROR(AVERAGE(L281:U281),"")</f>
        <v/>
      </c>
      <c r="AG281" s="75">
        <f>IFERROR(AVERAGE(V281:AE281),"")</f>
        <v/>
      </c>
      <c r="AH281" s="75">
        <f>IFERROR(AVERAGE(B281:K281),"")</f>
        <v/>
      </c>
      <c r="AI281" s="45" t="n">
        <v>0.9560394287109381</v>
      </c>
      <c r="AJ281" s="47" t="n">
        <v>0</v>
      </c>
    </row>
    <row r="282" ht="15" customHeight="1" s="30">
      <c r="A282" s="73" t="inlineStr">
        <is>
          <t>8259.jpg</t>
        </is>
      </c>
      <c r="B282" s="45" t="n"/>
      <c r="C282" s="45" t="n"/>
      <c r="D282" s="45" t="n"/>
      <c r="E282" s="45" t="n"/>
      <c r="F282" s="45" t="n">
        <v>0.8490566037735851</v>
      </c>
      <c r="G282" s="45" t="n"/>
      <c r="H282" s="45" t="n">
        <v>0.749759615384615</v>
      </c>
      <c r="I282" s="45" t="n"/>
      <c r="J282" s="45" t="n"/>
      <c r="K282" s="45" t="n">
        <v>0.982724193762229</v>
      </c>
      <c r="L282" s="45" t="n"/>
      <c r="M282" s="45" t="n"/>
      <c r="N282" s="45" t="n"/>
      <c r="O282" s="45" t="n"/>
      <c r="P282" s="45" t="n">
        <v>0.880322209436134</v>
      </c>
      <c r="Q282" s="45" t="n"/>
      <c r="R282" s="45" t="n">
        <v>0.8455438834293461</v>
      </c>
      <c r="S282" s="45" t="n"/>
      <c r="T282" s="45" t="n"/>
      <c r="U282" s="45" t="n">
        <v>0.992223754664936</v>
      </c>
      <c r="V282" s="45" t="n"/>
      <c r="W282" s="45" t="n"/>
      <c r="X282" s="45" t="n"/>
      <c r="Y282" s="45" t="n"/>
      <c r="Z282" s="45" t="n">
        <v>0.959849435382685</v>
      </c>
      <c r="AA282" s="45" t="n"/>
      <c r="AB282" s="45" t="n">
        <v>0.868741731077223</v>
      </c>
      <c r="AC282" s="45" t="n"/>
      <c r="AD282" s="45" t="n"/>
      <c r="AE282" s="45" t="n">
        <v>0.990351679852299</v>
      </c>
      <c r="AF282" s="75">
        <f>IFERROR(AVERAGE(L282:U282),"")</f>
        <v/>
      </c>
      <c r="AG282" s="75">
        <f>IFERROR(AVERAGE(V282:AE282),"")</f>
        <v/>
      </c>
      <c r="AH282" s="75">
        <f>IFERROR(AVERAGE(B282:K282),"")</f>
        <v/>
      </c>
      <c r="AI282" s="45" t="n">
        <v>0.9835968017578131</v>
      </c>
      <c r="AJ282" s="47" t="n">
        <v>0</v>
      </c>
    </row>
    <row r="283" ht="15" customHeight="1" s="30">
      <c r="A283" s="73" t="inlineStr">
        <is>
          <t>8262.jpg</t>
        </is>
      </c>
      <c r="B283" s="45" t="n"/>
      <c r="C283" s="45" t="n"/>
      <c r="D283" s="45" t="n"/>
      <c r="E283" s="45" t="n"/>
      <c r="F283" s="45" t="n"/>
      <c r="G283" s="45" t="n"/>
      <c r="H283" s="45" t="n">
        <v>0.854221834880837</v>
      </c>
      <c r="I283" s="45" t="n"/>
      <c r="J283" s="45" t="n"/>
      <c r="K283" s="45" t="n">
        <v>0.958811607379627</v>
      </c>
      <c r="L283" s="45" t="n"/>
      <c r="M283" s="45" t="n"/>
      <c r="N283" s="45" t="n"/>
      <c r="O283" s="45" t="n"/>
      <c r="P283" s="45" t="n"/>
      <c r="Q283" s="45" t="n"/>
      <c r="R283" s="45" t="n">
        <v>0.898272823405005</v>
      </c>
      <c r="S283" s="45" t="n"/>
      <c r="T283" s="45" t="n"/>
      <c r="U283" s="45" t="n">
        <v>0.985754902533544</v>
      </c>
      <c r="V283" s="45" t="n"/>
      <c r="W283" s="45" t="n"/>
      <c r="X283" s="45" t="n"/>
      <c r="Y283" s="45" t="n"/>
      <c r="Z283" s="45" t="n"/>
      <c r="AA283" s="45" t="n"/>
      <c r="AB283" s="45" t="n">
        <v>0.945708242104873</v>
      </c>
      <c r="AC283" s="45" t="n"/>
      <c r="AD283" s="45" t="n"/>
      <c r="AE283" s="45" t="n">
        <v>0.97228331332533</v>
      </c>
      <c r="AF283" s="75">
        <f>IFERROR(AVERAGE(L283:U283),"")</f>
        <v/>
      </c>
      <c r="AG283" s="75">
        <f>IFERROR(AVERAGE(V283:AE283),"")</f>
        <v/>
      </c>
      <c r="AH283" s="75">
        <f>IFERROR(AVERAGE(B283:K283),"")</f>
        <v/>
      </c>
      <c r="AI283" s="45" t="n">
        <v>0.966819763183594</v>
      </c>
      <c r="AJ283" s="47" t="n">
        <v>0</v>
      </c>
    </row>
    <row r="284" ht="15" customHeight="1" s="30">
      <c r="A284" s="73" t="inlineStr">
        <is>
          <t>8279.jpg</t>
        </is>
      </c>
      <c r="B284" s="45" t="n"/>
      <c r="C284" s="45" t="n"/>
      <c r="D284" s="45" t="n"/>
      <c r="E284" s="45" t="n"/>
      <c r="F284" s="45" t="n">
        <v>0.953129411764706</v>
      </c>
      <c r="G284" s="45" t="n"/>
      <c r="H284" s="45" t="n">
        <v>0.699733988131778</v>
      </c>
      <c r="I284" s="45" t="n">
        <v>0.858413132694939</v>
      </c>
      <c r="J284" s="45" t="n"/>
      <c r="K284" s="45" t="n">
        <v>0.931634762068796</v>
      </c>
      <c r="L284" s="45" t="n"/>
      <c r="M284" s="45" t="n"/>
      <c r="N284" s="45" t="n"/>
      <c r="O284" s="45" t="n"/>
      <c r="P284" s="45" t="n">
        <v>0.961911094224924</v>
      </c>
      <c r="Q284" s="45" t="n"/>
      <c r="R284" s="45" t="n">
        <v>0.84916811522225</v>
      </c>
      <c r="S284" s="45" t="n">
        <v>0.892603129445235</v>
      </c>
      <c r="T284" s="45" t="n"/>
      <c r="U284" s="45" t="n">
        <v>0.968506001445207</v>
      </c>
      <c r="V284" s="45" t="n"/>
      <c r="W284" s="45" t="n"/>
      <c r="X284" s="45" t="n"/>
      <c r="Y284" s="45" t="n"/>
      <c r="Z284" s="45" t="n">
        <v>0.990512519561815</v>
      </c>
      <c r="AA284" s="45" t="n"/>
      <c r="AB284" s="45" t="n">
        <v>0.799046639872885</v>
      </c>
      <c r="AC284" s="45" t="n">
        <v>0.957284515636918</v>
      </c>
      <c r="AD284" s="45" t="n"/>
      <c r="AE284" s="45" t="n">
        <v>0.960740407122422</v>
      </c>
      <c r="AF284" s="75">
        <f>IFERROR(AVERAGE(L284:U284),"")</f>
        <v/>
      </c>
      <c r="AG284" s="75">
        <f>IFERROR(AVERAGE(V284:AE284),"")</f>
        <v/>
      </c>
      <c r="AH284" s="75">
        <f>IFERROR(AVERAGE(B284:K284),"")</f>
        <v/>
      </c>
      <c r="AI284" s="45" t="n">
        <v>0.956813812255859</v>
      </c>
      <c r="AJ284" s="47" t="n">
        <v>0</v>
      </c>
    </row>
    <row r="285" ht="15" customHeight="1" s="30">
      <c r="A285" s="73" t="inlineStr">
        <is>
          <t>8287.jpg</t>
        </is>
      </c>
      <c r="B285" s="45" t="n"/>
      <c r="C285" s="45" t="n"/>
      <c r="D285" s="45" t="n"/>
      <c r="E285" s="45" t="n"/>
      <c r="F285" s="45" t="n"/>
      <c r="G285" s="45" t="n"/>
      <c r="H285" s="45" t="n">
        <v>0.900358158742759</v>
      </c>
      <c r="I285" s="45" t="n"/>
      <c r="J285" s="45" t="n"/>
      <c r="K285" s="45" t="n">
        <v>0.9368127093708239</v>
      </c>
      <c r="L285" s="45" t="n"/>
      <c r="M285" s="45" t="n"/>
      <c r="N285" s="45" t="n"/>
      <c r="O285" s="45" t="n"/>
      <c r="P285" s="45" t="n"/>
      <c r="Q285" s="45" t="n"/>
      <c r="R285" s="45" t="n">
        <v>0.953627337150178</v>
      </c>
      <c r="S285" s="45" t="n"/>
      <c r="T285" s="45" t="n"/>
      <c r="U285" s="45" t="n">
        <v>0.963565423210631</v>
      </c>
      <c r="V285" s="45" t="n"/>
      <c r="W285" s="45" t="n"/>
      <c r="X285" s="45" t="n"/>
      <c r="Y285" s="45" t="n"/>
      <c r="Z285" s="45" t="n"/>
      <c r="AA285" s="45" t="n"/>
      <c r="AB285" s="45" t="n">
        <v>0.941582827663906</v>
      </c>
      <c r="AC285" s="45" t="n"/>
      <c r="AD285" s="45" t="n"/>
      <c r="AE285" s="45" t="n">
        <v>0.971216093639335</v>
      </c>
      <c r="AF285" s="75">
        <f>IFERROR(AVERAGE(L285:U285),"")</f>
        <v/>
      </c>
      <c r="AG285" s="75">
        <f>IFERROR(AVERAGE(V285:AE285),"")</f>
        <v/>
      </c>
      <c r="AH285" s="75">
        <f>IFERROR(AVERAGE(B285:K285),"")</f>
        <v/>
      </c>
      <c r="AI285" s="45" t="n">
        <v>0.95977783203125</v>
      </c>
      <c r="AJ285" s="47" t="n">
        <v>0</v>
      </c>
    </row>
    <row r="286" ht="15" customHeight="1" s="30">
      <c r="A286" s="73" t="inlineStr">
        <is>
          <t>8290.jpg</t>
        </is>
      </c>
      <c r="B286" s="45" t="n"/>
      <c r="C286" s="45" t="n"/>
      <c r="D286" s="45" t="n"/>
      <c r="E286" s="45" t="n"/>
      <c r="F286" s="45" t="n"/>
      <c r="G286" s="45" t="n"/>
      <c r="H286" s="45" t="n">
        <v>0.869648338923059</v>
      </c>
      <c r="I286" s="45" t="n"/>
      <c r="J286" s="45" t="n"/>
      <c r="K286" s="45" t="n">
        <v>0.934633146889158</v>
      </c>
      <c r="L286" s="45" t="n"/>
      <c r="M286" s="45" t="n"/>
      <c r="N286" s="45" t="n"/>
      <c r="O286" s="45" t="n"/>
      <c r="P286" s="45" t="n"/>
      <c r="Q286" s="45" t="n"/>
      <c r="R286" s="45" t="n">
        <v>0.9694213064445421</v>
      </c>
      <c r="S286" s="45" t="n"/>
      <c r="T286" s="45" t="n"/>
      <c r="U286" s="45" t="n">
        <v>0.947669251449774</v>
      </c>
      <c r="V286" s="45" t="n"/>
      <c r="W286" s="45" t="n"/>
      <c r="X286" s="45" t="n"/>
      <c r="Y286" s="45" t="n"/>
      <c r="Z286" s="45" t="n"/>
      <c r="AA286" s="45" t="n"/>
      <c r="AB286" s="45" t="n">
        <v>0.894176982005257</v>
      </c>
      <c r="AC286" s="45" t="n"/>
      <c r="AD286" s="45" t="n"/>
      <c r="AE286" s="45" t="n">
        <v>0.985495442415</v>
      </c>
      <c r="AF286" s="75">
        <f>IFERROR(AVERAGE(L286:U286),"")</f>
        <v/>
      </c>
      <c r="AG286" s="75">
        <f>IFERROR(AVERAGE(V286:AE286),"")</f>
        <v/>
      </c>
      <c r="AH286" s="75">
        <f>IFERROR(AVERAGE(B286:K286),"")</f>
        <v/>
      </c>
      <c r="AI286" s="45" t="n">
        <v>0.9544830322265631</v>
      </c>
      <c r="AJ286" s="47" t="n">
        <v>0</v>
      </c>
    </row>
    <row r="287" ht="15" customHeight="1" s="30">
      <c r="A287" s="73" t="inlineStr">
        <is>
          <t>8292.jpg</t>
        </is>
      </c>
      <c r="B287" s="45" t="n"/>
      <c r="C287" s="45" t="n"/>
      <c r="D287" s="45" t="n"/>
      <c r="E287" s="45" t="n"/>
      <c r="F287" s="45" t="n"/>
      <c r="G287" s="45" t="n"/>
      <c r="H287" s="45" t="n">
        <v>0.766437846331982</v>
      </c>
      <c r="I287" s="45" t="n"/>
      <c r="J287" s="45" t="n"/>
      <c r="K287" s="45" t="n">
        <v>0.949812507775152</v>
      </c>
      <c r="L287" s="45" t="n"/>
      <c r="M287" s="45" t="n"/>
      <c r="N287" s="45" t="n"/>
      <c r="O287" s="45" t="n"/>
      <c r="P287" s="45" t="n"/>
      <c r="Q287" s="45" t="n"/>
      <c r="R287" s="45" t="n">
        <v>0.952146104646683</v>
      </c>
      <c r="S287" s="45" t="n"/>
      <c r="T287" s="45" t="n"/>
      <c r="U287" s="45" t="n">
        <v>0.95773991658192</v>
      </c>
      <c r="V287" s="45" t="n"/>
      <c r="W287" s="45" t="n"/>
      <c r="X287" s="45" t="n"/>
      <c r="Y287" s="45" t="n"/>
      <c r="Z287" s="45" t="n"/>
      <c r="AA287" s="45" t="n"/>
      <c r="AB287" s="45" t="n">
        <v>0.79714414743769</v>
      </c>
      <c r="AC287" s="45" t="n"/>
      <c r="AD287" s="45" t="n"/>
      <c r="AE287" s="45" t="n">
        <v>0.9913607211919701</v>
      </c>
      <c r="AF287" s="75">
        <f>IFERROR(AVERAGE(L287:U287),"")</f>
        <v/>
      </c>
      <c r="AG287" s="75">
        <f>IFERROR(AVERAGE(V287:AE287),"")</f>
        <v/>
      </c>
      <c r="AH287" s="75">
        <f>IFERROR(AVERAGE(B287:K287),"")</f>
        <v/>
      </c>
      <c r="AI287" s="45" t="n">
        <v>0.9569091796875</v>
      </c>
      <c r="AJ287" s="47" t="n">
        <v>0</v>
      </c>
    </row>
    <row r="288" ht="15" customHeight="1" s="30">
      <c r="A288" s="73" t="inlineStr">
        <is>
          <t>8293.jpg</t>
        </is>
      </c>
      <c r="B288" s="45" t="n"/>
      <c r="C288" s="45" t="n"/>
      <c r="D288" s="45" t="n"/>
      <c r="E288" s="45" t="n"/>
      <c r="F288" s="45" t="n"/>
      <c r="G288" s="45" t="n"/>
      <c r="H288" s="45" t="n">
        <v>0.695408780527816</v>
      </c>
      <c r="I288" s="45" t="n"/>
      <c r="J288" s="45" t="n"/>
      <c r="K288" s="45" t="n">
        <v>0.934916816733923</v>
      </c>
      <c r="L288" s="45" t="n"/>
      <c r="M288" s="45" t="n"/>
      <c r="N288" s="45" t="n"/>
      <c r="O288" s="45" t="n"/>
      <c r="P288" s="45" t="n"/>
      <c r="Q288" s="45" t="n"/>
      <c r="R288" s="45" t="n">
        <v>0.8662545658892949</v>
      </c>
      <c r="S288" s="45" t="n"/>
      <c r="T288" s="45" t="n"/>
      <c r="U288" s="45" t="n">
        <v>0.956868988093903</v>
      </c>
      <c r="V288" s="45" t="n"/>
      <c r="W288" s="45" t="n"/>
      <c r="X288" s="45" t="n"/>
      <c r="Y288" s="45" t="n"/>
      <c r="Z288" s="45" t="n"/>
      <c r="AA288" s="45" t="n"/>
      <c r="AB288" s="45" t="n">
        <v>0.779054007488916</v>
      </c>
      <c r="AC288" s="45" t="n"/>
      <c r="AD288" s="45" t="n"/>
      <c r="AE288" s="45" t="n">
        <v>0.976048999830751</v>
      </c>
      <c r="AF288" s="75">
        <f>IFERROR(AVERAGE(L288:U288),"")</f>
        <v/>
      </c>
      <c r="AG288" s="75">
        <f>IFERROR(AVERAGE(V288:AE288),"")</f>
        <v/>
      </c>
      <c r="AH288" s="75">
        <f>IFERROR(AVERAGE(B288:K288),"")</f>
        <v/>
      </c>
      <c r="AI288" s="45" t="n">
        <v>0.943336486816406</v>
      </c>
      <c r="AJ288" s="47" t="n">
        <v>0</v>
      </c>
    </row>
    <row r="289" ht="15" customHeight="1" s="30">
      <c r="A289" s="73" t="inlineStr">
        <is>
          <t>8302.jpg</t>
        </is>
      </c>
      <c r="B289" s="45" t="n"/>
      <c r="C289" s="45" t="n"/>
      <c r="D289" s="45" t="n"/>
      <c r="E289" s="45" t="n"/>
      <c r="F289" s="45" t="n">
        <v>0.889217401798105</v>
      </c>
      <c r="G289" s="45" t="n"/>
      <c r="H289" s="45" t="n"/>
      <c r="I289" s="45" t="n"/>
      <c r="J289" s="45" t="n"/>
      <c r="K289" s="45" t="n">
        <v>0.992579029696007</v>
      </c>
      <c r="L289" s="45" t="n"/>
      <c r="M289" s="45" t="n"/>
      <c r="N289" s="45" t="n"/>
      <c r="O289" s="45" t="n"/>
      <c r="P289" s="45" t="n">
        <v>0.9681382209959269</v>
      </c>
      <c r="Q289" s="45" t="n"/>
      <c r="R289" s="45" t="n"/>
      <c r="S289" s="45" t="n"/>
      <c r="T289" s="45" t="n"/>
      <c r="U289" s="45" t="n">
        <v>0.994528636573493</v>
      </c>
      <c r="V289" s="45" t="n"/>
      <c r="W289" s="45" t="n"/>
      <c r="X289" s="45" t="n"/>
      <c r="Y289" s="45" t="n"/>
      <c r="Z289" s="45" t="n">
        <v>0.916024365987071</v>
      </c>
      <c r="AA289" s="45" t="n"/>
      <c r="AB289" s="45" t="n"/>
      <c r="AC289" s="45" t="n"/>
      <c r="AD289" s="45" t="n"/>
      <c r="AE289" s="45" t="n">
        <v>0.998028903989336</v>
      </c>
      <c r="AF289" s="75">
        <f>IFERROR(AVERAGE(L289:U289),"")</f>
        <v/>
      </c>
      <c r="AG289" s="75">
        <f>IFERROR(AVERAGE(V289:AE289),"")</f>
        <v/>
      </c>
      <c r="AH289" s="75">
        <f>IFERROR(AVERAGE(B289:K289),"")</f>
        <v/>
      </c>
      <c r="AI289" s="45" t="n">
        <v>0.9929962158203131</v>
      </c>
      <c r="AJ289" s="47" t="n">
        <v>0</v>
      </c>
    </row>
    <row r="290" ht="15" customHeight="1" s="30">
      <c r="A290" s="73" t="inlineStr">
        <is>
          <t>8303.jpg</t>
        </is>
      </c>
      <c r="B290" s="45" t="n"/>
      <c r="C290" s="45" t="n"/>
      <c r="D290" s="45" t="n"/>
      <c r="E290" s="45" t="n"/>
      <c r="F290" s="45" t="n">
        <v>0.890228426395939</v>
      </c>
      <c r="G290" s="45" t="n"/>
      <c r="H290" s="45" t="n">
        <v>0.671786240269304</v>
      </c>
      <c r="I290" s="45" t="n"/>
      <c r="J290" s="45" t="n"/>
      <c r="K290" s="45" t="n">
        <v>0.993271157221178</v>
      </c>
      <c r="L290" s="45" t="n"/>
      <c r="M290" s="45" t="n"/>
      <c r="N290" s="45" t="n"/>
      <c r="O290" s="45" t="n"/>
      <c r="P290" s="45" t="n">
        <v>0.970262793914246</v>
      </c>
      <c r="Q290" s="45" t="n"/>
      <c r="R290" s="45" t="n">
        <v>0.833246346555324</v>
      </c>
      <c r="S290" s="45" t="n"/>
      <c r="T290" s="45" t="n"/>
      <c r="U290" s="45" t="n">
        <v>0.995908372458792</v>
      </c>
      <c r="V290" s="45" t="n"/>
      <c r="W290" s="45" t="n"/>
      <c r="X290" s="45" t="n"/>
      <c r="Y290" s="45" t="n"/>
      <c r="Z290" s="45" t="n">
        <v>0.915198956294847</v>
      </c>
      <c r="AA290" s="45" t="n"/>
      <c r="AB290" s="45" t="n">
        <v>0.776130286825474</v>
      </c>
      <c r="AC290" s="45" t="n"/>
      <c r="AD290" s="45" t="n"/>
      <c r="AE290" s="45" t="n">
        <v>0.997341099506037</v>
      </c>
      <c r="AF290" s="75">
        <f>IFERROR(AVERAGE(L290:U290),"")</f>
        <v/>
      </c>
      <c r="AG290" s="75">
        <f>IFERROR(AVERAGE(V290:AE290),"")</f>
        <v/>
      </c>
      <c r="AH290" s="75">
        <f>IFERROR(AVERAGE(B290:K290),"")</f>
        <v/>
      </c>
      <c r="AI290" s="45" t="n">
        <v>0.993389129638672</v>
      </c>
      <c r="AJ290" s="47" t="n">
        <v>0</v>
      </c>
    </row>
    <row r="291" ht="15" customHeight="1" s="30">
      <c r="A291" s="73" t="inlineStr">
        <is>
          <t>8307.jpg</t>
        </is>
      </c>
      <c r="B291" s="45" t="n"/>
      <c r="C291" s="45" t="n"/>
      <c r="D291" s="45" t="n"/>
      <c r="E291" s="45" t="n"/>
      <c r="F291" s="45" t="n"/>
      <c r="G291" s="45" t="n"/>
      <c r="H291" s="45" t="n">
        <v>0.803365500927394</v>
      </c>
      <c r="I291" s="45" t="n"/>
      <c r="J291" s="45" t="n"/>
      <c r="K291" s="45" t="n">
        <v>0.968504852362459</v>
      </c>
      <c r="L291" s="45" t="n"/>
      <c r="M291" s="45" t="n"/>
      <c r="N291" s="45" t="n"/>
      <c r="O291" s="45" t="n"/>
      <c r="P291" s="45" t="n"/>
      <c r="Q291" s="45" t="n"/>
      <c r="R291" s="45" t="n">
        <v>0.930941033548267</v>
      </c>
      <c r="S291" s="45" t="n"/>
      <c r="T291" s="45" t="n"/>
      <c r="U291" s="45" t="n">
        <v>0.977838733095405</v>
      </c>
      <c r="V291" s="45" t="n"/>
      <c r="W291" s="45" t="n"/>
      <c r="X291" s="45" t="n"/>
      <c r="Y291" s="45" t="n"/>
      <c r="Z291" s="45" t="n"/>
      <c r="AA291" s="45" t="n"/>
      <c r="AB291" s="45" t="n">
        <v>0.854276240567116</v>
      </c>
      <c r="AC291" s="45" t="n"/>
      <c r="AD291" s="45" t="n"/>
      <c r="AE291" s="45" t="n">
        <v>0.990240359218172</v>
      </c>
      <c r="AF291" s="75">
        <f>IFERROR(AVERAGE(L291:U291),"")</f>
        <v/>
      </c>
      <c r="AG291" s="75">
        <f>IFERROR(AVERAGE(V291:AE291),"")</f>
        <v/>
      </c>
      <c r="AH291" s="75">
        <f>IFERROR(AVERAGE(B291:K291),"")</f>
        <v/>
      </c>
      <c r="AI291" s="45" t="n">
        <v>0.972095489501953</v>
      </c>
      <c r="AJ291" s="47" t="n">
        <v>0</v>
      </c>
    </row>
    <row r="292" ht="15" customHeight="1" s="30">
      <c r="A292" s="73" t="inlineStr">
        <is>
          <t>8308.jpg</t>
        </is>
      </c>
      <c r="B292" s="45" t="n"/>
      <c r="C292" s="45" t="n"/>
      <c r="D292" s="45" t="n"/>
      <c r="E292" s="45" t="n"/>
      <c r="F292" s="45" t="n"/>
      <c r="G292" s="45" t="n"/>
      <c r="H292" s="45" t="n">
        <v>0.820586820586821</v>
      </c>
      <c r="I292" s="45" t="n"/>
      <c r="J292" s="45" t="n"/>
      <c r="K292" s="45" t="n">
        <v>0.981479029428316</v>
      </c>
      <c r="L292" s="45" t="n"/>
      <c r="M292" s="45" t="n"/>
      <c r="N292" s="45" t="n"/>
      <c r="O292" s="45" t="n"/>
      <c r="P292" s="45" t="n"/>
      <c r="Q292" s="45" t="n"/>
      <c r="R292" s="45" t="n">
        <v>0.909664518995779</v>
      </c>
      <c r="S292" s="45" t="n"/>
      <c r="T292" s="45" t="n"/>
      <c r="U292" s="45" t="n">
        <v>0.989805499104904</v>
      </c>
      <c r="V292" s="45" t="n"/>
      <c r="W292" s="45" t="n"/>
      <c r="X292" s="45" t="n"/>
      <c r="Y292" s="45" t="n"/>
      <c r="Z292" s="45" t="n"/>
      <c r="AA292" s="45" t="n"/>
      <c r="AB292" s="45" t="n">
        <v>0.893388610080733</v>
      </c>
      <c r="AC292" s="45" t="n"/>
      <c r="AD292" s="45" t="n"/>
      <c r="AE292" s="45" t="n">
        <v>0.991501866412517</v>
      </c>
      <c r="AF292" s="75">
        <f>IFERROR(AVERAGE(L292:U292),"")</f>
        <v/>
      </c>
      <c r="AG292" s="75">
        <f>IFERROR(AVERAGE(V292:AE292),"")</f>
        <v/>
      </c>
      <c r="AH292" s="75">
        <f>IFERROR(AVERAGE(B292:K292),"")</f>
        <v/>
      </c>
      <c r="AI292" s="45" t="n">
        <v>0.9829254150390631</v>
      </c>
      <c r="AJ292" s="47" t="n">
        <v>0</v>
      </c>
    </row>
    <row r="293" ht="15" customHeight="1" s="30">
      <c r="A293" s="73" t="inlineStr">
        <is>
          <t>8309.jpg</t>
        </is>
      </c>
      <c r="B293" s="45" t="n"/>
      <c r="C293" s="45" t="n"/>
      <c r="D293" s="45" t="n"/>
      <c r="E293" s="45" t="n"/>
      <c r="F293" s="45" t="n"/>
      <c r="G293" s="45" t="n"/>
      <c r="H293" s="45" t="n">
        <v>0.75150839706391</v>
      </c>
      <c r="I293" s="45" t="n"/>
      <c r="J293" s="45" t="n"/>
      <c r="K293" s="45" t="n">
        <v>0.973345864816624</v>
      </c>
      <c r="L293" s="45" t="n"/>
      <c r="M293" s="45" t="n"/>
      <c r="N293" s="45" t="n"/>
      <c r="O293" s="45" t="n"/>
      <c r="P293" s="45" t="n"/>
      <c r="Q293" s="45" t="n"/>
      <c r="R293" s="45" t="n">
        <v>0.9094925817403841</v>
      </c>
      <c r="S293" s="45" t="n"/>
      <c r="T293" s="45" t="n"/>
      <c r="U293" s="45" t="n">
        <v>0.981216989482345</v>
      </c>
      <c r="V293" s="45" t="n"/>
      <c r="W293" s="45" t="n"/>
      <c r="X293" s="45" t="n"/>
      <c r="Y293" s="45" t="n"/>
      <c r="Z293" s="45" t="n"/>
      <c r="AA293" s="45" t="n"/>
      <c r="AB293" s="45" t="n">
        <v>0.812253374870197</v>
      </c>
      <c r="AC293" s="45" t="n"/>
      <c r="AD293" s="45" t="n"/>
      <c r="AE293" s="45" t="n">
        <v>0.991825899214093</v>
      </c>
      <c r="AF293" s="75">
        <f>IFERROR(AVERAGE(L293:U293),"")</f>
        <v/>
      </c>
      <c r="AG293" s="75">
        <f>IFERROR(AVERAGE(V293:AE293),"")</f>
        <v/>
      </c>
      <c r="AH293" s="75">
        <f>IFERROR(AVERAGE(B293:K293),"")</f>
        <v/>
      </c>
      <c r="AI293" s="45" t="n">
        <v>0.975334167480469</v>
      </c>
      <c r="AJ293" s="47" t="n">
        <v>0</v>
      </c>
    </row>
    <row r="294" ht="15" customHeight="1" s="30">
      <c r="A294" s="73" t="inlineStr">
        <is>
          <t>8310.jpg</t>
        </is>
      </c>
      <c r="B294" s="45" t="n"/>
      <c r="C294" s="45" t="n"/>
      <c r="D294" s="45" t="n"/>
      <c r="E294" s="45" t="n"/>
      <c r="F294" s="45" t="n"/>
      <c r="G294" s="45" t="n"/>
      <c r="H294" s="45" t="n">
        <v>0.829759899506095</v>
      </c>
      <c r="I294" s="45" t="n"/>
      <c r="J294" s="45" t="n"/>
      <c r="K294" s="45" t="n">
        <v>0.9744165093530121</v>
      </c>
      <c r="L294" s="45" t="n"/>
      <c r="M294" s="45" t="n"/>
      <c r="N294" s="45" t="n"/>
      <c r="O294" s="45" t="n"/>
      <c r="P294" s="45" t="n"/>
      <c r="Q294" s="45" t="n"/>
      <c r="R294" s="45" t="n">
        <v>0.896041435442101</v>
      </c>
      <c r="S294" s="45" t="n"/>
      <c r="T294" s="45" t="n"/>
      <c r="U294" s="45" t="n">
        <v>0.9887204625002179</v>
      </c>
      <c r="V294" s="45" t="n"/>
      <c r="W294" s="45" t="n"/>
      <c r="X294" s="45" t="n"/>
      <c r="Y294" s="45" t="n"/>
      <c r="Z294" s="45" t="n"/>
      <c r="AA294" s="45" t="n"/>
      <c r="AB294" s="45" t="n">
        <v>0.918148791660085</v>
      </c>
      <c r="AC294" s="45" t="n"/>
      <c r="AD294" s="45" t="n"/>
      <c r="AE294" s="45" t="n">
        <v>0.9853702345882021</v>
      </c>
      <c r="AF294" s="75">
        <f>IFERROR(AVERAGE(L294:U294),"")</f>
        <v/>
      </c>
      <c r="AG294" s="75">
        <f>IFERROR(AVERAGE(V294:AE294),"")</f>
        <v/>
      </c>
      <c r="AH294" s="75">
        <f>IFERROR(AVERAGE(B294:K294),"")</f>
        <v/>
      </c>
      <c r="AI294" s="45" t="n">
        <v>0.977252960205078</v>
      </c>
      <c r="AJ294" s="47" t="n">
        <v>0</v>
      </c>
    </row>
    <row r="295" ht="15" customHeight="1" s="30">
      <c r="A295" s="73" t="inlineStr">
        <is>
          <t>8316.jpg</t>
        </is>
      </c>
      <c r="B295" s="45" t="n"/>
      <c r="C295" s="45" t="n"/>
      <c r="D295" s="45" t="n"/>
      <c r="E295" s="45" t="n"/>
      <c r="F295" s="45" t="n"/>
      <c r="G295" s="45" t="n"/>
      <c r="H295" s="45" t="n">
        <v>0.9178786955196589</v>
      </c>
      <c r="I295" s="45" t="n"/>
      <c r="J295" s="45" t="n"/>
      <c r="K295" s="45" t="n">
        <v>0.963950656926494</v>
      </c>
      <c r="L295" s="45" t="n"/>
      <c r="M295" s="45" t="n"/>
      <c r="N295" s="45" t="n"/>
      <c r="O295" s="45" t="n"/>
      <c r="P295" s="45" t="n"/>
      <c r="Q295" s="45" t="n"/>
      <c r="R295" s="45" t="n">
        <v>0.964996154832094</v>
      </c>
      <c r="S295" s="45" t="n"/>
      <c r="T295" s="45" t="n"/>
      <c r="U295" s="45" t="n">
        <v>0.978248354369881</v>
      </c>
      <c r="V295" s="45" t="n"/>
      <c r="W295" s="45" t="n"/>
      <c r="X295" s="45" t="n"/>
      <c r="Y295" s="45" t="n"/>
      <c r="Z295" s="45" t="n"/>
      <c r="AA295" s="45" t="n"/>
      <c r="AB295" s="45" t="n">
        <v>0.949491764824577</v>
      </c>
      <c r="AC295" s="45" t="n"/>
      <c r="AD295" s="45" t="n"/>
      <c r="AE295" s="45" t="n">
        <v>0.985064260322669</v>
      </c>
      <c r="AF295" s="75">
        <f>IFERROR(AVERAGE(L295:U295),"")</f>
        <v/>
      </c>
      <c r="AG295" s="75">
        <f>IFERROR(AVERAGE(V295:AE295),"")</f>
        <v/>
      </c>
      <c r="AH295" s="75">
        <f>IFERROR(AVERAGE(B295:K295),"")</f>
        <v/>
      </c>
      <c r="AI295" s="45" t="n">
        <v>0.97430419921875</v>
      </c>
      <c r="AJ295" s="47" t="n">
        <v>0</v>
      </c>
    </row>
    <row r="296" ht="15" customHeight="1" s="30">
      <c r="A296" s="73" t="inlineStr">
        <is>
          <t>8324.jpg</t>
        </is>
      </c>
      <c r="B296" s="45" t="n"/>
      <c r="C296" s="45" t="n"/>
      <c r="D296" s="45" t="n"/>
      <c r="E296" s="45" t="n"/>
      <c r="F296" s="45" t="n">
        <v>0.91687553364365</v>
      </c>
      <c r="G296" s="45" t="n"/>
      <c r="H296" s="45" t="n">
        <v>0.863044136955863</v>
      </c>
      <c r="I296" s="45" t="n">
        <v>0.875338753387534</v>
      </c>
      <c r="J296" s="45" t="n"/>
      <c r="K296" s="45" t="n">
        <v>0.966120414315991</v>
      </c>
      <c r="L296" s="45" t="n"/>
      <c r="M296" s="45" t="n"/>
      <c r="N296" s="45" t="n"/>
      <c r="O296" s="45" t="n"/>
      <c r="P296" s="45" t="n">
        <v>0.925774514711608</v>
      </c>
      <c r="Q296" s="45" t="n"/>
      <c r="R296" s="45" t="n">
        <v>0.902323125659979</v>
      </c>
      <c r="S296" s="45" t="n">
        <v>0.917613636363636</v>
      </c>
      <c r="T296" s="45" t="n"/>
      <c r="U296" s="45" t="n">
        <v>0.99249734238286</v>
      </c>
      <c r="V296" s="45" t="n"/>
      <c r="W296" s="45" t="n"/>
      <c r="X296" s="45" t="n"/>
      <c r="Y296" s="45" t="n"/>
      <c r="Z296" s="45" t="n">
        <v>0.98962482906237</v>
      </c>
      <c r="AA296" s="45" t="n"/>
      <c r="AB296" s="45" t="n">
        <v>0.951983065953654</v>
      </c>
      <c r="AC296" s="45" t="n">
        <v>0.95</v>
      </c>
      <c r="AD296" s="45" t="n"/>
      <c r="AE296" s="45" t="n">
        <v>0.973228157042769</v>
      </c>
      <c r="AF296" s="75">
        <f>IFERROR(AVERAGE(L296:U296),"")</f>
        <v/>
      </c>
      <c r="AG296" s="75">
        <f>IFERROR(AVERAGE(V296:AE296),"")</f>
        <v/>
      </c>
      <c r="AH296" s="75">
        <f>IFERROR(AVERAGE(B296:K296),"")</f>
        <v/>
      </c>
      <c r="AI296" s="45" t="n">
        <v>0.972969055175781</v>
      </c>
      <c r="AJ296" s="47" t="n">
        <v>0</v>
      </c>
    </row>
    <row r="297" ht="15" customHeight="1" s="30">
      <c r="A297" s="73" t="inlineStr">
        <is>
          <t>8329.jpg</t>
        </is>
      </c>
      <c r="B297" s="45" t="n"/>
      <c r="C297" s="45" t="n"/>
      <c r="D297" s="45" t="n"/>
      <c r="E297" s="45" t="n"/>
      <c r="F297" s="45" t="n"/>
      <c r="G297" s="45" t="n"/>
      <c r="H297" s="45" t="n">
        <v>0.940241874638323</v>
      </c>
      <c r="I297" s="45" t="n"/>
      <c r="J297" s="45" t="n"/>
      <c r="K297" s="45" t="n">
        <v>0.939021564450424</v>
      </c>
      <c r="L297" s="45" t="n"/>
      <c r="M297" s="45" t="n"/>
      <c r="N297" s="45" t="n"/>
      <c r="O297" s="45" t="n"/>
      <c r="P297" s="45" t="n"/>
      <c r="Q297" s="45" t="n"/>
      <c r="R297" s="45" t="n">
        <v>0.96345362836641</v>
      </c>
      <c r="S297" s="45" t="n"/>
      <c r="T297" s="45" t="n"/>
      <c r="U297" s="45" t="n">
        <v>0.974487263023985</v>
      </c>
      <c r="V297" s="45" t="n"/>
      <c r="W297" s="45" t="n"/>
      <c r="X297" s="45" t="n"/>
      <c r="Y297" s="45" t="n"/>
      <c r="Z297" s="45" t="n"/>
      <c r="AA297" s="45" t="n"/>
      <c r="AB297" s="45" t="n">
        <v>0.975016711229947</v>
      </c>
      <c r="AC297" s="45" t="n"/>
      <c r="AD297" s="45" t="n"/>
      <c r="AE297" s="45" t="n">
        <v>0.962688511525258</v>
      </c>
      <c r="AF297" s="75">
        <f>IFERROR(AVERAGE(L297:U297),"")</f>
        <v/>
      </c>
      <c r="AG297" s="75">
        <f>IFERROR(AVERAGE(V297:AE297),"")</f>
        <v/>
      </c>
      <c r="AH297" s="75">
        <f>IFERROR(AVERAGE(B297:K297),"")</f>
        <v/>
      </c>
      <c r="AI297" s="45" t="n">
        <v>0.968879699707031</v>
      </c>
      <c r="AJ297" s="47" t="n">
        <v>0</v>
      </c>
    </row>
    <row r="298" ht="15" customHeight="1" s="30">
      <c r="A298" s="73" t="inlineStr">
        <is>
          <t>8332.jpg</t>
        </is>
      </c>
      <c r="B298" s="45" t="n"/>
      <c r="C298" s="45" t="n"/>
      <c r="D298" s="45" t="n"/>
      <c r="E298" s="45" t="n"/>
      <c r="F298" s="45" t="n"/>
      <c r="G298" s="45" t="n"/>
      <c r="H298" s="45" t="n">
        <v>0.963359574918912</v>
      </c>
      <c r="I298" s="45" t="n"/>
      <c r="J298" s="45" t="n"/>
      <c r="K298" s="45" t="n">
        <v>0.96876346103075</v>
      </c>
      <c r="L298" s="45" t="n"/>
      <c r="M298" s="45" t="n"/>
      <c r="N298" s="45" t="n"/>
      <c r="O298" s="45" t="n"/>
      <c r="P298" s="45" t="n"/>
      <c r="Q298" s="45" t="n"/>
      <c r="R298" s="45" t="n">
        <v>0.9900998391852051</v>
      </c>
      <c r="S298" s="45" t="n"/>
      <c r="T298" s="45" t="n"/>
      <c r="U298" s="45" t="n">
        <v>0.976784913696481</v>
      </c>
      <c r="V298" s="45" t="n"/>
      <c r="W298" s="45" t="n"/>
      <c r="X298" s="45" t="n"/>
      <c r="Y298" s="45" t="n"/>
      <c r="Z298" s="45" t="n"/>
      <c r="AA298" s="45" t="n"/>
      <c r="AB298" s="45" t="n">
        <v>0.972729666567921</v>
      </c>
      <c r="AC298" s="45" t="n"/>
      <c r="AD298" s="45" t="n"/>
      <c r="AE298" s="45" t="n">
        <v>0.991594367799744</v>
      </c>
      <c r="AF298" s="75">
        <f>IFERROR(AVERAGE(L298:U298),"")</f>
        <v/>
      </c>
      <c r="AG298" s="75">
        <f>IFERROR(AVERAGE(V298:AE298),"")</f>
        <v/>
      </c>
      <c r="AH298" s="75">
        <f>IFERROR(AVERAGE(B298:K298),"")</f>
        <v/>
      </c>
      <c r="AI298" s="45" t="n">
        <v>0.98284912109375</v>
      </c>
      <c r="AJ298" s="47" t="n">
        <v>0</v>
      </c>
    </row>
    <row r="299" ht="15" customHeight="1" s="30">
      <c r="A299" s="73" t="inlineStr">
        <is>
          <t>8338.jpg</t>
        </is>
      </c>
      <c r="B299" s="45" t="n"/>
      <c r="C299" s="45" t="n"/>
      <c r="D299" s="45" t="n">
        <v>0.94618015963512</v>
      </c>
      <c r="E299" s="45" t="n"/>
      <c r="F299" s="45" t="n">
        <v>0</v>
      </c>
      <c r="G299" s="45" t="n"/>
      <c r="H299" s="45" t="n">
        <v>0.865801682193641</v>
      </c>
      <c r="I299" s="45" t="n"/>
      <c r="J299" s="45" t="n"/>
      <c r="K299" s="45" t="n">
        <v>0.931798928352077</v>
      </c>
      <c r="L299" s="45" t="n"/>
      <c r="M299" s="45" t="n"/>
      <c r="N299" s="45" t="n">
        <v>0.9671328671328669</v>
      </c>
      <c r="O299" s="45" t="n"/>
      <c r="P299" s="45" t="n">
        <v>0</v>
      </c>
      <c r="Q299" s="45" t="n"/>
      <c r="R299" s="45" t="n">
        <v>0.932548817810037</v>
      </c>
      <c r="S299" s="45" t="n"/>
      <c r="T299" s="45" t="n"/>
      <c r="U299" s="45" t="n">
        <v>0.969555899577441</v>
      </c>
      <c r="V299" s="45" t="n"/>
      <c r="W299" s="45" t="n"/>
      <c r="X299" s="45" t="n">
        <v>0.977615457115928</v>
      </c>
      <c r="Y299" s="45" t="n"/>
      <c r="Z299" s="45" t="n"/>
      <c r="AA299" s="45" t="n"/>
      <c r="AB299" s="45" t="n">
        <v>0.923643338072373</v>
      </c>
      <c r="AC299" s="45" t="n"/>
      <c r="AD299" s="45" t="n"/>
      <c r="AE299" s="45" t="n">
        <v>0.959883714588038</v>
      </c>
      <c r="AF299" s="75">
        <f>IFERROR(AVERAGE(L299:U299),"")</f>
        <v/>
      </c>
      <c r="AG299" s="75">
        <f>IFERROR(AVERAGE(V299:AE299),"")</f>
        <v/>
      </c>
      <c r="AH299" s="75">
        <f>IFERROR(AVERAGE(B299:K299),"")</f>
        <v/>
      </c>
      <c r="AI299" s="45" t="n">
        <v>0.949863433837891</v>
      </c>
      <c r="AJ299" s="47" t="n">
        <v>0</v>
      </c>
    </row>
    <row r="300" ht="15" customHeight="1" s="30">
      <c r="A300" s="73" t="inlineStr">
        <is>
          <t>8339.jpg</t>
        </is>
      </c>
      <c r="B300" s="45" t="n"/>
      <c r="C300" s="45" t="n"/>
      <c r="D300" s="45" t="n">
        <v>0.9481636448163649</v>
      </c>
      <c r="E300" s="45" t="n"/>
      <c r="F300" s="45" t="n">
        <v>0</v>
      </c>
      <c r="G300" s="45" t="n"/>
      <c r="H300" s="45" t="n">
        <v>0.829651796370933</v>
      </c>
      <c r="I300" s="45" t="n"/>
      <c r="J300" s="45" t="n"/>
      <c r="K300" s="45" t="n">
        <v>0.941654480587218</v>
      </c>
      <c r="L300" s="45" t="n"/>
      <c r="M300" s="45" t="n"/>
      <c r="N300" s="45" t="n">
        <v>0.9739732569245459</v>
      </c>
      <c r="O300" s="45" t="n"/>
      <c r="P300" s="45" t="n">
        <v>0</v>
      </c>
      <c r="Q300" s="45" t="n"/>
      <c r="R300" s="45" t="n">
        <v>0.920754065001632</v>
      </c>
      <c r="S300" s="45" t="n"/>
      <c r="T300" s="45" t="n"/>
      <c r="U300" s="45" t="n">
        <v>0.972113630440448</v>
      </c>
      <c r="V300" s="45" t="n"/>
      <c r="W300" s="45" t="n"/>
      <c r="X300" s="45" t="n">
        <v>0.9728118292392079</v>
      </c>
      <c r="Y300" s="45" t="n"/>
      <c r="Z300" s="45" t="n"/>
      <c r="AA300" s="45" t="n"/>
      <c r="AB300" s="45" t="n">
        <v>0.893448577762048</v>
      </c>
      <c r="AC300" s="45" t="n"/>
      <c r="AD300" s="45" t="n"/>
      <c r="AE300" s="45" t="n">
        <v>0.967797207590029</v>
      </c>
      <c r="AF300" s="75">
        <f>IFERROR(AVERAGE(L300:U300),"")</f>
        <v/>
      </c>
      <c r="AG300" s="75">
        <f>IFERROR(AVERAGE(V300:AE300),"")</f>
        <v/>
      </c>
      <c r="AH300" s="75">
        <f>IFERROR(AVERAGE(B300:K300),"")</f>
        <v/>
      </c>
      <c r="AI300" s="45" t="n">
        <v>0.9526519775390631</v>
      </c>
      <c r="AJ300" s="47" t="n">
        <v>0</v>
      </c>
    </row>
    <row r="301" ht="15" customHeight="1" s="30">
      <c r="A301" s="73" t="inlineStr">
        <is>
          <t>8340.jpg</t>
        </is>
      </c>
      <c r="B301" s="45" t="n"/>
      <c r="C301" s="45" t="n"/>
      <c r="D301" s="45" t="n">
        <v>0.9465737514518</v>
      </c>
      <c r="E301" s="45" t="n"/>
      <c r="F301" s="45" t="n">
        <v>0</v>
      </c>
      <c r="G301" s="45" t="n"/>
      <c r="H301" s="45" t="n">
        <v>0.864619799139168</v>
      </c>
      <c r="I301" s="45" t="n"/>
      <c r="J301" s="45" t="n"/>
      <c r="K301" s="45" t="n">
        <v>0.971386679309558</v>
      </c>
      <c r="L301" s="45" t="n"/>
      <c r="M301" s="45" t="n"/>
      <c r="N301" s="45" t="n">
        <v>0.98145472061657</v>
      </c>
      <c r="O301" s="45" t="n"/>
      <c r="P301" s="45" t="n">
        <v>0</v>
      </c>
      <c r="Q301" s="45" t="n"/>
      <c r="R301" s="45" t="n">
        <v>0.927024366231848</v>
      </c>
      <c r="S301" s="45" t="n"/>
      <c r="T301" s="45" t="n"/>
      <c r="U301" s="45" t="n">
        <v>0.989456080416391</v>
      </c>
      <c r="V301" s="45" t="n"/>
      <c r="W301" s="45" t="n"/>
      <c r="X301" s="45" t="n">
        <v>0.963812677388836</v>
      </c>
      <c r="Y301" s="45" t="n"/>
      <c r="Z301" s="45" t="n"/>
      <c r="AA301" s="45" t="n"/>
      <c r="AB301" s="45" t="n">
        <v>0.927766488084242</v>
      </c>
      <c r="AC301" s="45" t="n"/>
      <c r="AD301" s="45" t="n"/>
      <c r="AE301" s="45" t="n">
        <v>0.981547032887091</v>
      </c>
      <c r="AF301" s="75">
        <f>IFERROR(AVERAGE(L301:U301),"")</f>
        <v/>
      </c>
      <c r="AG301" s="75">
        <f>IFERROR(AVERAGE(V301:AE301),"")</f>
        <v/>
      </c>
      <c r="AH301" s="75">
        <f>IFERROR(AVERAGE(B301:K301),"")</f>
        <v/>
      </c>
      <c r="AI301" s="45" t="n">
        <v>0.974597930908203</v>
      </c>
      <c r="AJ301" s="47" t="n">
        <v>0</v>
      </c>
    </row>
    <row r="302" ht="15" customHeight="1" s="30">
      <c r="A302" s="73" t="inlineStr">
        <is>
          <t>8341.jpg</t>
        </is>
      </c>
      <c r="B302" s="45" t="n"/>
      <c r="C302" s="45" t="n"/>
      <c r="D302" s="45" t="n">
        <v>0.952139461172742</v>
      </c>
      <c r="E302" s="45" t="n"/>
      <c r="F302" s="45" t="n"/>
      <c r="G302" s="45" t="n"/>
      <c r="H302" s="45" t="n">
        <v>0.694190210903303</v>
      </c>
      <c r="I302" s="45" t="n"/>
      <c r="J302" s="45" t="n"/>
      <c r="K302" s="45" t="n">
        <v>0.974558744947033</v>
      </c>
      <c r="L302" s="45" t="n"/>
      <c r="M302" s="45" t="n"/>
      <c r="N302" s="45" t="n">
        <v>0.95729764181007</v>
      </c>
      <c r="O302" s="45" t="n"/>
      <c r="P302" s="45" t="n"/>
      <c r="Q302" s="45" t="n"/>
      <c r="R302" s="45" t="n">
        <v>0.968225336478424</v>
      </c>
      <c r="S302" s="45" t="n"/>
      <c r="T302" s="45" t="n"/>
      <c r="U302" s="45" t="n">
        <v>0.976794007980637</v>
      </c>
      <c r="V302" s="45" t="n"/>
      <c r="W302" s="45" t="n"/>
      <c r="X302" s="45" t="n">
        <v>0.994372724263489</v>
      </c>
      <c r="Y302" s="45" t="n"/>
      <c r="Z302" s="45" t="n"/>
      <c r="AA302" s="45" t="n"/>
      <c r="AB302" s="45" t="n">
        <v>0.710373612949201</v>
      </c>
      <c r="AC302" s="45" t="n"/>
      <c r="AD302" s="45" t="n"/>
      <c r="AE302" s="45" t="n">
        <v>0.997657395073431</v>
      </c>
      <c r="AF302" s="75">
        <f>IFERROR(AVERAGE(L302:U302),"")</f>
        <v/>
      </c>
      <c r="AG302" s="75">
        <f>IFERROR(AVERAGE(V302:AE302),"")</f>
        <v/>
      </c>
      <c r="AH302" s="75">
        <f>IFERROR(AVERAGE(B302:K302),"")</f>
        <v/>
      </c>
      <c r="AI302" s="45" t="n">
        <v>0.9760894775390631</v>
      </c>
      <c r="AJ302" s="47" t="n">
        <v>0</v>
      </c>
    </row>
    <row r="303" ht="15" customHeight="1" s="30">
      <c r="A303" s="73" t="inlineStr">
        <is>
          <t>8343.jpg</t>
        </is>
      </c>
      <c r="B303" s="45" t="n"/>
      <c r="C303" s="45" t="n"/>
      <c r="D303" s="45" t="n"/>
      <c r="E303" s="45" t="n"/>
      <c r="F303" s="45" t="n">
        <v>0.880434782608696</v>
      </c>
      <c r="G303" s="45" t="n">
        <v>0.623456790123457</v>
      </c>
      <c r="H303" s="45" t="n"/>
      <c r="I303" s="45" t="n"/>
      <c r="J303" s="45" t="n"/>
      <c r="K303" s="45" t="n">
        <v>0.978741972665898</v>
      </c>
      <c r="L303" s="45" t="n"/>
      <c r="M303" s="45" t="n"/>
      <c r="N303" s="45" t="n"/>
      <c r="O303" s="45" t="n"/>
      <c r="P303" s="45" t="n">
        <v>0.885359737671189</v>
      </c>
      <c r="Q303" s="45" t="n">
        <v>0.898813447593935</v>
      </c>
      <c r="R303" s="45" t="n"/>
      <c r="S303" s="45" t="n"/>
      <c r="T303" s="45" t="n"/>
      <c r="U303" s="45" t="n">
        <v>0.988495902678746</v>
      </c>
      <c r="V303" s="45" t="n"/>
      <c r="W303" s="45" t="n"/>
      <c r="X303" s="45" t="n"/>
      <c r="Y303" s="45" t="n"/>
      <c r="Z303" s="45" t="n">
        <v>0.9937215847586059</v>
      </c>
      <c r="AA303" s="45" t="n">
        <v>0.670518809933612</v>
      </c>
      <c r="AB303" s="45" t="n"/>
      <c r="AC303" s="45" t="n"/>
      <c r="AD303" s="45" t="n"/>
      <c r="AE303" s="45" t="n">
        <v>0.990018862974854</v>
      </c>
      <c r="AF303" s="75">
        <f>IFERROR(AVERAGE(L303:U303),"")</f>
        <v/>
      </c>
      <c r="AG303" s="75">
        <f>IFERROR(AVERAGE(V303:AE303),"")</f>
        <v/>
      </c>
      <c r="AH303" s="75">
        <f>IFERROR(AVERAGE(B303:K303),"")</f>
        <v/>
      </c>
      <c r="AI303" s="45" t="n">
        <v>0.9803009033203131</v>
      </c>
      <c r="AJ303" s="47" t="n">
        <v>0</v>
      </c>
    </row>
    <row r="304" ht="15" customHeight="1" s="30">
      <c r="A304" s="73" t="inlineStr">
        <is>
          <t>8346.jpg</t>
        </is>
      </c>
      <c r="B304" s="45" t="n"/>
      <c r="C304" s="45" t="n"/>
      <c r="D304" s="45" t="n"/>
      <c r="E304" s="45" t="n"/>
      <c r="F304" s="45" t="n">
        <v>0.885463414634146</v>
      </c>
      <c r="G304" s="45" t="n"/>
      <c r="H304" s="45" t="n"/>
      <c r="I304" s="45" t="n"/>
      <c r="J304" s="45" t="n"/>
      <c r="K304" s="45" t="n">
        <v>0.992914336297429</v>
      </c>
      <c r="L304" s="45" t="n"/>
      <c r="M304" s="45" t="n"/>
      <c r="N304" s="45" t="n"/>
      <c r="O304" s="45" t="n"/>
      <c r="P304" s="45" t="n">
        <v>0.889687622533002</v>
      </c>
      <c r="Q304" s="45" t="n"/>
      <c r="R304" s="45" t="n"/>
      <c r="S304" s="45" t="n"/>
      <c r="T304" s="45" t="n"/>
      <c r="U304" s="45" t="n">
        <v>0.999704264266211</v>
      </c>
      <c r="V304" s="45" t="n"/>
      <c r="W304" s="45" t="n"/>
      <c r="X304" s="45" t="n"/>
      <c r="Y304" s="45" t="n"/>
      <c r="Z304" s="45" t="n">
        <v>0.994666471834588</v>
      </c>
      <c r="AA304" s="45" t="n"/>
      <c r="AB304" s="45" t="n"/>
      <c r="AC304" s="45" t="n"/>
      <c r="AD304" s="45" t="n"/>
      <c r="AE304" s="45" t="n">
        <v>0.993206067850775</v>
      </c>
      <c r="AF304" s="75">
        <f>IFERROR(AVERAGE(L304:U304),"")</f>
        <v/>
      </c>
      <c r="AG304" s="75">
        <f>IFERROR(AVERAGE(V304:AE304),"")</f>
        <v/>
      </c>
      <c r="AH304" s="75">
        <f>IFERROR(AVERAGE(B304:K304),"")</f>
        <v/>
      </c>
      <c r="AI304" s="45" t="n">
        <v>0.993282318115234</v>
      </c>
      <c r="AJ304" s="47" t="n">
        <v>0</v>
      </c>
    </row>
    <row r="305" ht="15" customHeight="1" s="30">
      <c r="A305" s="73" t="inlineStr">
        <is>
          <t>8356.jpg</t>
        </is>
      </c>
      <c r="B305" s="45" t="n"/>
      <c r="C305" s="45" t="n"/>
      <c r="D305" s="45" t="n"/>
      <c r="E305" s="45" t="n"/>
      <c r="F305" s="45" t="n">
        <v>0.9382471636335949</v>
      </c>
      <c r="G305" s="45" t="n"/>
      <c r="H305" s="45" t="n">
        <v>0.878516734061774</v>
      </c>
      <c r="I305" s="45" t="n">
        <v>0.905008635578584</v>
      </c>
      <c r="J305" s="45" t="n"/>
      <c r="K305" s="45" t="n">
        <v>0.900815551487664</v>
      </c>
      <c r="L305" s="45" t="n"/>
      <c r="M305" s="45" t="n"/>
      <c r="N305" s="45" t="n"/>
      <c r="O305" s="45" t="n"/>
      <c r="P305" s="45" t="n">
        <v>0.957718016477538</v>
      </c>
      <c r="Q305" s="45" t="n"/>
      <c r="R305" s="45" t="n">
        <v>0.900385337765746</v>
      </c>
      <c r="S305" s="45" t="n">
        <v>0.972170686456401</v>
      </c>
      <c r="T305" s="45" t="n"/>
      <c r="U305" s="45" t="n">
        <v>0.978411341835259</v>
      </c>
      <c r="V305" s="45" t="n"/>
      <c r="W305" s="45" t="n"/>
      <c r="X305" s="45" t="n"/>
      <c r="Y305" s="45" t="n"/>
      <c r="Z305" s="45" t="n">
        <v>0.978791008022877</v>
      </c>
      <c r="AA305" s="45" t="n"/>
      <c r="AB305" s="45" t="n">
        <v>0.973097119114101</v>
      </c>
      <c r="AC305" s="45" t="n">
        <v>0.9290780141843969</v>
      </c>
      <c r="AD305" s="45" t="n"/>
      <c r="AE305" s="45" t="n">
        <v>0.919083724755042</v>
      </c>
      <c r="AF305" s="75">
        <f>IFERROR(AVERAGE(L305:U305),"")</f>
        <v/>
      </c>
      <c r="AG305" s="75">
        <f>IFERROR(AVERAGE(V305:AE305),"")</f>
        <v/>
      </c>
      <c r="AH305" s="75">
        <f>IFERROR(AVERAGE(B305:K305),"")</f>
        <v/>
      </c>
      <c r="AI305" s="45" t="n">
        <v>0.943614959716797</v>
      </c>
      <c r="AJ305" s="47" t="n">
        <v>0</v>
      </c>
    </row>
    <row r="306" ht="15" customHeight="1" s="30">
      <c r="A306" s="73" t="inlineStr">
        <is>
          <t>8358.jpg</t>
        </is>
      </c>
      <c r="B306" s="45" t="n"/>
      <c r="C306" s="45" t="n"/>
      <c r="D306" s="45" t="n"/>
      <c r="E306" s="45" t="n"/>
      <c r="F306" s="45" t="n">
        <v>0.923479585038546</v>
      </c>
      <c r="G306" s="45" t="n"/>
      <c r="H306" s="45" t="n">
        <v>0.960931001386371</v>
      </c>
      <c r="I306" s="45" t="n">
        <v>0.5435816164817751</v>
      </c>
      <c r="J306" s="45" t="n"/>
      <c r="K306" s="45" t="n">
        <v>0.86310591720846</v>
      </c>
      <c r="L306" s="45" t="n"/>
      <c r="M306" s="45" t="n"/>
      <c r="N306" s="45" t="n"/>
      <c r="O306" s="45" t="n"/>
      <c r="P306" s="45" t="n">
        <v>0.927584723483581</v>
      </c>
      <c r="Q306" s="45" t="n"/>
      <c r="R306" s="45" t="n">
        <v>0.97666364981384</v>
      </c>
      <c r="S306" s="45" t="n">
        <v>0.958993476234856</v>
      </c>
      <c r="T306" s="45" t="n"/>
      <c r="U306" s="45" t="n">
        <v>0.9426039438442601</v>
      </c>
      <c r="V306" s="45" t="n"/>
      <c r="W306" s="45" t="n"/>
      <c r="X306" s="45" t="n"/>
      <c r="Y306" s="45" t="n"/>
      <c r="Z306" s="45" t="n">
        <v>0.995230524642289</v>
      </c>
      <c r="AA306" s="45" t="n"/>
      <c r="AB306" s="45" t="n">
        <v>0.983512885163234</v>
      </c>
      <c r="AC306" s="45" t="n">
        <v>0.556517036235803</v>
      </c>
      <c r="AD306" s="45" t="n"/>
      <c r="AE306" s="45" t="n">
        <v>0.910982940134116</v>
      </c>
      <c r="AF306" s="75">
        <f>IFERROR(AVERAGE(L306:U306),"")</f>
        <v/>
      </c>
      <c r="AG306" s="75">
        <f>IFERROR(AVERAGE(V306:AE306),"")</f>
        <v/>
      </c>
      <c r="AH306" s="75">
        <f>IFERROR(AVERAGE(B306:K306),"")</f>
        <v/>
      </c>
      <c r="AI306" s="45" t="n">
        <v>0.965446472167969</v>
      </c>
      <c r="AJ306" s="47" t="n">
        <v>0</v>
      </c>
    </row>
    <row r="307" ht="15" customHeight="1" s="30">
      <c r="A307" s="73" t="inlineStr">
        <is>
          <t>8362.jpg</t>
        </is>
      </c>
      <c r="B307" s="45" t="n"/>
      <c r="C307" s="45" t="n"/>
      <c r="D307" s="45" t="n">
        <v>0</v>
      </c>
      <c r="E307" s="45" t="n"/>
      <c r="F307" s="45" t="n">
        <v>0.506880733944954</v>
      </c>
      <c r="G307" s="45" t="n"/>
      <c r="H307" s="45" t="n">
        <v>0.87809187279152</v>
      </c>
      <c r="I307" s="45" t="n"/>
      <c r="J307" s="45" t="n"/>
      <c r="K307" s="45" t="n">
        <v>0.95151272797218</v>
      </c>
      <c r="L307" s="45" t="n"/>
      <c r="M307" s="45" t="n"/>
      <c r="N307" s="45" t="n">
        <v>0</v>
      </c>
      <c r="O307" s="45" t="n"/>
      <c r="P307" s="45" t="n">
        <v>0.907224958949097</v>
      </c>
      <c r="Q307" s="45" t="n"/>
      <c r="R307" s="45" t="n">
        <v>0.89927196569263</v>
      </c>
      <c r="S307" s="45" t="n"/>
      <c r="T307" s="45" t="n"/>
      <c r="U307" s="45" t="n">
        <v>0.987953960161875</v>
      </c>
      <c r="V307" s="45" t="n"/>
      <c r="W307" s="45" t="n"/>
      <c r="X307" s="45" t="n"/>
      <c r="Y307" s="45" t="n"/>
      <c r="Z307" s="45" t="n">
        <v>0.534591194968554</v>
      </c>
      <c r="AA307" s="45" t="n"/>
      <c r="AB307" s="45" t="n">
        <v>0.97387829414306</v>
      </c>
      <c r="AC307" s="45" t="n"/>
      <c r="AD307" s="45" t="n"/>
      <c r="AE307" s="45" t="n">
        <v>0.962681484136942</v>
      </c>
      <c r="AF307" s="75">
        <f>IFERROR(AVERAGE(L307:U307),"")</f>
        <v/>
      </c>
      <c r="AG307" s="75">
        <f>IFERROR(AVERAGE(V307:AE307),"")</f>
        <v/>
      </c>
      <c r="AH307" s="75">
        <f>IFERROR(AVERAGE(B307:K307),"")</f>
        <v/>
      </c>
      <c r="AI307" s="45" t="n">
        <v>0.962074279785156</v>
      </c>
      <c r="AJ307" s="47" t="n">
        <v>0</v>
      </c>
    </row>
    <row r="308" ht="15" customHeight="1" s="30">
      <c r="A308" s="73" t="inlineStr">
        <is>
          <t>8363.jpg</t>
        </is>
      </c>
      <c r="B308" s="45" t="n"/>
      <c r="C308" s="45" t="n"/>
      <c r="D308" s="45" t="n">
        <v>0</v>
      </c>
      <c r="E308" s="45" t="n"/>
      <c r="F308" s="45" t="n"/>
      <c r="G308" s="45" t="n"/>
      <c r="H308" s="45" t="n">
        <v>0.88008658008658</v>
      </c>
      <c r="I308" s="45" t="n"/>
      <c r="J308" s="45" t="n"/>
      <c r="K308" s="45" t="n">
        <v>0.968708987963553</v>
      </c>
      <c r="L308" s="45" t="n"/>
      <c r="M308" s="45" t="n"/>
      <c r="N308" s="45" t="n">
        <v>0</v>
      </c>
      <c r="O308" s="45" t="n"/>
      <c r="P308" s="45" t="n"/>
      <c r="Q308" s="45" t="n"/>
      <c r="R308" s="45" t="n">
        <v>0.932711423765102</v>
      </c>
      <c r="S308" s="45" t="n"/>
      <c r="T308" s="45" t="n"/>
      <c r="U308" s="45" t="n">
        <v>0.985090846695011</v>
      </c>
      <c r="V308" s="45" t="n"/>
      <c r="W308" s="45" t="n"/>
      <c r="X308" s="45" t="n"/>
      <c r="Y308" s="45" t="n"/>
      <c r="Z308" s="45" t="n"/>
      <c r="AA308" s="45" t="n"/>
      <c r="AB308" s="45" t="n">
        <v>0.939753466872111</v>
      </c>
      <c r="AC308" s="45" t="n"/>
      <c r="AD308" s="45" t="n"/>
      <c r="AE308" s="45" t="n">
        <v>0.9831227642895199</v>
      </c>
      <c r="AF308" s="75">
        <f>IFERROR(AVERAGE(L308:U308),"")</f>
        <v/>
      </c>
      <c r="AG308" s="75">
        <f>IFERROR(AVERAGE(V308:AE308),"")</f>
        <v/>
      </c>
      <c r="AH308" s="75">
        <f>IFERROR(AVERAGE(B308:K308),"")</f>
        <v/>
      </c>
      <c r="AI308" s="45" t="n">
        <v>0.9745330810546881</v>
      </c>
      <c r="AJ308" s="47" t="n">
        <v>0</v>
      </c>
    </row>
    <row r="309" ht="15" customHeight="1" s="30">
      <c r="A309" s="73" t="inlineStr">
        <is>
          <t>8364.jpg</t>
        </is>
      </c>
      <c r="B309" s="45" t="n"/>
      <c r="C309" s="45" t="n"/>
      <c r="D309" s="45" t="n"/>
      <c r="E309" s="45" t="n"/>
      <c r="F309" s="45" t="n">
        <v>0.95113654554186</v>
      </c>
      <c r="G309" s="45" t="n"/>
      <c r="H309" s="45" t="n">
        <v>0.864414182939363</v>
      </c>
      <c r="I309" s="45" t="n">
        <v>0.845588235294118</v>
      </c>
      <c r="J309" s="45" t="n"/>
      <c r="K309" s="45" t="n">
        <v>0.968588079729664</v>
      </c>
      <c r="L309" s="45" t="n"/>
      <c r="M309" s="45" t="n"/>
      <c r="N309" s="45" t="n"/>
      <c r="O309" s="45" t="n"/>
      <c r="P309" s="45" t="n">
        <v>0.977663512957631</v>
      </c>
      <c r="Q309" s="45" t="n"/>
      <c r="R309" s="45" t="n">
        <v>0.903337539940392</v>
      </c>
      <c r="S309" s="45" t="n">
        <v>0.888030888030888</v>
      </c>
      <c r="T309" s="45" t="n"/>
      <c r="U309" s="45" t="n">
        <v>0.988519190495469</v>
      </c>
      <c r="V309" s="45" t="n"/>
      <c r="W309" s="45" t="n"/>
      <c r="X309" s="45" t="n"/>
      <c r="Y309" s="45" t="n"/>
      <c r="Z309" s="45" t="n">
        <v>0.972264266721211</v>
      </c>
      <c r="AA309" s="45" t="n"/>
      <c r="AB309" s="45" t="n">
        <v>0.9525198187995469</v>
      </c>
      <c r="AC309" s="45" t="n">
        <v>0.946502057613169</v>
      </c>
      <c r="AD309" s="45" t="n"/>
      <c r="AE309" s="45" t="n">
        <v>0.979608010183612</v>
      </c>
      <c r="AF309" s="75">
        <f>IFERROR(AVERAGE(L309:U309),"")</f>
        <v/>
      </c>
      <c r="AG309" s="75">
        <f>IFERROR(AVERAGE(V309:AE309),"")</f>
        <v/>
      </c>
      <c r="AH309" s="75">
        <f>IFERROR(AVERAGE(B309:K309),"")</f>
        <v/>
      </c>
      <c r="AI309" s="45" t="n">
        <v>0.975212097167969</v>
      </c>
      <c r="AJ309" s="47" t="n">
        <v>0</v>
      </c>
    </row>
    <row r="310" ht="15" customHeight="1" s="30">
      <c r="A310" s="73" t="inlineStr">
        <is>
          <t>8367.jpg</t>
        </is>
      </c>
      <c r="B310" s="45" t="n"/>
      <c r="C310" s="45" t="n"/>
      <c r="D310" s="45" t="n"/>
      <c r="E310" s="45" t="n"/>
      <c r="F310" s="45" t="n">
        <v>0.914951577343507</v>
      </c>
      <c r="G310" s="45" t="n"/>
      <c r="H310" s="45" t="n">
        <v>0.864690544805819</v>
      </c>
      <c r="I310" s="45" t="n">
        <v>0.848080133555927</v>
      </c>
      <c r="J310" s="45" t="n"/>
      <c r="K310" s="45" t="n">
        <v>0.945490870943788</v>
      </c>
      <c r="L310" s="45" t="n"/>
      <c r="M310" s="45" t="n"/>
      <c r="N310" s="45" t="n"/>
      <c r="O310" s="45" t="n"/>
      <c r="P310" s="45" t="n">
        <v>0.936805654044344</v>
      </c>
      <c r="Q310" s="45" t="n"/>
      <c r="R310" s="45" t="n">
        <v>0.885967379077615</v>
      </c>
      <c r="S310" s="45" t="n">
        <v>0.899115044247788</v>
      </c>
      <c r="T310" s="45" t="n"/>
      <c r="U310" s="45" t="n">
        <v>0.985781262481336</v>
      </c>
      <c r="V310" s="45" t="n"/>
      <c r="W310" s="45" t="n"/>
      <c r="X310" s="45" t="n"/>
      <c r="Y310" s="45" t="n"/>
      <c r="Z310" s="45" t="n">
        <v>0.975137169992373</v>
      </c>
      <c r="AA310" s="45" t="n"/>
      <c r="AB310" s="45" t="n">
        <v>0.972977146386658</v>
      </c>
      <c r="AC310" s="45" t="n">
        <v>0.937269372693727</v>
      </c>
      <c r="AD310" s="45" t="n"/>
      <c r="AE310" s="45" t="n">
        <v>0.958563370856337</v>
      </c>
      <c r="AF310" s="75">
        <f>IFERROR(AVERAGE(L310:U310),"")</f>
        <v/>
      </c>
      <c r="AG310" s="75">
        <f>IFERROR(AVERAGE(V310:AE310),"")</f>
        <v/>
      </c>
      <c r="AH310" s="75">
        <f>IFERROR(AVERAGE(B310:K310),"")</f>
        <v/>
      </c>
      <c r="AI310" s="45" t="n">
        <v>0.9643707275390631</v>
      </c>
      <c r="AJ310" s="47" t="n">
        <v>0</v>
      </c>
    </row>
    <row r="311" ht="15" customHeight="1" s="30">
      <c r="A311" s="73" t="inlineStr">
        <is>
          <t>8372.jpg</t>
        </is>
      </c>
      <c r="B311" s="45" t="n"/>
      <c r="C311" s="45" t="n"/>
      <c r="D311" s="45" t="n">
        <v>0.986852862540601</v>
      </c>
      <c r="E311" s="45" t="n"/>
      <c r="F311" s="45" t="n">
        <v>0.962812642686825</v>
      </c>
      <c r="G311" s="45" t="n"/>
      <c r="H311" s="45" t="n">
        <v>0.934662296491322</v>
      </c>
      <c r="I311" s="45" t="n">
        <v>0.814621409921671</v>
      </c>
      <c r="J311" s="45" t="n"/>
      <c r="K311" s="45" t="n">
        <v>0.894744701937306</v>
      </c>
      <c r="L311" s="45" t="n"/>
      <c r="M311" s="45" t="n"/>
      <c r="N311" s="45" t="n">
        <v>0.992886043306211</v>
      </c>
      <c r="O311" s="45" t="n"/>
      <c r="P311" s="45" t="n">
        <v>0.987486016078258</v>
      </c>
      <c r="Q311" s="45" t="n"/>
      <c r="R311" s="45" t="n">
        <v>0.956776825411376</v>
      </c>
      <c r="S311" s="45" t="n">
        <v>0.952671755725191</v>
      </c>
      <c r="T311" s="45" t="n"/>
      <c r="U311" s="45" t="n">
        <v>0.955367108791766</v>
      </c>
      <c r="V311" s="45" t="n"/>
      <c r="W311" s="45" t="n"/>
      <c r="X311" s="45" t="n">
        <v>0.993880321338763</v>
      </c>
      <c r="Y311" s="45" t="n"/>
      <c r="Z311" s="45" t="n">
        <v>0.974705323438022</v>
      </c>
      <c r="AA311" s="45" t="n"/>
      <c r="AB311" s="45" t="n">
        <v>0.975867453319745</v>
      </c>
      <c r="AC311" s="45" t="n">
        <v>0.848979591836735</v>
      </c>
      <c r="AD311" s="45" t="n"/>
      <c r="AE311" s="45" t="n">
        <v>0.933777274015302</v>
      </c>
      <c r="AF311" s="75">
        <f>IFERROR(AVERAGE(L311:U311),"")</f>
        <v/>
      </c>
      <c r="AG311" s="75">
        <f>IFERROR(AVERAGE(V311:AE311),"")</f>
        <v/>
      </c>
      <c r="AH311" s="75">
        <f>IFERROR(AVERAGE(B311:K311),"")</f>
        <v/>
      </c>
      <c r="AI311" s="45" t="n">
        <v>0.967094421386719</v>
      </c>
      <c r="AJ311" s="47" t="n">
        <v>0</v>
      </c>
    </row>
    <row r="312" ht="15" customHeight="1" s="30">
      <c r="A312" s="73" t="inlineStr">
        <is>
          <t>8376.jpg</t>
        </is>
      </c>
      <c r="B312" s="45" t="n"/>
      <c r="C312" s="45" t="n"/>
      <c r="D312" s="45" t="n">
        <v>0.9719379333113241</v>
      </c>
      <c r="E312" s="45" t="n"/>
      <c r="F312" s="45" t="n">
        <v>0.934579137619417</v>
      </c>
      <c r="G312" s="45" t="n"/>
      <c r="H312" s="45" t="n">
        <v>0.808492151317677</v>
      </c>
      <c r="I312" s="45" t="n">
        <v>0.796881091617934</v>
      </c>
      <c r="J312" s="45" t="n"/>
      <c r="K312" s="45" t="n">
        <v>0.782648764885524</v>
      </c>
      <c r="L312" s="45" t="n"/>
      <c r="M312" s="45" t="n"/>
      <c r="N312" s="45" t="n">
        <v>0.995315141270225</v>
      </c>
      <c r="O312" s="45" t="n"/>
      <c r="P312" s="45" t="n">
        <v>0.961643198724761</v>
      </c>
      <c r="Q312" s="45" t="n"/>
      <c r="R312" s="45" t="n">
        <v>0.968813539344053</v>
      </c>
      <c r="S312" s="45" t="n">
        <v>0.93418647166362</v>
      </c>
      <c r="T312" s="45" t="n"/>
      <c r="U312" s="45" t="n">
        <v>0.807047292512951</v>
      </c>
      <c r="V312" s="45" t="n"/>
      <c r="W312" s="45" t="n"/>
      <c r="X312" s="45" t="n">
        <v>0.976404813797025</v>
      </c>
      <c r="Y312" s="45" t="n"/>
      <c r="Z312" s="45" t="n">
        <v>0.970766703543532</v>
      </c>
      <c r="AA312" s="45" t="n"/>
      <c r="AB312" s="45" t="n">
        <v>0.8300959434438649</v>
      </c>
      <c r="AC312" s="45" t="n">
        <v>0.84427922346138</v>
      </c>
      <c r="AD312" s="45" t="n"/>
      <c r="AE312" s="45" t="n">
        <v>0.9628089987551131</v>
      </c>
      <c r="AF312" s="75">
        <f>IFERROR(AVERAGE(L312:U312),"")</f>
        <v/>
      </c>
      <c r="AG312" s="75">
        <f>IFERROR(AVERAGE(V312:AE312),"")</f>
        <v/>
      </c>
      <c r="AH312" s="75">
        <f>IFERROR(AVERAGE(B312:K312),"")</f>
        <v/>
      </c>
      <c r="AI312" s="45" t="n">
        <v>0.903560638427734</v>
      </c>
      <c r="AJ312" s="47" t="n">
        <v>0</v>
      </c>
    </row>
    <row r="313" ht="15" customHeight="1" s="30">
      <c r="A313" s="73" t="inlineStr">
        <is>
          <t>8378.jpg</t>
        </is>
      </c>
      <c r="B313" s="45" t="n"/>
      <c r="C313" s="45" t="n"/>
      <c r="D313" s="45" t="n">
        <v>0.7866548118040561</v>
      </c>
      <c r="E313" s="45" t="n"/>
      <c r="F313" s="45" t="n">
        <v>0.848942598187311</v>
      </c>
      <c r="G313" s="45" t="n"/>
      <c r="H313" s="45" t="n">
        <v>0.728829128822239</v>
      </c>
      <c r="I313" s="45" t="n"/>
      <c r="J313" s="45" t="n"/>
      <c r="K313" s="45" t="n">
        <v>0.817089992705087</v>
      </c>
      <c r="L313" s="45" t="n"/>
      <c r="M313" s="45" t="n"/>
      <c r="N313" s="45" t="n">
        <v>0.986670914980617</v>
      </c>
      <c r="O313" s="45" t="n"/>
      <c r="P313" s="45" t="n">
        <v>0.859662826270911</v>
      </c>
      <c r="Q313" s="45" t="n"/>
      <c r="R313" s="45" t="n">
        <v>0.888454970465552</v>
      </c>
      <c r="S313" s="45" t="n"/>
      <c r="T313" s="45" t="n"/>
      <c r="U313" s="45" t="n">
        <v>0.872925006199299</v>
      </c>
      <c r="V313" s="45" t="n"/>
      <c r="W313" s="45" t="n"/>
      <c r="X313" s="45" t="n">
        <v>0.795104416295789</v>
      </c>
      <c r="Y313" s="45" t="n"/>
      <c r="Z313" s="45" t="n">
        <v>0.985523468397881</v>
      </c>
      <c r="AA313" s="45" t="n"/>
      <c r="AB313" s="45" t="n">
        <v>0.802237108190091</v>
      </c>
      <c r="AC313" s="45" t="n"/>
      <c r="AD313" s="45" t="n"/>
      <c r="AE313" s="45" t="n">
        <v>0.92740150842278</v>
      </c>
      <c r="AF313" s="75">
        <f>IFERROR(AVERAGE(L313:U313),"")</f>
        <v/>
      </c>
      <c r="AG313" s="75">
        <f>IFERROR(AVERAGE(V313:AE313),"")</f>
        <v/>
      </c>
      <c r="AH313" s="75">
        <f>IFERROR(AVERAGE(B313:K313),"")</f>
        <v/>
      </c>
      <c r="AI313" s="45" t="n">
        <v>0.8837738037109381</v>
      </c>
      <c r="AJ313" s="47" t="n">
        <v>0</v>
      </c>
    </row>
    <row r="314" ht="15" customHeight="1" s="30">
      <c r="A314" s="73" t="inlineStr">
        <is>
          <t>8391.jpg</t>
        </is>
      </c>
      <c r="B314" s="45" t="n"/>
      <c r="C314" s="45" t="n"/>
      <c r="D314" s="45" t="n"/>
      <c r="E314" s="45" t="n"/>
      <c r="F314" s="45" t="n"/>
      <c r="G314" s="45" t="n">
        <v>0.697251702835419</v>
      </c>
      <c r="H314" s="45" t="n">
        <v>0.514630409804673</v>
      </c>
      <c r="I314" s="45" t="n"/>
      <c r="J314" s="45" t="n"/>
      <c r="K314" s="45" t="n">
        <v>0.894210411385495</v>
      </c>
      <c r="L314" s="45" t="n"/>
      <c r="M314" s="45" t="n"/>
      <c r="N314" s="45" t="n"/>
      <c r="O314" s="45" t="n"/>
      <c r="P314" s="45" t="n"/>
      <c r="Q314" s="45" t="n">
        <v>0.787679506106563</v>
      </c>
      <c r="R314" s="45" t="n">
        <v>0.755439365828976</v>
      </c>
      <c r="S314" s="45" t="n"/>
      <c r="T314" s="45" t="n"/>
      <c r="U314" s="45" t="n">
        <v>0.943491392479877</v>
      </c>
      <c r="V314" s="45" t="n"/>
      <c r="W314" s="45" t="n"/>
      <c r="X314" s="45" t="n"/>
      <c r="Y314" s="45" t="n"/>
      <c r="Z314" s="45" t="n"/>
      <c r="AA314" s="45" t="n">
        <v>0.858626743392178</v>
      </c>
      <c r="AB314" s="45" t="n">
        <v>0.617509191176471</v>
      </c>
      <c r="AC314" s="45" t="n"/>
      <c r="AD314" s="45" t="n"/>
      <c r="AE314" s="45" t="n">
        <v>0.944811708765524</v>
      </c>
      <c r="AF314" s="75">
        <f>IFERROR(AVERAGE(L314:U314),"")</f>
        <v/>
      </c>
      <c r="AG314" s="75">
        <f>IFERROR(AVERAGE(V314:AE314),"")</f>
        <v/>
      </c>
      <c r="AH314" s="75">
        <f>IFERROR(AVERAGE(B314:K314),"")</f>
        <v/>
      </c>
      <c r="AI314" s="45" t="n">
        <v>0.9041595458984381</v>
      </c>
      <c r="AJ314" s="47" t="n">
        <v>0</v>
      </c>
    </row>
    <row r="315" ht="15" customHeight="1" s="30">
      <c r="A315" s="73" t="inlineStr">
        <is>
          <t>8397.jpg</t>
        </is>
      </c>
      <c r="B315" s="45" t="n"/>
      <c r="C315" s="45" t="n"/>
      <c r="D315" s="45" t="n">
        <v>0.925816023738872</v>
      </c>
      <c r="E315" s="45" t="n"/>
      <c r="F315" s="45" t="n">
        <v>0.627973631413012</v>
      </c>
      <c r="G315" s="45" t="n">
        <v>0.839579905336502</v>
      </c>
      <c r="H315" s="45" t="n">
        <v>0.483501695915057</v>
      </c>
      <c r="I315" s="45" t="n"/>
      <c r="J315" s="45" t="n"/>
      <c r="K315" s="45" t="n">
        <v>0.851898748424275</v>
      </c>
      <c r="L315" s="45" t="n"/>
      <c r="M315" s="45" t="n"/>
      <c r="N315" s="45" t="n">
        <v>0.988194644399654</v>
      </c>
      <c r="O315" s="45" t="n"/>
      <c r="P315" s="45" t="n">
        <v>0.78436754176611</v>
      </c>
      <c r="Q315" s="45" t="n">
        <v>0.986490357074661</v>
      </c>
      <c r="R315" s="45" t="n">
        <v>0.5605684975422101</v>
      </c>
      <c r="S315" s="45" t="n"/>
      <c r="T315" s="45" t="n"/>
      <c r="U315" s="45" t="n">
        <v>0.936722254880728</v>
      </c>
      <c r="V315" s="45" t="n"/>
      <c r="W315" s="45" t="n"/>
      <c r="X315" s="45" t="n">
        <v>0.936170212765958</v>
      </c>
      <c r="Y315" s="45" t="n"/>
      <c r="Z315" s="45" t="n">
        <v>0.759006928406467</v>
      </c>
      <c r="AA315" s="45" t="n">
        <v>0.84934547173301</v>
      </c>
      <c r="AB315" s="45" t="n">
        <v>0.778608958945587</v>
      </c>
      <c r="AC315" s="45" t="n"/>
      <c r="AD315" s="45" t="n"/>
      <c r="AE315" s="45" t="n">
        <v>0.903917119484087</v>
      </c>
      <c r="AF315" s="75">
        <f>IFERROR(AVERAGE(L315:U315),"")</f>
        <v/>
      </c>
      <c r="AG315" s="75">
        <f>IFERROR(AVERAGE(V315:AE315),"")</f>
        <v/>
      </c>
      <c r="AH315" s="75">
        <f>IFERROR(AVERAGE(B315:K315),"")</f>
        <v/>
      </c>
      <c r="AI315" s="45" t="n">
        <v>0.873348236083984</v>
      </c>
      <c r="AJ315" s="47" t="n">
        <v>0</v>
      </c>
    </row>
    <row r="316" ht="15" customHeight="1" s="30">
      <c r="A316" s="73" t="inlineStr">
        <is>
          <t>8399.jpg</t>
        </is>
      </c>
      <c r="B316" s="45" t="n"/>
      <c r="C316" s="45" t="n">
        <v>0</v>
      </c>
      <c r="D316" s="45" t="n">
        <v>0.928911279037224</v>
      </c>
      <c r="E316" s="45" t="n"/>
      <c r="F316" s="45" t="n">
        <v>0.471785922047702</v>
      </c>
      <c r="G316" s="45" t="n">
        <v>0.864098263614838</v>
      </c>
      <c r="H316" s="45" t="n">
        <v>0.622625753672828</v>
      </c>
      <c r="I316" s="45" t="n"/>
      <c r="J316" s="45" t="n"/>
      <c r="K316" s="45" t="n">
        <v>0.804490823004845</v>
      </c>
      <c r="L316" s="45" t="n"/>
      <c r="M316" s="45" t="n">
        <v>0</v>
      </c>
      <c r="N316" s="45" t="n">
        <v>0.977614138438881</v>
      </c>
      <c r="O316" s="45" t="n"/>
      <c r="P316" s="45" t="n">
        <v>0.92138150420359</v>
      </c>
      <c r="Q316" s="45" t="n">
        <v>0.978494023014188</v>
      </c>
      <c r="R316" s="45" t="n">
        <v>0.840951233966087</v>
      </c>
      <c r="S316" s="45" t="n"/>
      <c r="T316" s="45" t="n"/>
      <c r="U316" s="45" t="n">
        <v>0.831536618754278</v>
      </c>
      <c r="V316" s="45" t="n"/>
      <c r="W316" s="45" t="n"/>
      <c r="X316" s="45" t="n">
        <v>0.949099227909637</v>
      </c>
      <c r="Y316" s="45" t="n"/>
      <c r="Z316" s="45" t="n">
        <v>0.491574736331677</v>
      </c>
      <c r="AA316" s="45" t="n">
        <v>0.880826670689395</v>
      </c>
      <c r="AB316" s="45" t="n">
        <v>0.705730419995508</v>
      </c>
      <c r="AC316" s="45" t="n"/>
      <c r="AD316" s="45" t="n"/>
      <c r="AE316" s="45" t="n">
        <v>0.961141621450563</v>
      </c>
      <c r="AF316" s="75">
        <f>IFERROR(AVERAGE(L316:U316),"")</f>
        <v/>
      </c>
      <c r="AG316" s="75">
        <f>IFERROR(AVERAGE(V316:AE316),"")</f>
        <v/>
      </c>
      <c r="AH316" s="75">
        <f>IFERROR(AVERAGE(B316:K316),"")</f>
        <v/>
      </c>
      <c r="AI316" s="45" t="n">
        <v>0.849826812744141</v>
      </c>
      <c r="AJ316" s="47" t="n">
        <v>0</v>
      </c>
    </row>
    <row r="317" ht="15" customHeight="1" s="30">
      <c r="A317" s="73" t="inlineStr">
        <is>
          <t>8401.jpg</t>
        </is>
      </c>
      <c r="B317" s="45" t="n"/>
      <c r="C317" s="45" t="n"/>
      <c r="D317" s="45" t="n">
        <v>0.869945431649643</v>
      </c>
      <c r="E317" s="45" t="n"/>
      <c r="F317" s="45" t="n">
        <v>0.616809200825715</v>
      </c>
      <c r="G317" s="45" t="n"/>
      <c r="H317" s="45" t="n">
        <v>0.820219452690279</v>
      </c>
      <c r="I317" s="45" t="n"/>
      <c r="J317" s="45" t="n"/>
      <c r="K317" s="45" t="n">
        <v>0.895311840235032</v>
      </c>
      <c r="L317" s="45" t="n"/>
      <c r="M317" s="45" t="n"/>
      <c r="N317" s="45" t="n">
        <v>0.970574461442398</v>
      </c>
      <c r="O317" s="45" t="n"/>
      <c r="P317" s="45" t="n">
        <v>0.754708811431046</v>
      </c>
      <c r="Q317" s="45" t="n"/>
      <c r="R317" s="45" t="n">
        <v>0.908012027354248</v>
      </c>
      <c r="S317" s="45" t="n"/>
      <c r="T317" s="45" t="n"/>
      <c r="U317" s="45" t="n">
        <v>0.93906295808824</v>
      </c>
      <c r="V317" s="45" t="n"/>
      <c r="W317" s="45" t="n"/>
      <c r="X317" s="45" t="n">
        <v>0.8935115326579</v>
      </c>
      <c r="Y317" s="45" t="n"/>
      <c r="Z317" s="45" t="n">
        <v>0.771466509294777</v>
      </c>
      <c r="AA317" s="45" t="n"/>
      <c r="AB317" s="45" t="n">
        <v>0.894551269448049</v>
      </c>
      <c r="AC317" s="45" t="n"/>
      <c r="AD317" s="45" t="n"/>
      <c r="AE317" s="45" t="n">
        <v>0.950536059301166</v>
      </c>
      <c r="AF317" s="75">
        <f>IFERROR(AVERAGE(L317:U317),"")</f>
        <v/>
      </c>
      <c r="AG317" s="75">
        <f>IFERROR(AVERAGE(V317:AE317),"")</f>
        <v/>
      </c>
      <c r="AH317" s="75">
        <f>IFERROR(AVERAGE(B317:K317),"")</f>
        <v/>
      </c>
      <c r="AI317" s="45" t="n">
        <v>0.921955108642578</v>
      </c>
      <c r="AJ317" s="47" t="n">
        <v>0</v>
      </c>
    </row>
    <row r="318" ht="15" customHeight="1" s="30">
      <c r="A318" s="73" t="inlineStr">
        <is>
          <t>8402.jpg</t>
        </is>
      </c>
      <c r="B318" s="45" t="n"/>
      <c r="C318" s="45" t="n"/>
      <c r="D318" s="45" t="n">
        <v>0.861160058737151</v>
      </c>
      <c r="E318" s="45" t="n"/>
      <c r="F318" s="45" t="n">
        <v>0.778593632758066</v>
      </c>
      <c r="G318" s="45" t="n"/>
      <c r="H318" s="45" t="n">
        <v>0.844487784849107</v>
      </c>
      <c r="I318" s="45" t="n">
        <v>0.159663865546219</v>
      </c>
      <c r="J318" s="45" t="n"/>
      <c r="K318" s="45" t="n">
        <v>0.923551348250143</v>
      </c>
      <c r="L318" s="45" t="n"/>
      <c r="M318" s="45" t="n"/>
      <c r="N318" s="45" t="n">
        <v>0.948411094040592</v>
      </c>
      <c r="O318" s="45" t="n"/>
      <c r="P318" s="45" t="n">
        <v>0.885792682926829</v>
      </c>
      <c r="Q318" s="45" t="n"/>
      <c r="R318" s="45" t="n">
        <v>0.902825788751715</v>
      </c>
      <c r="S318" s="45" t="n">
        <v>0.41304347826087</v>
      </c>
      <c r="T318" s="45" t="n"/>
      <c r="U318" s="45" t="n">
        <v>0.963255231220899</v>
      </c>
      <c r="V318" s="45" t="n"/>
      <c r="W318" s="45" t="n"/>
      <c r="X318" s="45" t="n">
        <v>0.903481743953166</v>
      </c>
      <c r="Y318" s="45" t="n"/>
      <c r="Z318" s="45" t="n">
        <v>0.865475126601132</v>
      </c>
      <c r="AA318" s="45" t="n"/>
      <c r="AB318" s="45" t="n">
        <v>0.9289222604866481</v>
      </c>
      <c r="AC318" s="45" t="n">
        <v>0.206521739130435</v>
      </c>
      <c r="AD318" s="45" t="n"/>
      <c r="AE318" s="45" t="n">
        <v>0.957276393302485</v>
      </c>
      <c r="AF318" s="75">
        <f>IFERROR(AVERAGE(L318:U318),"")</f>
        <v/>
      </c>
      <c r="AG318" s="75">
        <f>IFERROR(AVERAGE(V318:AE318),"")</f>
        <v/>
      </c>
      <c r="AH318" s="75">
        <f>IFERROR(AVERAGE(B318:K318),"")</f>
        <v/>
      </c>
      <c r="AI318" s="45" t="n">
        <v>0.940807342529297</v>
      </c>
      <c r="AJ318" s="47" t="n">
        <v>0</v>
      </c>
    </row>
    <row r="319" ht="15" customHeight="1" s="30">
      <c r="A319" s="73" t="inlineStr">
        <is>
          <t>8428.jpg</t>
        </is>
      </c>
      <c r="B319" s="45" t="n"/>
      <c r="C319" s="45" t="n"/>
      <c r="D319" s="45" t="n"/>
      <c r="E319" s="45" t="n"/>
      <c r="F319" s="45" t="n"/>
      <c r="G319" s="45" t="n"/>
      <c r="H319" s="45" t="n">
        <v>0.696395392047566</v>
      </c>
      <c r="I319" s="45" t="n"/>
      <c r="J319" s="45" t="n"/>
      <c r="K319" s="45" t="n">
        <v>0.996860952088216</v>
      </c>
      <c r="L319" s="45" t="n"/>
      <c r="M319" s="45" t="n"/>
      <c r="N319" s="45" t="n"/>
      <c r="O319" s="45" t="n"/>
      <c r="P319" s="45" t="n"/>
      <c r="Q319" s="45" t="n"/>
      <c r="R319" s="45" t="n">
        <v>0.7398341887090411</v>
      </c>
      <c r="S319" s="45" t="n"/>
      <c r="T319" s="45" t="n"/>
      <c r="U319" s="45" t="n">
        <v>0.999391397128781</v>
      </c>
      <c r="V319" s="45" t="n"/>
      <c r="W319" s="45" t="n"/>
      <c r="X319" s="45" t="n"/>
      <c r="Y319" s="45" t="n"/>
      <c r="Z319" s="45" t="n"/>
      <c r="AA319" s="45" t="n"/>
      <c r="AB319" s="45" t="n">
        <v>0.922244094488189</v>
      </c>
      <c r="AC319" s="45" t="n"/>
      <c r="AD319" s="45" t="n"/>
      <c r="AE319" s="45" t="n">
        <v>0.997466475979578</v>
      </c>
      <c r="AF319" s="75">
        <f>IFERROR(AVERAGE(L319:U319),"")</f>
        <v/>
      </c>
      <c r="AG319" s="75">
        <f>IFERROR(AVERAGE(V319:AE319),"")</f>
        <v/>
      </c>
      <c r="AH319" s="75">
        <f>IFERROR(AVERAGE(B319:K319),"")</f>
        <v/>
      </c>
      <c r="AI319" s="45" t="n">
        <v>0.996883392333984</v>
      </c>
      <c r="AJ319" s="47" t="n">
        <v>0</v>
      </c>
    </row>
    <row r="320" ht="15" customHeight="1" s="30">
      <c r="A320" s="73" t="inlineStr">
        <is>
          <t>8439.jpg</t>
        </is>
      </c>
      <c r="B320" s="45" t="n">
        <v>0.784335355763927</v>
      </c>
      <c r="C320" s="45" t="n"/>
      <c r="D320" s="45" t="n">
        <v>0.918333333333333</v>
      </c>
      <c r="E320" s="45" t="n"/>
      <c r="F320" s="45" t="n">
        <v>0.854526105324261</v>
      </c>
      <c r="G320" s="45" t="n">
        <v>0</v>
      </c>
      <c r="H320" s="45" t="n">
        <v>0.836328961805737</v>
      </c>
      <c r="I320" s="45" t="n">
        <v>0.595698924731183</v>
      </c>
      <c r="J320" s="45" t="n"/>
      <c r="K320" s="45" t="n">
        <v>0.964116125749899</v>
      </c>
      <c r="L320" s="45" t="n">
        <v>0.941098610191926</v>
      </c>
      <c r="M320" s="45" t="n"/>
      <c r="N320" s="45" t="n">
        <v>0.959416019287436</v>
      </c>
      <c r="O320" s="45" t="n"/>
      <c r="P320" s="45" t="n">
        <v>0.934937548514572</v>
      </c>
      <c r="Q320" s="45" t="n">
        <v>0</v>
      </c>
      <c r="R320" s="45" t="n">
        <v>0.912987679671458</v>
      </c>
      <c r="S320" s="45" t="n">
        <v>0.703045685279188</v>
      </c>
      <c r="T320" s="45" t="n"/>
      <c r="U320" s="45" t="n">
        <v>0.978711843252026</v>
      </c>
      <c r="V320" s="45" t="n">
        <v>0.824825986078886</v>
      </c>
      <c r="W320" s="45" t="n"/>
      <c r="X320" s="45" t="n">
        <v>0.955448846205149</v>
      </c>
      <c r="Y320" s="45" t="n"/>
      <c r="Z320" s="45" t="n">
        <v>0.9085547745585461</v>
      </c>
      <c r="AA320" s="45" t="n"/>
      <c r="AB320" s="45" t="n">
        <v>0.908763164618049</v>
      </c>
      <c r="AC320" s="45" t="n">
        <v>0.795977011494253</v>
      </c>
      <c r="AD320" s="45" t="n"/>
      <c r="AE320" s="45" t="n">
        <v>0.9847673694751941</v>
      </c>
      <c r="AF320" s="75">
        <f>IFERROR(AVERAGE(L320:U320),"")</f>
        <v/>
      </c>
      <c r="AG320" s="75">
        <f>IFERROR(AVERAGE(V320:AE320),"")</f>
        <v/>
      </c>
      <c r="AH320" s="75">
        <f>IFERROR(AVERAGE(B320:K320),"")</f>
        <v/>
      </c>
      <c r="AI320" s="45" t="n">
        <v>0.961830139160156</v>
      </c>
      <c r="AJ320" s="47" t="n">
        <v>0</v>
      </c>
    </row>
    <row r="321" ht="15" customHeight="1" s="30">
      <c r="A321" s="73" t="inlineStr">
        <is>
          <t>8440.jpg</t>
        </is>
      </c>
      <c r="B321" s="45" t="n"/>
      <c r="C321" s="45" t="n"/>
      <c r="D321" s="45" t="n">
        <v>0.952071646491487</v>
      </c>
      <c r="E321" s="45" t="n"/>
      <c r="F321" s="45" t="n">
        <v>0.86431221420149</v>
      </c>
      <c r="G321" s="45" t="n">
        <v>0</v>
      </c>
      <c r="H321" s="45" t="n">
        <v>0.830028449806413</v>
      </c>
      <c r="I321" s="45" t="n">
        <v>0.672205438066465</v>
      </c>
      <c r="J321" s="45" t="n"/>
      <c r="K321" s="45" t="n">
        <v>0.929496331219496</v>
      </c>
      <c r="L321" s="45" t="n"/>
      <c r="M321" s="45" t="n"/>
      <c r="N321" s="45" t="n">
        <v>0.974023358840113</v>
      </c>
      <c r="O321" s="45" t="n"/>
      <c r="P321" s="45" t="n">
        <v>0.922069155953732</v>
      </c>
      <c r="Q321" s="45" t="n">
        <v>0</v>
      </c>
      <c r="R321" s="45" t="n">
        <v>0.961350742016203</v>
      </c>
      <c r="S321" s="45" t="n">
        <v>0.777972027972028</v>
      </c>
      <c r="T321" s="45" t="n"/>
      <c r="U321" s="45" t="n">
        <v>0.963142413174236</v>
      </c>
      <c r="V321" s="45" t="n"/>
      <c r="W321" s="45" t="n"/>
      <c r="X321" s="45" t="n">
        <v>0.9768756942340709</v>
      </c>
      <c r="Y321" s="45" t="n"/>
      <c r="Z321" s="45" t="n">
        <v>0.932425304830753</v>
      </c>
      <c r="AA321" s="45" t="n"/>
      <c r="AB321" s="45" t="n">
        <v>0.858682422713492</v>
      </c>
      <c r="AC321" s="45" t="n">
        <v>0.831775700934579</v>
      </c>
      <c r="AD321" s="45" t="n"/>
      <c r="AE321" s="45" t="n">
        <v>0.963777928232905</v>
      </c>
      <c r="AF321" s="75">
        <f>IFERROR(AVERAGE(L321:U321),"")</f>
        <v/>
      </c>
      <c r="AG321" s="75">
        <f>IFERROR(AVERAGE(V321:AE321),"")</f>
        <v/>
      </c>
      <c r="AH321" s="75">
        <f>IFERROR(AVERAGE(B321:K321),"")</f>
        <v/>
      </c>
      <c r="AI321" s="45" t="n">
        <v>0.9420318603515631</v>
      </c>
      <c r="AJ321" s="47" t="n">
        <v>0</v>
      </c>
    </row>
    <row r="322" ht="15" customHeight="1" s="30">
      <c r="A322" s="73" t="inlineStr">
        <is>
          <t>8447.jpg</t>
        </is>
      </c>
      <c r="B322" s="45" t="n">
        <v>0.896451796126071</v>
      </c>
      <c r="C322" s="45" t="n"/>
      <c r="D322" s="45" t="n">
        <v>0.944445996145574</v>
      </c>
      <c r="E322" s="45" t="n"/>
      <c r="F322" s="45" t="n">
        <v>0.791264235260199</v>
      </c>
      <c r="G322" s="45" t="n">
        <v>0</v>
      </c>
      <c r="H322" s="45" t="n">
        <v>0.764277180406213</v>
      </c>
      <c r="I322" s="45" t="n">
        <v>0.732421875</v>
      </c>
      <c r="J322" s="45" t="n"/>
      <c r="K322" s="45" t="n">
        <v>0</v>
      </c>
      <c r="L322" s="45" t="n">
        <v>0.97247406475951</v>
      </c>
      <c r="M322" s="45" t="n"/>
      <c r="N322" s="45" t="n">
        <v>0.977989877078814</v>
      </c>
      <c r="O322" s="45" t="n"/>
      <c r="P322" s="45" t="n">
        <v>0.814572976181643</v>
      </c>
      <c r="Q322" s="45" t="n">
        <v>0</v>
      </c>
      <c r="R322" s="45" t="n">
        <v>0.829421984804087</v>
      </c>
      <c r="S322" s="45" t="n">
        <v>0.878220140515223</v>
      </c>
      <c r="T322" s="45" t="n"/>
      <c r="U322" s="45" t="n">
        <v>0</v>
      </c>
      <c r="V322" s="45" t="n">
        <v>0.919790675547098</v>
      </c>
      <c r="W322" s="45" t="n"/>
      <c r="X322" s="45" t="n">
        <v>0.964956338108555</v>
      </c>
      <c r="Y322" s="45" t="n"/>
      <c r="Z322" s="45" t="n">
        <v>0.965098901098901</v>
      </c>
      <c r="AA322" s="45" t="n"/>
      <c r="AB322" s="45" t="n">
        <v>0.906809934225448</v>
      </c>
      <c r="AC322" s="45" t="n">
        <v>0.815217391304348</v>
      </c>
      <c r="AD322" s="45" t="n"/>
      <c r="AE322" s="45" t="n"/>
      <c r="AF322" s="75">
        <f>IFERROR(AVERAGE(L322:U322),"")</f>
        <v/>
      </c>
      <c r="AG322" s="75">
        <f>IFERROR(AVERAGE(V322:AE322),"")</f>
        <v/>
      </c>
      <c r="AH322" s="75">
        <f>IFERROR(AVERAGE(B322:K322),"")</f>
        <v/>
      </c>
      <c r="AI322" s="45" t="n">
        <v>0.927646636962891</v>
      </c>
      <c r="AJ322" s="47" t="n">
        <v>0</v>
      </c>
    </row>
    <row r="323" ht="15" customHeight="1" s="30">
      <c r="A323" s="73" t="inlineStr">
        <is>
          <t>8462.jpg</t>
        </is>
      </c>
      <c r="B323" s="45" t="n"/>
      <c r="C323" s="45" t="n"/>
      <c r="D323" s="45" t="n"/>
      <c r="E323" s="45" t="n"/>
      <c r="F323" s="45" t="n">
        <v>0.905875565811662</v>
      </c>
      <c r="G323" s="45" t="n"/>
      <c r="H323" s="45" t="n">
        <v>0.891706648389308</v>
      </c>
      <c r="I323" s="45" t="n">
        <v>0</v>
      </c>
      <c r="J323" s="45" t="n"/>
      <c r="K323" s="45" t="n">
        <v>0.936770726252953</v>
      </c>
      <c r="L323" s="45" t="n"/>
      <c r="M323" s="45" t="n"/>
      <c r="N323" s="45" t="n"/>
      <c r="O323" s="45" t="n"/>
      <c r="P323" s="45" t="n">
        <v>0.934190654889936</v>
      </c>
      <c r="Q323" s="45" t="n"/>
      <c r="R323" s="45" t="n">
        <v>0.980547679718623</v>
      </c>
      <c r="S323" s="45" t="n">
        <v>0</v>
      </c>
      <c r="T323" s="45" t="n"/>
      <c r="U323" s="45" t="n">
        <v>0.959431836372816</v>
      </c>
      <c r="V323" s="45" t="n"/>
      <c r="W323" s="45" t="n"/>
      <c r="X323" s="45" t="n"/>
      <c r="Y323" s="45" t="n"/>
      <c r="Z323" s="45" t="n">
        <v>0.96762419416003</v>
      </c>
      <c r="AA323" s="45" t="n"/>
      <c r="AB323" s="45" t="n">
        <v>0.907764893510981</v>
      </c>
      <c r="AC323" s="45" t="n"/>
      <c r="AD323" s="45" t="n"/>
      <c r="AE323" s="45" t="n">
        <v>0.975406552410521</v>
      </c>
      <c r="AF323" s="75">
        <f>IFERROR(AVERAGE(L323:U323),"")</f>
        <v/>
      </c>
      <c r="AG323" s="75">
        <f>IFERROR(AVERAGE(V323:AE323),"")</f>
        <v/>
      </c>
      <c r="AH323" s="75">
        <f>IFERROR(AVERAGE(B323:K323),"")</f>
        <v/>
      </c>
      <c r="AI323" s="45" t="n">
        <v>0.958621978759766</v>
      </c>
      <c r="AJ323" s="47" t="n">
        <v>0</v>
      </c>
    </row>
    <row r="324" ht="15" customHeight="1" s="30">
      <c r="A324" s="73" t="inlineStr">
        <is>
          <t>8478.jpg</t>
        </is>
      </c>
      <c r="B324" s="45" t="n"/>
      <c r="C324" s="45" t="n"/>
      <c r="D324" s="45" t="n">
        <v>0</v>
      </c>
      <c r="E324" s="45" t="n"/>
      <c r="F324" s="45" t="n">
        <v>0.742604512060334</v>
      </c>
      <c r="G324" s="45" t="n">
        <v>0.895104762626454</v>
      </c>
      <c r="H324" s="45" t="n">
        <v>0.760669916908275</v>
      </c>
      <c r="I324" s="45" t="n"/>
      <c r="J324" s="45" t="n"/>
      <c r="K324" s="45" t="n">
        <v>0.884296092563126</v>
      </c>
      <c r="L324" s="45" t="n"/>
      <c r="M324" s="45" t="n"/>
      <c r="N324" s="45" t="n">
        <v>0</v>
      </c>
      <c r="O324" s="45" t="n"/>
      <c r="P324" s="45" t="n">
        <v>0.838311926605505</v>
      </c>
      <c r="Q324" s="45" t="n">
        <v>0.972081636012015</v>
      </c>
      <c r="R324" s="45" t="n">
        <v>0.851102774606281</v>
      </c>
      <c r="S324" s="45" t="n"/>
      <c r="T324" s="45" t="n"/>
      <c r="U324" s="45" t="n">
        <v>0.93846659331255</v>
      </c>
      <c r="V324" s="45" t="n"/>
      <c r="W324" s="45" t="n"/>
      <c r="X324" s="45" t="n"/>
      <c r="Y324" s="45" t="n"/>
      <c r="Z324" s="45" t="n">
        <v>0.866747609652451</v>
      </c>
      <c r="AA324" s="45" t="n">
        <v>0.918722899531393</v>
      </c>
      <c r="AB324" s="45" t="n">
        <v>0.877435868691964</v>
      </c>
      <c r="AC324" s="45" t="n"/>
      <c r="AD324" s="45" t="n"/>
      <c r="AE324" s="45" t="n">
        <v>0.9387248157999331</v>
      </c>
      <c r="AF324" s="75">
        <f>IFERROR(AVERAGE(L324:U324),"")</f>
        <v/>
      </c>
      <c r="AG324" s="75">
        <f>IFERROR(AVERAGE(V324:AE324),"")</f>
        <v/>
      </c>
      <c r="AH324" s="75">
        <f>IFERROR(AVERAGE(B324:K324),"")</f>
        <v/>
      </c>
      <c r="AI324" s="45" t="n">
        <v>0.915050506591797</v>
      </c>
      <c r="AJ324" s="47" t="n">
        <v>0</v>
      </c>
    </row>
    <row r="325" ht="15" customHeight="1" s="30">
      <c r="A325" s="73" t="inlineStr">
        <is>
          <t>8486.jpg</t>
        </is>
      </c>
      <c r="B325" s="45" t="n"/>
      <c r="C325" s="45" t="n"/>
      <c r="D325" s="45" t="n">
        <v>0.871007751937985</v>
      </c>
      <c r="E325" s="45" t="n"/>
      <c r="F325" s="45" t="n">
        <v>0.754570923031554</v>
      </c>
      <c r="G325" s="45" t="n">
        <v>0.751983752125449</v>
      </c>
      <c r="H325" s="45" t="n">
        <v>0.69701884571773</v>
      </c>
      <c r="I325" s="45" t="n">
        <v>0.131284916201117</v>
      </c>
      <c r="J325" s="45" t="n"/>
      <c r="K325" s="45" t="n">
        <v>0.872214484679666</v>
      </c>
      <c r="L325" s="45" t="n"/>
      <c r="M325" s="45" t="n"/>
      <c r="N325" s="45" t="n">
        <v>0.923405654174885</v>
      </c>
      <c r="O325" s="45" t="n"/>
      <c r="P325" s="45" t="n">
        <v>0.837104689203926</v>
      </c>
      <c r="Q325" s="45" t="n">
        <v>0.995996246481076</v>
      </c>
      <c r="R325" s="45" t="n">
        <v>0.767160076460088</v>
      </c>
      <c r="S325" s="45" t="n">
        <v>0.594936708860759</v>
      </c>
      <c r="T325" s="45" t="n"/>
      <c r="U325" s="45" t="n">
        <v>0.9317039706417169</v>
      </c>
      <c r="V325" s="45" t="n"/>
      <c r="W325" s="45" t="n"/>
      <c r="X325" s="45" t="n">
        <v>0.938836898395722</v>
      </c>
      <c r="Y325" s="45" t="n"/>
      <c r="Z325" s="45" t="n">
        <v>0.884437019327707</v>
      </c>
      <c r="AA325" s="45" t="n">
        <v>0.754263786242183</v>
      </c>
      <c r="AB325" s="45" t="n">
        <v>0.8840384475351341</v>
      </c>
      <c r="AC325" s="45" t="n">
        <v>0.144171779141104</v>
      </c>
      <c r="AD325" s="45" t="n"/>
      <c r="AE325" s="45" t="n">
        <v>0.931788687105814</v>
      </c>
      <c r="AF325" s="75">
        <f>IFERROR(AVERAGE(L325:U325),"")</f>
        <v/>
      </c>
      <c r="AG325" s="75">
        <f>IFERROR(AVERAGE(V325:AE325),"")</f>
        <v/>
      </c>
      <c r="AH325" s="75">
        <f>IFERROR(AVERAGE(B325:K325),"")</f>
        <v/>
      </c>
      <c r="AI325" s="45" t="n">
        <v>0.8861846923828131</v>
      </c>
      <c r="AJ325" s="47" t="n">
        <v>0</v>
      </c>
    </row>
    <row r="326" ht="15" customHeight="1" s="30">
      <c r="A326" s="73" t="inlineStr">
        <is>
          <t>8494.jpg</t>
        </is>
      </c>
      <c r="B326" s="45" t="n">
        <v>0</v>
      </c>
      <c r="C326" s="45" t="n"/>
      <c r="D326" s="45" t="n">
        <v>0.74558390578999</v>
      </c>
      <c r="E326" s="45" t="n"/>
      <c r="F326" s="45" t="n">
        <v>0.809643492382646</v>
      </c>
      <c r="G326" s="45" t="n">
        <v>0.704065445975345</v>
      </c>
      <c r="H326" s="45" t="n">
        <v>0.549979586837593</v>
      </c>
      <c r="I326" s="45" t="n"/>
      <c r="J326" s="45" t="n"/>
      <c r="K326" s="45" t="n">
        <v>0.879691246345601</v>
      </c>
      <c r="L326" s="45" t="n">
        <v>0</v>
      </c>
      <c r="M326" s="45" t="n"/>
      <c r="N326" s="45" t="n">
        <v>0.965988556897648</v>
      </c>
      <c r="O326" s="45" t="n"/>
      <c r="P326" s="45" t="n">
        <v>0.892654644668969</v>
      </c>
      <c r="Q326" s="45" t="n">
        <v>0.969996877926943</v>
      </c>
      <c r="R326" s="45" t="n">
        <v>0.584443981674302</v>
      </c>
      <c r="S326" s="45" t="n"/>
      <c r="T326" s="45" t="n"/>
      <c r="U326" s="45" t="n">
        <v>0.963231312335058</v>
      </c>
      <c r="V326" s="45" t="n"/>
      <c r="W326" s="45" t="n"/>
      <c r="X326" s="45" t="n">
        <v>0.765684051398337</v>
      </c>
      <c r="Y326" s="45" t="n"/>
      <c r="Z326" s="45" t="n">
        <v>0.896975668265936</v>
      </c>
      <c r="AA326" s="45" t="n">
        <v>0.719739615910302</v>
      </c>
      <c r="AB326" s="45" t="n">
        <v>0.903161790340315</v>
      </c>
      <c r="AC326" s="45" t="n"/>
      <c r="AD326" s="45" t="n"/>
      <c r="AE326" s="45" t="n">
        <v>0.910257489878543</v>
      </c>
      <c r="AF326" s="75">
        <f>IFERROR(AVERAGE(L326:U326),"")</f>
        <v/>
      </c>
      <c r="AG326" s="75">
        <f>IFERROR(AVERAGE(V326:AE326),"")</f>
        <v/>
      </c>
      <c r="AH326" s="75">
        <f>IFERROR(AVERAGE(B326:K326),"")</f>
        <v/>
      </c>
      <c r="AI326" s="45" t="n">
        <v>0.874504089355469</v>
      </c>
      <c r="AJ326" s="47" t="n">
        <v>0</v>
      </c>
    </row>
    <row r="327" ht="15" customHeight="1" s="30">
      <c r="A327" s="73" t="inlineStr">
        <is>
          <t>8511.jpg</t>
        </is>
      </c>
      <c r="B327" s="45" t="n">
        <v>0</v>
      </c>
      <c r="C327" s="45" t="n">
        <v>0</v>
      </c>
      <c r="D327" s="45" t="n">
        <v>0</v>
      </c>
      <c r="E327" s="45" t="n"/>
      <c r="F327" s="45" t="n">
        <v>0</v>
      </c>
      <c r="G327" s="45" t="n">
        <v>0</v>
      </c>
      <c r="H327" s="45" t="n">
        <v>0.79714348771952</v>
      </c>
      <c r="I327" s="45" t="n"/>
      <c r="J327" s="45" t="n"/>
      <c r="K327" s="45" t="n">
        <v>0.000305216187634875</v>
      </c>
      <c r="L327" s="45" t="n">
        <v>0</v>
      </c>
      <c r="M327" s="45" t="n">
        <v>0</v>
      </c>
      <c r="N327" s="45" t="n"/>
      <c r="O327" s="45" t="n"/>
      <c r="P327" s="45" t="n"/>
      <c r="Q327" s="45" t="n">
        <v>0</v>
      </c>
      <c r="R327" s="45" t="n">
        <v>0.909656760451896</v>
      </c>
      <c r="S327" s="45" t="n"/>
      <c r="T327" s="45" t="n"/>
      <c r="U327" s="45" t="n">
        <v>0.365979381443299</v>
      </c>
      <c r="V327" s="45" t="n"/>
      <c r="W327" s="45" t="n"/>
      <c r="X327" s="45" t="n">
        <v>0</v>
      </c>
      <c r="Y327" s="45" t="n"/>
      <c r="Z327" s="45" t="n">
        <v>0</v>
      </c>
      <c r="AA327" s="45" t="n"/>
      <c r="AB327" s="45" t="n">
        <v>0.865678285283846</v>
      </c>
      <c r="AC327" s="45" t="n"/>
      <c r="AD327" s="45" t="n"/>
      <c r="AE327" s="45" t="n">
        <v>0.000305377657538312</v>
      </c>
      <c r="AF327" s="75">
        <f>IFERROR(AVERAGE(L327:U327),"")</f>
        <v/>
      </c>
      <c r="AG327" s="75">
        <f>IFERROR(AVERAGE(V327:AE327),"")</f>
        <v/>
      </c>
      <c r="AH327" s="75">
        <f>IFERROR(AVERAGE(B327:K327),"")</f>
        <v/>
      </c>
      <c r="AI327" s="45" t="n">
        <v>0.09671783447265631</v>
      </c>
      <c r="AJ327" s="47" t="n">
        <v>0</v>
      </c>
    </row>
    <row r="328" ht="15" customHeight="1" s="30">
      <c r="A328" s="73" t="inlineStr">
        <is>
          <t>8514.jpg</t>
        </is>
      </c>
      <c r="B328" s="45" t="n"/>
      <c r="C328" s="45" t="n"/>
      <c r="D328" s="45" t="n">
        <v>0.948496421817643</v>
      </c>
      <c r="E328" s="45" t="n"/>
      <c r="F328" s="45" t="n">
        <v>0.852423006905683</v>
      </c>
      <c r="G328" s="45" t="n"/>
      <c r="H328" s="45" t="n">
        <v>0.741337355455003</v>
      </c>
      <c r="I328" s="45" t="n">
        <v>0.735933983495874</v>
      </c>
      <c r="J328" s="45" t="n"/>
      <c r="K328" s="45" t="n">
        <v>0.881003251950084</v>
      </c>
      <c r="L328" s="45" t="n"/>
      <c r="M328" s="45" t="n"/>
      <c r="N328" s="45" t="n">
        <v>0.9857038264421411</v>
      </c>
      <c r="O328" s="45" t="n"/>
      <c r="P328" s="45" t="n">
        <v>0.942681729697353</v>
      </c>
      <c r="Q328" s="45" t="n"/>
      <c r="R328" s="45" t="n">
        <v>0.830659335706882</v>
      </c>
      <c r="S328" s="45" t="n">
        <v>0.829247675401522</v>
      </c>
      <c r="T328" s="45" t="n"/>
      <c r="U328" s="45" t="n">
        <v>0.931907851894981</v>
      </c>
      <c r="V328" s="45" t="n"/>
      <c r="W328" s="45" t="n"/>
      <c r="X328" s="45" t="n">
        <v>0.961726445597413</v>
      </c>
      <c r="Y328" s="45" t="n"/>
      <c r="Z328" s="45" t="n">
        <v>0.899019390054267</v>
      </c>
      <c r="AA328" s="45" t="n"/>
      <c r="AB328" s="45" t="n">
        <v>0.873323856905947</v>
      </c>
      <c r="AC328" s="45" t="n">
        <v>0.8673740053050401</v>
      </c>
      <c r="AD328" s="45" t="n"/>
      <c r="AE328" s="45" t="n">
        <v>0.941617705115998</v>
      </c>
      <c r="AF328" s="75">
        <f>IFERROR(AVERAGE(L328:U328),"")</f>
        <v/>
      </c>
      <c r="AG328" s="75">
        <f>IFERROR(AVERAGE(V328:AE328),"")</f>
        <v/>
      </c>
      <c r="AH328" s="75">
        <f>IFERROR(AVERAGE(B328:K328),"")</f>
        <v/>
      </c>
      <c r="AI328" s="45" t="n">
        <v>0.922100067138672</v>
      </c>
      <c r="AJ328" s="47" t="n">
        <v>0</v>
      </c>
    </row>
    <row r="329" ht="15" customHeight="1" s="30">
      <c r="A329" s="73" t="inlineStr">
        <is>
          <t>8523.jpg</t>
        </is>
      </c>
      <c r="B329" s="45" t="n">
        <v>0</v>
      </c>
      <c r="C329" s="45" t="n"/>
      <c r="D329" s="45" t="n"/>
      <c r="E329" s="45" t="n">
        <v>0</v>
      </c>
      <c r="F329" s="45" t="n">
        <v>0</v>
      </c>
      <c r="G329" s="45" t="n">
        <v>0</v>
      </c>
      <c r="H329" s="45" t="n">
        <v>0.872708432966683</v>
      </c>
      <c r="I329" s="45" t="n"/>
      <c r="J329" s="45" t="n"/>
      <c r="K329" s="45" t="n">
        <v>0.986900314073776</v>
      </c>
      <c r="L329" s="45" t="n"/>
      <c r="M329" s="45" t="n"/>
      <c r="N329" s="45" t="n"/>
      <c r="O329" s="45" t="n">
        <v>0</v>
      </c>
      <c r="P329" s="45" t="n">
        <v>0</v>
      </c>
      <c r="Q329" s="45" t="n">
        <v>0</v>
      </c>
      <c r="R329" s="45" t="n">
        <v>0.974110320284698</v>
      </c>
      <c r="S329" s="45" t="n"/>
      <c r="T329" s="45" t="n"/>
      <c r="U329" s="45" t="n">
        <v>0.989219065232011</v>
      </c>
      <c r="V329" s="45" t="n">
        <v>0</v>
      </c>
      <c r="W329" s="45" t="n"/>
      <c r="X329" s="45" t="n"/>
      <c r="Y329" s="45" t="n"/>
      <c r="Z329" s="45" t="n"/>
      <c r="AA329" s="45" t="n"/>
      <c r="AB329" s="45" t="n">
        <v>0.89343125254998</v>
      </c>
      <c r="AC329" s="45" t="n"/>
      <c r="AD329" s="45" t="n"/>
      <c r="AE329" s="45" t="n">
        <v>0.9976304924675941</v>
      </c>
      <c r="AF329" s="75">
        <f>IFERROR(AVERAGE(L329:U329),"")</f>
        <v/>
      </c>
      <c r="AG329" s="75">
        <f>IFERROR(AVERAGE(V329:AE329),"")</f>
        <v/>
      </c>
      <c r="AH329" s="75">
        <f>IFERROR(AVERAGE(B329:K329),"")</f>
        <v/>
      </c>
      <c r="AI329" s="45" t="n">
        <v>0.981342315673828</v>
      </c>
      <c r="AJ329" s="47" t="n">
        <v>0</v>
      </c>
    </row>
    <row r="330" ht="15" customHeight="1" s="30">
      <c r="A330" s="73" t="inlineStr">
        <is>
          <t>8525.jpg</t>
        </is>
      </c>
      <c r="B330" s="45" t="n"/>
      <c r="C330" s="45" t="n"/>
      <c r="D330" s="45" t="n"/>
      <c r="E330" s="45" t="n"/>
      <c r="F330" s="45" t="n">
        <v>0.783950617283951</v>
      </c>
      <c r="G330" s="45" t="n"/>
      <c r="H330" s="45" t="n">
        <v>0.886273896555768</v>
      </c>
      <c r="I330" s="45" t="n"/>
      <c r="J330" s="45" t="n"/>
      <c r="K330" s="45" t="n">
        <v>0.98693404604712</v>
      </c>
      <c r="L330" s="45" t="n"/>
      <c r="M330" s="45" t="n"/>
      <c r="N330" s="45" t="n"/>
      <c r="O330" s="45" t="n"/>
      <c r="P330" s="45" t="n">
        <v>0.845726970033296</v>
      </c>
      <c r="Q330" s="45" t="n"/>
      <c r="R330" s="45" t="n">
        <v>0.966325660699062</v>
      </c>
      <c r="S330" s="45" t="n"/>
      <c r="T330" s="45" t="n"/>
      <c r="U330" s="45" t="n">
        <v>0.9907899219035839</v>
      </c>
      <c r="V330" s="45" t="n"/>
      <c r="W330" s="45" t="n"/>
      <c r="X330" s="45" t="n"/>
      <c r="Y330" s="45" t="n"/>
      <c r="Z330" s="45" t="n">
        <v>0.914765906362545</v>
      </c>
      <c r="AA330" s="45" t="n"/>
      <c r="AB330" s="45" t="n">
        <v>0.914518536447618</v>
      </c>
      <c r="AC330" s="45" t="n"/>
      <c r="AD330" s="45" t="n"/>
      <c r="AE330" s="45" t="n">
        <v>0.996072246979139</v>
      </c>
      <c r="AF330" s="75">
        <f>IFERROR(AVERAGE(L330:U330),"")</f>
        <v/>
      </c>
      <c r="AG330" s="75">
        <f>IFERROR(AVERAGE(V330:AE330),"")</f>
        <v/>
      </c>
      <c r="AH330" s="75">
        <f>IFERROR(AVERAGE(B330:K330),"")</f>
        <v/>
      </c>
      <c r="AI330" s="45" t="n">
        <v>0.988101959228516</v>
      </c>
      <c r="AJ330" s="47" t="n">
        <v>0</v>
      </c>
    </row>
    <row r="331" ht="15" customHeight="1" s="30">
      <c r="A331" s="73" t="inlineStr">
        <is>
          <t>8530.jpg</t>
        </is>
      </c>
      <c r="B331" s="45" t="n"/>
      <c r="C331" s="45" t="n"/>
      <c r="D331" s="45" t="n"/>
      <c r="E331" s="45" t="n"/>
      <c r="F331" s="45" t="n">
        <v>0.758977900552486</v>
      </c>
      <c r="G331" s="45" t="n">
        <v>0</v>
      </c>
      <c r="H331" s="45" t="n">
        <v>0.75969781573329</v>
      </c>
      <c r="I331" s="45" t="n"/>
      <c r="J331" s="45" t="n"/>
      <c r="K331" s="45" t="n">
        <v>0.970221504442317</v>
      </c>
      <c r="L331" s="45" t="n"/>
      <c r="M331" s="45" t="n"/>
      <c r="N331" s="45" t="n"/>
      <c r="O331" s="45" t="n"/>
      <c r="P331" s="45" t="n">
        <v>0.862637362637363</v>
      </c>
      <c r="Q331" s="45" t="n">
        <v>0</v>
      </c>
      <c r="R331" s="45" t="n">
        <v>0.960466758024999</v>
      </c>
      <c r="S331" s="45" t="n"/>
      <c r="T331" s="45" t="n"/>
      <c r="U331" s="45" t="n">
        <v>0.97552382325258</v>
      </c>
      <c r="V331" s="45" t="n"/>
      <c r="W331" s="45" t="n"/>
      <c r="X331" s="45" t="n"/>
      <c r="Y331" s="45" t="n"/>
      <c r="Z331" s="45" t="n">
        <v>0.86331500392773</v>
      </c>
      <c r="AA331" s="45" t="n"/>
      <c r="AB331" s="45" t="n">
        <v>0.7842199844030791</v>
      </c>
      <c r="AC331" s="45" t="n"/>
      <c r="AD331" s="45" t="n"/>
      <c r="AE331" s="45" t="n">
        <v>0.994429029553372</v>
      </c>
      <c r="AF331" s="75">
        <f>IFERROR(AVERAGE(L331:U331),"")</f>
        <v/>
      </c>
      <c r="AG331" s="75">
        <f>IFERROR(AVERAGE(V331:AE331),"")</f>
        <v/>
      </c>
      <c r="AH331" s="75">
        <f>IFERROR(AVERAGE(B331:K331),"")</f>
        <v/>
      </c>
      <c r="AI331" s="45" t="n">
        <v>0.970142364501953</v>
      </c>
      <c r="AJ331" s="47" t="n">
        <v>0</v>
      </c>
    </row>
    <row r="332" ht="15" customHeight="1" s="30">
      <c r="A332" s="73" t="inlineStr">
        <is>
          <t>8533.jpg</t>
        </is>
      </c>
      <c r="B332" s="45" t="n"/>
      <c r="C332" s="45" t="n"/>
      <c r="D332" s="45" t="n"/>
      <c r="E332" s="45" t="n"/>
      <c r="F332" s="45" t="n">
        <v>0</v>
      </c>
      <c r="G332" s="45" t="n"/>
      <c r="H332" s="45" t="n">
        <v>0.899345244700921</v>
      </c>
      <c r="I332" s="45" t="n"/>
      <c r="J332" s="45" t="n"/>
      <c r="K332" s="45" t="n">
        <v>0.991575043913864</v>
      </c>
      <c r="L332" s="45" t="n"/>
      <c r="M332" s="45" t="n"/>
      <c r="N332" s="45" t="n"/>
      <c r="O332" s="45" t="n"/>
      <c r="P332" s="45" t="n">
        <v>0</v>
      </c>
      <c r="Q332" s="45" t="n"/>
      <c r="R332" s="45" t="n">
        <v>0.9965568125922279</v>
      </c>
      <c r="S332" s="45" t="n"/>
      <c r="T332" s="45" t="n"/>
      <c r="U332" s="45" t="n">
        <v>0.992842660673718</v>
      </c>
      <c r="V332" s="45" t="n"/>
      <c r="W332" s="45" t="n"/>
      <c r="X332" s="45" t="n"/>
      <c r="Y332" s="45" t="n"/>
      <c r="Z332" s="45" t="n"/>
      <c r="AA332" s="45" t="n"/>
      <c r="AB332" s="45" t="n">
        <v>0.902148502727374</v>
      </c>
      <c r="AC332" s="45" t="n"/>
      <c r="AD332" s="45" t="n"/>
      <c r="AE332" s="45" t="n">
        <v>0.998714052863075</v>
      </c>
      <c r="AF332" s="75">
        <f>IFERROR(AVERAGE(L332:U332),"")</f>
        <v/>
      </c>
      <c r="AG332" s="75">
        <f>IFERROR(AVERAGE(V332:AE332),"")</f>
        <v/>
      </c>
      <c r="AH332" s="75">
        <f>IFERROR(AVERAGE(B332:K332),"")</f>
        <v/>
      </c>
      <c r="AI332" s="45" t="n">
        <v>0.992095947265625</v>
      </c>
      <c r="AJ332" s="47" t="n">
        <v>0</v>
      </c>
    </row>
    <row r="333" ht="15" customHeight="1" s="30">
      <c r="A333" s="73" t="inlineStr">
        <is>
          <t>8541.jpg</t>
        </is>
      </c>
      <c r="B333" s="45" t="n"/>
      <c r="C333" s="45" t="n"/>
      <c r="D333" s="45" t="n"/>
      <c r="E333" s="45" t="n"/>
      <c r="F333" s="45" t="n"/>
      <c r="G333" s="45" t="n"/>
      <c r="H333" s="45" t="n">
        <v>0.889705882352941</v>
      </c>
      <c r="I333" s="45" t="n"/>
      <c r="J333" s="45" t="n"/>
      <c r="K333" s="45" t="n">
        <v>0.99919370320599</v>
      </c>
      <c r="L333" s="45" t="n"/>
      <c r="M333" s="45" t="n"/>
      <c r="N333" s="45" t="n"/>
      <c r="O333" s="45" t="n"/>
      <c r="P333" s="45" t="n"/>
      <c r="Q333" s="45" t="n"/>
      <c r="R333" s="45" t="n">
        <v>0.969107551487414</v>
      </c>
      <c r="S333" s="45" t="n"/>
      <c r="T333" s="45" t="n"/>
      <c r="U333" s="45" t="n">
        <v>0.999400912456413</v>
      </c>
      <c r="V333" s="45" t="n"/>
      <c r="W333" s="45" t="n"/>
      <c r="X333" s="45" t="n"/>
      <c r="Y333" s="45" t="n"/>
      <c r="Z333" s="45" t="n"/>
      <c r="AA333" s="45" t="n"/>
      <c r="AB333" s="45" t="n">
        <v>0.915675675675676</v>
      </c>
      <c r="AC333" s="45" t="n"/>
      <c r="AD333" s="45" t="n"/>
      <c r="AE333" s="45" t="n">
        <v>0.999792542279115</v>
      </c>
      <c r="AF333" s="75">
        <f>IFERROR(AVERAGE(L333:U333),"")</f>
        <v/>
      </c>
      <c r="AG333" s="75">
        <f>IFERROR(AVERAGE(V333:AE333),"")</f>
        <v/>
      </c>
      <c r="AH333" s="75">
        <f>IFERROR(AVERAGE(B333:K333),"")</f>
        <v/>
      </c>
      <c r="AI333" s="45" t="n">
        <v>0.999198913574219</v>
      </c>
      <c r="AJ333" s="47" t="n">
        <v>0</v>
      </c>
    </row>
    <row r="334" ht="15" customHeight="1" s="30">
      <c r="A334" s="73" t="inlineStr">
        <is>
          <t>8542.jpg</t>
        </is>
      </c>
      <c r="B334" s="45" t="n"/>
      <c r="C334" s="45" t="n"/>
      <c r="D334" s="45" t="n"/>
      <c r="E334" s="45" t="n"/>
      <c r="F334" s="45" t="n"/>
      <c r="G334" s="45" t="n"/>
      <c r="H334" s="45" t="n">
        <v>0.759334565619224</v>
      </c>
      <c r="I334" s="45" t="n"/>
      <c r="J334" s="45" t="n"/>
      <c r="K334" s="45" t="n">
        <v>0.997497020262217</v>
      </c>
      <c r="L334" s="45" t="n"/>
      <c r="M334" s="45" t="n"/>
      <c r="N334" s="45" t="n"/>
      <c r="O334" s="45" t="n"/>
      <c r="P334" s="45" t="n"/>
      <c r="Q334" s="45" t="n"/>
      <c r="R334" s="45" t="n">
        <v>0.876279863481229</v>
      </c>
      <c r="S334" s="45" t="n"/>
      <c r="T334" s="45" t="n"/>
      <c r="U334" s="45" t="n">
        <v>0.998610469591994</v>
      </c>
      <c r="V334" s="45" t="n"/>
      <c r="W334" s="45" t="n"/>
      <c r="X334" s="45" t="n"/>
      <c r="Y334" s="45" t="n"/>
      <c r="Z334" s="45" t="n"/>
      <c r="AA334" s="45" t="n"/>
      <c r="AB334" s="45" t="n">
        <v>0.850517598343685</v>
      </c>
      <c r="AC334" s="45" t="n"/>
      <c r="AD334" s="45" t="n"/>
      <c r="AE334" s="45" t="n">
        <v>0.998883451597627</v>
      </c>
      <c r="AF334" s="75">
        <f>IFERROR(AVERAGE(L334:U334),"")</f>
        <v/>
      </c>
      <c r="AG334" s="75">
        <f>IFERROR(AVERAGE(V334:AE334),"")</f>
        <v/>
      </c>
      <c r="AH334" s="75">
        <f>IFERROR(AVERAGE(B334:K334),"")</f>
        <v/>
      </c>
      <c r="AI334" s="45" t="n">
        <v>0.997516632080078</v>
      </c>
      <c r="AJ334" s="47" t="n">
        <v>0</v>
      </c>
    </row>
    <row r="335" ht="15" customHeight="1" s="30">
      <c r="A335" s="73" t="inlineStr">
        <is>
          <t>8543.jpg</t>
        </is>
      </c>
      <c r="B335" s="45" t="n"/>
      <c r="C335" s="45" t="n"/>
      <c r="D335" s="45" t="n"/>
      <c r="E335" s="45" t="n"/>
      <c r="F335" s="45" t="n"/>
      <c r="G335" s="45" t="n"/>
      <c r="H335" s="45" t="n">
        <v>0.382343179555261</v>
      </c>
      <c r="I335" s="45" t="n"/>
      <c r="J335" s="45" t="n"/>
      <c r="K335" s="45" t="n">
        <v>0.992869513241785</v>
      </c>
      <c r="L335" s="45" t="n"/>
      <c r="M335" s="45" t="n"/>
      <c r="N335" s="45" t="n"/>
      <c r="O335" s="45" t="n"/>
      <c r="P335" s="45" t="n"/>
      <c r="Q335" s="45" t="n"/>
      <c r="R335" s="45" t="n">
        <v>0.384</v>
      </c>
      <c r="S335" s="45" t="n"/>
      <c r="T335" s="45" t="n"/>
      <c r="U335" s="45" t="n">
        <v>0.999949834840861</v>
      </c>
      <c r="V335" s="45" t="n"/>
      <c r="W335" s="45" t="n"/>
      <c r="X335" s="45" t="n"/>
      <c r="Y335" s="45" t="n"/>
      <c r="Z335" s="45" t="n"/>
      <c r="AA335" s="45" t="n"/>
      <c r="AB335" s="45" t="n">
        <v>0.9888412017167379</v>
      </c>
      <c r="AC335" s="45" t="n"/>
      <c r="AD335" s="45" t="n"/>
      <c r="AE335" s="45" t="n">
        <v>0.992918970491879</v>
      </c>
      <c r="AF335" s="75">
        <f>IFERROR(AVERAGE(L335:U335),"")</f>
        <v/>
      </c>
      <c r="AG335" s="75">
        <f>IFERROR(AVERAGE(V335:AE335),"")</f>
        <v/>
      </c>
      <c r="AH335" s="75">
        <f>IFERROR(AVERAGE(B335:K335),"")</f>
        <v/>
      </c>
      <c r="AI335" s="45" t="n">
        <v>0.992900848388672</v>
      </c>
      <c r="AJ335" s="47" t="n">
        <v>0</v>
      </c>
    </row>
    <row r="336" ht="15" customHeight="1" s="30">
      <c r="A336" s="73" t="inlineStr">
        <is>
          <t>8544.jpg</t>
        </is>
      </c>
      <c r="B336" s="45" t="n"/>
      <c r="C336" s="45" t="n"/>
      <c r="D336" s="45" t="n"/>
      <c r="E336" s="45" t="n"/>
      <c r="F336" s="45" t="n"/>
      <c r="G336" s="45" t="n"/>
      <c r="H336" s="45" t="n">
        <v>0.643023798413439</v>
      </c>
      <c r="I336" s="45" t="n"/>
      <c r="J336" s="45" t="n"/>
      <c r="K336" s="45" t="n">
        <v>0.994101500454917</v>
      </c>
      <c r="L336" s="45" t="n"/>
      <c r="M336" s="45" t="n"/>
      <c r="N336" s="45" t="n"/>
      <c r="O336" s="45" t="n"/>
      <c r="P336" s="45" t="n"/>
      <c r="Q336" s="45" t="n"/>
      <c r="R336" s="45" t="n">
        <v>0.656190476190476</v>
      </c>
      <c r="S336" s="45" t="n"/>
      <c r="T336" s="45" t="n"/>
      <c r="U336" s="45" t="n">
        <v>0.999666594299538</v>
      </c>
      <c r="V336" s="45" t="n"/>
      <c r="W336" s="45" t="n"/>
      <c r="X336" s="45" t="n"/>
      <c r="Y336" s="45" t="n"/>
      <c r="Z336" s="45" t="n"/>
      <c r="AA336" s="45" t="n"/>
      <c r="AB336" s="45" t="n">
        <v>0.9697396199859249</v>
      </c>
      <c r="AC336" s="45" t="n"/>
      <c r="AD336" s="45" t="n"/>
      <c r="AE336" s="45" t="n">
        <v>0.994431203770121</v>
      </c>
      <c r="AF336" s="75">
        <f>IFERROR(AVERAGE(L336:U336),"")</f>
        <v/>
      </c>
      <c r="AG336" s="75">
        <f>IFERROR(AVERAGE(V336:AE336),"")</f>
        <v/>
      </c>
      <c r="AH336" s="75">
        <f>IFERROR(AVERAGE(B336:K336),"")</f>
        <v/>
      </c>
      <c r="AI336" s="45" t="n">
        <v>0.994163513183594</v>
      </c>
      <c r="AJ336" s="47" t="n">
        <v>0</v>
      </c>
    </row>
    <row r="337" ht="15" customHeight="1" s="30">
      <c r="A337" s="73" t="inlineStr">
        <is>
          <t>8557.jpg</t>
        </is>
      </c>
      <c r="B337" s="45" t="n">
        <v>0</v>
      </c>
      <c r="C337" s="45" t="n"/>
      <c r="D337" s="45" t="n"/>
      <c r="E337" s="45" t="n"/>
      <c r="F337" s="45" t="n"/>
      <c r="G337" s="45" t="n">
        <v>0.398769230769231</v>
      </c>
      <c r="H337" s="45" t="n">
        <v>0.8057427114161581</v>
      </c>
      <c r="I337" s="45" t="n"/>
      <c r="J337" s="45" t="n"/>
      <c r="K337" s="45" t="n">
        <v>0.986738605707795</v>
      </c>
      <c r="L337" s="45" t="n">
        <v>0</v>
      </c>
      <c r="M337" s="45" t="n"/>
      <c r="N337" s="45" t="n"/>
      <c r="O337" s="45" t="n"/>
      <c r="P337" s="45" t="n"/>
      <c r="Q337" s="45" t="n">
        <v>0.829705505761844</v>
      </c>
      <c r="R337" s="45" t="n">
        <v>0.915635062611807</v>
      </c>
      <c r="S337" s="45" t="n"/>
      <c r="T337" s="45" t="n"/>
      <c r="U337" s="45" t="n">
        <v>0.99165453781958</v>
      </c>
      <c r="V337" s="45" t="n"/>
      <c r="W337" s="45" t="n"/>
      <c r="X337" s="45" t="n"/>
      <c r="Y337" s="45" t="n"/>
      <c r="Z337" s="45" t="n"/>
      <c r="AA337" s="45" t="n">
        <v>0.4343163538874</v>
      </c>
      <c r="AB337" s="45" t="n">
        <v>0.870357774452455</v>
      </c>
      <c r="AC337" s="45" t="n"/>
      <c r="AD337" s="45" t="n"/>
      <c r="AE337" s="45" t="n">
        <v>0.9950011862978509</v>
      </c>
      <c r="AF337" s="75">
        <f>IFERROR(AVERAGE(L337:U337),"")</f>
        <v/>
      </c>
      <c r="AG337" s="75">
        <f>IFERROR(AVERAGE(V337:AE337),"")</f>
        <v/>
      </c>
      <c r="AH337" s="75">
        <f>IFERROR(AVERAGE(B337:K337),"")</f>
        <v/>
      </c>
      <c r="AI337" s="45" t="n">
        <v>0.98162841796875</v>
      </c>
      <c r="AJ337" s="47" t="n">
        <v>0</v>
      </c>
    </row>
    <row r="338" ht="15" customHeight="1" s="30">
      <c r="A338" s="73" t="inlineStr">
        <is>
          <t>8558.jpg</t>
        </is>
      </c>
      <c r="B338" s="45" t="n">
        <v>0</v>
      </c>
      <c r="C338" s="45" t="n"/>
      <c r="D338" s="45" t="n">
        <v>0</v>
      </c>
      <c r="E338" s="45" t="n"/>
      <c r="F338" s="45" t="n"/>
      <c r="G338" s="45" t="n">
        <v>0.137715179968701</v>
      </c>
      <c r="H338" s="45" t="n">
        <v>0.680722590947652</v>
      </c>
      <c r="I338" s="45" t="n"/>
      <c r="J338" s="45" t="n"/>
      <c r="K338" s="45" t="n">
        <v>0.971498164995137</v>
      </c>
      <c r="L338" s="45" t="n">
        <v>0</v>
      </c>
      <c r="M338" s="45" t="n"/>
      <c r="N338" s="45" t="n">
        <v>0</v>
      </c>
      <c r="O338" s="45" t="n"/>
      <c r="P338" s="45" t="n"/>
      <c r="Q338" s="45" t="n">
        <v>0.8224299065420561</v>
      </c>
      <c r="R338" s="45" t="n">
        <v>0.7564465147230079</v>
      </c>
      <c r="S338" s="45" t="n"/>
      <c r="T338" s="45" t="n"/>
      <c r="U338" s="45" t="n">
        <v>0.989473070791414</v>
      </c>
      <c r="V338" s="45" t="n"/>
      <c r="W338" s="45" t="n"/>
      <c r="X338" s="45" t="n"/>
      <c r="Y338" s="45" t="n"/>
      <c r="Z338" s="45" t="n"/>
      <c r="AA338" s="45" t="n">
        <v>0.141935483870968</v>
      </c>
      <c r="AB338" s="45" t="n">
        <v>0.871796510513197</v>
      </c>
      <c r="AC338" s="45" t="n"/>
      <c r="AD338" s="45" t="n"/>
      <c r="AE338" s="45" t="n">
        <v>0.981644139958787</v>
      </c>
      <c r="AF338" s="75">
        <f>IFERROR(AVERAGE(L338:U338),"")</f>
        <v/>
      </c>
      <c r="AG338" s="75">
        <f>IFERROR(AVERAGE(V338:AE338),"")</f>
        <v/>
      </c>
      <c r="AH338" s="75">
        <f>IFERROR(AVERAGE(B338:K338),"")</f>
        <v/>
      </c>
      <c r="AI338" s="45" t="n">
        <v>0.961185455322266</v>
      </c>
      <c r="AJ338" s="47" t="n">
        <v>0</v>
      </c>
    </row>
    <row r="339" ht="15" customHeight="1" s="30">
      <c r="A339" s="73" t="inlineStr">
        <is>
          <t>8592.jpg</t>
        </is>
      </c>
      <c r="B339" s="45" t="n"/>
      <c r="C339" s="45" t="n"/>
      <c r="D339" s="45" t="n"/>
      <c r="E339" s="45" t="n"/>
      <c r="F339" s="45" t="n"/>
      <c r="G339" s="45" t="n">
        <v>0.594793463919618</v>
      </c>
      <c r="H339" s="45" t="n"/>
      <c r="I339" s="45" t="n"/>
      <c r="J339" s="45" t="n"/>
      <c r="K339" s="45" t="n">
        <v>0.968113951194579</v>
      </c>
      <c r="L339" s="45" t="n"/>
      <c r="M339" s="45" t="n"/>
      <c r="N339" s="45" t="n"/>
      <c r="O339" s="45" t="n"/>
      <c r="P339" s="45" t="n"/>
      <c r="Q339" s="45" t="n">
        <v>0.95995085995086</v>
      </c>
      <c r="R339" s="45" t="n"/>
      <c r="S339" s="45" t="n"/>
      <c r="T339" s="45" t="n"/>
      <c r="U339" s="45" t="n">
        <v>0.9700080821336829</v>
      </c>
      <c r="V339" s="45" t="n"/>
      <c r="W339" s="45" t="n"/>
      <c r="X339" s="45" t="n"/>
      <c r="Y339" s="45" t="n"/>
      <c r="Z339" s="45" t="n"/>
      <c r="AA339" s="45" t="n">
        <v>0.609928708955612</v>
      </c>
      <c r="AB339" s="45" t="n"/>
      <c r="AC339" s="45" t="n"/>
      <c r="AD339" s="45" t="n"/>
      <c r="AE339" s="45" t="n">
        <v>0.997987049607495</v>
      </c>
      <c r="AF339" s="75">
        <f>IFERROR(AVERAGE(L339:U339),"")</f>
        <v/>
      </c>
      <c r="AG339" s="75">
        <f>IFERROR(AVERAGE(V339:AE339),"")</f>
        <v/>
      </c>
      <c r="AH339" s="75">
        <f>IFERROR(AVERAGE(B339:K339),"")</f>
        <v/>
      </c>
      <c r="AI339" s="45" t="n">
        <v>0.969539642333984</v>
      </c>
      <c r="AJ339" s="47" t="n">
        <v>0</v>
      </c>
    </row>
    <row r="340" ht="15" customHeight="1" s="30">
      <c r="A340" s="73" t="inlineStr">
        <is>
          <t>8601.jpg</t>
        </is>
      </c>
      <c r="B340" s="45" t="n"/>
      <c r="C340" s="45" t="n"/>
      <c r="D340" s="45" t="n"/>
      <c r="E340" s="45" t="n"/>
      <c r="F340" s="45" t="n"/>
      <c r="G340" s="45" t="n">
        <v>0.481123894316934</v>
      </c>
      <c r="H340" s="45" t="n"/>
      <c r="I340" s="45" t="n"/>
      <c r="J340" s="45" t="n"/>
      <c r="K340" s="45" t="n">
        <v>0.964640574891065</v>
      </c>
      <c r="L340" s="45" t="n"/>
      <c r="M340" s="45" t="n"/>
      <c r="N340" s="45" t="n"/>
      <c r="O340" s="45" t="n"/>
      <c r="P340" s="45" t="n"/>
      <c r="Q340" s="45" t="n">
        <v>0.926416564622064</v>
      </c>
      <c r="R340" s="45" t="n"/>
      <c r="S340" s="45" t="n"/>
      <c r="T340" s="45" t="n"/>
      <c r="U340" s="45" t="n">
        <v>0.967159238587302</v>
      </c>
      <c r="V340" s="45" t="n"/>
      <c r="W340" s="45" t="n"/>
      <c r="X340" s="45" t="n"/>
      <c r="Y340" s="45" t="n"/>
      <c r="Z340" s="45" t="n"/>
      <c r="AA340" s="45" t="n">
        <v>0.500240442414042</v>
      </c>
      <c r="AB340" s="45" t="n"/>
      <c r="AC340" s="45" t="n"/>
      <c r="AD340" s="45" t="n"/>
      <c r="AE340" s="45" t="n">
        <v>0.997307623376835</v>
      </c>
      <c r="AF340" s="75">
        <f>IFERROR(AVERAGE(L340:U340),"")</f>
        <v/>
      </c>
      <c r="AG340" s="75">
        <f>IFERROR(AVERAGE(V340:AE340),"")</f>
        <v/>
      </c>
      <c r="AH340" s="75">
        <f>IFERROR(AVERAGE(B340:K340),"")</f>
        <v/>
      </c>
      <c r="AI340" s="45" t="n">
        <v>0.965763092041016</v>
      </c>
      <c r="AJ340" s="47" t="n">
        <v>0</v>
      </c>
    </row>
    <row r="341" ht="15" customHeight="1" s="30">
      <c r="A341" s="73" t="inlineStr">
        <is>
          <t>8762.jpg</t>
        </is>
      </c>
      <c r="B341" s="45" t="n">
        <v>0</v>
      </c>
      <c r="C341" s="45" t="n"/>
      <c r="D341" s="45" t="n"/>
      <c r="E341" s="45" t="n"/>
      <c r="F341" s="45" t="n">
        <v>0.841494429917255</v>
      </c>
      <c r="G341" s="45" t="n">
        <v>0.866087236439723</v>
      </c>
      <c r="H341" s="45" t="n"/>
      <c r="I341" s="45" t="n">
        <v>0.711111111111111</v>
      </c>
      <c r="J341" s="45" t="n"/>
      <c r="K341" s="45" t="n">
        <v>0.908500935453695</v>
      </c>
      <c r="L341" s="45" t="n"/>
      <c r="M341" s="45" t="n"/>
      <c r="N341" s="45" t="n"/>
      <c r="O341" s="45" t="n"/>
      <c r="P341" s="45" t="n">
        <v>0.9621165581357251</v>
      </c>
      <c r="Q341" s="45" t="n">
        <v>0.985050036612155</v>
      </c>
      <c r="R341" s="45" t="n"/>
      <c r="S341" s="45" t="n">
        <v>0.813559322033898</v>
      </c>
      <c r="T341" s="45" t="n"/>
      <c r="U341" s="45" t="n">
        <v>0.91314567785156</v>
      </c>
      <c r="V341" s="45" t="n">
        <v>0</v>
      </c>
      <c r="W341" s="45" t="n"/>
      <c r="X341" s="45" t="n"/>
      <c r="Y341" s="45" t="n"/>
      <c r="Z341" s="45" t="n">
        <v>0.870331950207469</v>
      </c>
      <c r="AA341" s="45" t="n">
        <v>0.877623137979776</v>
      </c>
      <c r="AB341" s="45" t="n"/>
      <c r="AC341" s="45" t="n">
        <v>0.849557522123894</v>
      </c>
      <c r="AD341" s="45" t="n"/>
      <c r="AE341" s="45" t="n">
        <v>0.994432356329195</v>
      </c>
      <c r="AF341" s="75">
        <f>IFERROR(AVERAGE(L341:U341),"")</f>
        <v/>
      </c>
      <c r="AG341" s="75">
        <f>IFERROR(AVERAGE(V341:AE341),"")</f>
        <v/>
      </c>
      <c r="AH341" s="75">
        <f>IFERROR(AVERAGE(B341:K341),"")</f>
        <v/>
      </c>
      <c r="AI341" s="45" t="n">
        <v>0.922157287597656</v>
      </c>
      <c r="AJ341" s="47" t="n">
        <v>0</v>
      </c>
    </row>
    <row r="342" ht="15" customHeight="1" s="30">
      <c r="A342" s="73" t="inlineStr">
        <is>
          <t>8767.jpg</t>
        </is>
      </c>
      <c r="B342" s="45" t="n"/>
      <c r="C342" s="45" t="n"/>
      <c r="D342" s="45" t="n"/>
      <c r="E342" s="45" t="n"/>
      <c r="F342" s="45" t="n">
        <v>0.799909110350727</v>
      </c>
      <c r="G342" s="45" t="n">
        <v>0.912400906002265</v>
      </c>
      <c r="H342" s="45" t="n"/>
      <c r="I342" s="45" t="n">
        <v>0.817391304347826</v>
      </c>
      <c r="J342" s="45" t="n"/>
      <c r="K342" s="45" t="n">
        <v>0.958356108542788</v>
      </c>
      <c r="L342" s="45" t="n"/>
      <c r="M342" s="45" t="n"/>
      <c r="N342" s="45" t="n"/>
      <c r="O342" s="45" t="n"/>
      <c r="P342" s="45" t="n">
        <v>0.965476075242797</v>
      </c>
      <c r="Q342" s="45" t="n">
        <v>0.989863619609289</v>
      </c>
      <c r="R342" s="45" t="n"/>
      <c r="S342" s="45" t="n">
        <v>0.959183673469388</v>
      </c>
      <c r="T342" s="45" t="n"/>
      <c r="U342" s="45" t="n">
        <v>0.963717585023081</v>
      </c>
      <c r="V342" s="45" t="n"/>
      <c r="W342" s="45" t="n"/>
      <c r="X342" s="45" t="n"/>
      <c r="Y342" s="45" t="n"/>
      <c r="Z342" s="45" t="n">
        <v>0.823463041444218</v>
      </c>
      <c r="AA342" s="45" t="n">
        <v>0.921006001714776</v>
      </c>
      <c r="AB342" s="45" t="n"/>
      <c r="AC342" s="45" t="n">
        <v>0.846846846846847</v>
      </c>
      <c r="AD342" s="45" t="n"/>
      <c r="AE342" s="45" t="n">
        <v>0.9942284311039991</v>
      </c>
      <c r="AF342" s="75">
        <f>IFERROR(AVERAGE(L342:U342),"")</f>
        <v/>
      </c>
      <c r="AG342" s="75">
        <f>IFERROR(AVERAGE(V342:AE342),"")</f>
        <v/>
      </c>
      <c r="AH342" s="75">
        <f>IFERROR(AVERAGE(B342:K342),"")</f>
        <v/>
      </c>
      <c r="AI342" s="45" t="n">
        <v>0.965545654296875</v>
      </c>
      <c r="AJ342" s="47" t="n">
        <v>0</v>
      </c>
    </row>
    <row r="343" ht="15" customHeight="1" s="30">
      <c r="A343" s="73" t="inlineStr">
        <is>
          <t>8773.jpg</t>
        </is>
      </c>
      <c r="B343" s="45" t="n"/>
      <c r="C343" s="45" t="n"/>
      <c r="D343" s="45" t="n"/>
      <c r="E343" s="45" t="n"/>
      <c r="F343" s="45" t="n">
        <v>0.8487508963699441</v>
      </c>
      <c r="G343" s="45" t="n">
        <v>0.864803710827017</v>
      </c>
      <c r="H343" s="45" t="n">
        <v>0</v>
      </c>
      <c r="I343" s="45" t="n"/>
      <c r="J343" s="45" t="n"/>
      <c r="K343" s="45" t="n">
        <v>0.952374624478541</v>
      </c>
      <c r="L343" s="45" t="n"/>
      <c r="M343" s="45" t="n"/>
      <c r="N343" s="45" t="n"/>
      <c r="O343" s="45" t="n"/>
      <c r="P343" s="45" t="n">
        <v>0.8907896342703709</v>
      </c>
      <c r="Q343" s="45" t="n">
        <v>0.985305491105955</v>
      </c>
      <c r="R343" s="45" t="n"/>
      <c r="S343" s="45" t="n"/>
      <c r="T343" s="45" t="n"/>
      <c r="U343" s="45" t="n">
        <v>0.977819358359646</v>
      </c>
      <c r="V343" s="45" t="n"/>
      <c r="W343" s="45" t="n"/>
      <c r="X343" s="45" t="n"/>
      <c r="Y343" s="45" t="n"/>
      <c r="Z343" s="45" t="n">
        <v>0.947326295751493</v>
      </c>
      <c r="AA343" s="45" t="n">
        <v>0.876103151862464</v>
      </c>
      <c r="AB343" s="45" t="n">
        <v>0</v>
      </c>
      <c r="AC343" s="45" t="n"/>
      <c r="AD343" s="45" t="n"/>
      <c r="AE343" s="45" t="n">
        <v>0.973403507069923</v>
      </c>
      <c r="AF343" s="75">
        <f>IFERROR(AVERAGE(L343:U343),"")</f>
        <v/>
      </c>
      <c r="AG343" s="75">
        <f>IFERROR(AVERAGE(V343:AE343),"")</f>
        <v/>
      </c>
      <c r="AH343" s="75">
        <f>IFERROR(AVERAGE(B343:K343),"")</f>
        <v/>
      </c>
      <c r="AI343" s="45" t="n">
        <v>0.961719512939453</v>
      </c>
      <c r="AJ343" s="47" t="n">
        <v>0</v>
      </c>
    </row>
    <row r="344" ht="15" customHeight="1" s="30">
      <c r="A344" s="73" t="inlineStr">
        <is>
          <t>8776.jpg</t>
        </is>
      </c>
      <c r="B344" s="45" t="n"/>
      <c r="C344" s="45" t="n"/>
      <c r="D344" s="45" t="n"/>
      <c r="E344" s="45" t="n"/>
      <c r="F344" s="45" t="n">
        <v>0.873208930356548</v>
      </c>
      <c r="G344" s="45" t="n"/>
      <c r="H344" s="45" t="n">
        <v>0</v>
      </c>
      <c r="I344" s="45" t="n">
        <v>0.758957654723127</v>
      </c>
      <c r="J344" s="45" t="n"/>
      <c r="K344" s="45" t="n">
        <v>0.948173240877572</v>
      </c>
      <c r="L344" s="45" t="n"/>
      <c r="M344" s="45" t="n"/>
      <c r="N344" s="45" t="n"/>
      <c r="O344" s="45" t="n"/>
      <c r="P344" s="45" t="n">
        <v>0.93162981890901</v>
      </c>
      <c r="Q344" s="45" t="n"/>
      <c r="R344" s="45" t="n">
        <v>0</v>
      </c>
      <c r="S344" s="45" t="n">
        <v>0.885931558935361</v>
      </c>
      <c r="T344" s="45" t="n"/>
      <c r="U344" s="45" t="n">
        <v>0.985831395019005</v>
      </c>
      <c r="V344" s="45" t="n"/>
      <c r="W344" s="45" t="n"/>
      <c r="X344" s="45" t="n"/>
      <c r="Y344" s="45" t="n"/>
      <c r="Z344" s="45" t="n">
        <v>0.932998064042369</v>
      </c>
      <c r="AA344" s="45" t="n"/>
      <c r="AB344" s="45" t="n"/>
      <c r="AC344" s="45" t="n">
        <v>0.84115523465704</v>
      </c>
      <c r="AD344" s="45" t="n"/>
      <c r="AE344" s="45" t="n">
        <v>0.9612728647293109</v>
      </c>
      <c r="AF344" s="75">
        <f>IFERROR(AVERAGE(L344:U344),"")</f>
        <v/>
      </c>
      <c r="AG344" s="75">
        <f>IFERROR(AVERAGE(V344:AE344),"")</f>
        <v/>
      </c>
      <c r="AH344" s="75">
        <f>IFERROR(AVERAGE(B344:K344),"")</f>
        <v/>
      </c>
      <c r="AI344" s="45" t="n">
        <v>0.956298828125</v>
      </c>
      <c r="AJ344" s="47" t="n">
        <v>0</v>
      </c>
    </row>
    <row r="345" ht="15" customHeight="1" s="30">
      <c r="A345" s="73" t="inlineStr">
        <is>
          <t>8778.jpg</t>
        </is>
      </c>
      <c r="B345" s="45" t="n"/>
      <c r="C345" s="45" t="n"/>
      <c r="D345" s="45" t="n"/>
      <c r="E345" s="45" t="n"/>
      <c r="F345" s="45" t="n">
        <v>0.846611224940742</v>
      </c>
      <c r="G345" s="45" t="n">
        <v>0</v>
      </c>
      <c r="H345" s="45" t="n">
        <v>0.420511118486558</v>
      </c>
      <c r="I345" s="45" t="n">
        <v>0.544</v>
      </c>
      <c r="J345" s="45" t="n"/>
      <c r="K345" s="45" t="n">
        <v>0.953822355654816</v>
      </c>
      <c r="L345" s="45" t="n"/>
      <c r="M345" s="45" t="n"/>
      <c r="N345" s="45" t="n"/>
      <c r="O345" s="45" t="n"/>
      <c r="P345" s="45" t="n">
        <v>0.909416537200069</v>
      </c>
      <c r="Q345" s="45" t="n"/>
      <c r="R345" s="45" t="n">
        <v>0.532352941176471</v>
      </c>
      <c r="S345" s="45" t="n">
        <v>0.81437125748503</v>
      </c>
      <c r="T345" s="45" t="n"/>
      <c r="U345" s="45" t="n">
        <v>0.977308642785799</v>
      </c>
      <c r="V345" s="45" t="n"/>
      <c r="W345" s="45" t="n"/>
      <c r="X345" s="45" t="n"/>
      <c r="Y345" s="45" t="n"/>
      <c r="Z345" s="45" t="n">
        <v>0.9245787995788</v>
      </c>
      <c r="AA345" s="45" t="n">
        <v>0</v>
      </c>
      <c r="AB345" s="45" t="n">
        <v>0.666842105263158</v>
      </c>
      <c r="AC345" s="45" t="n">
        <v>0.621004566210046</v>
      </c>
      <c r="AD345" s="45" t="n"/>
      <c r="AE345" s="45" t="n">
        <v>0.975424145274144</v>
      </c>
      <c r="AF345" s="75">
        <f>IFERROR(AVERAGE(L345:U345),"")</f>
        <v/>
      </c>
      <c r="AG345" s="75">
        <f>IFERROR(AVERAGE(V345:AE345),"")</f>
        <v/>
      </c>
      <c r="AH345" s="75">
        <f>IFERROR(AVERAGE(B345:K345),"")</f>
        <v/>
      </c>
      <c r="AI345" s="45" t="n">
        <v>0.961162567138672</v>
      </c>
      <c r="AJ345" s="47" t="n">
        <v>0</v>
      </c>
    </row>
    <row r="346" ht="15" customHeight="1" s="30">
      <c r="A346" s="73" t="inlineStr">
        <is>
          <t>8781.jpg</t>
        </is>
      </c>
      <c r="B346" s="45" t="n"/>
      <c r="C346" s="45" t="n"/>
      <c r="D346" s="45" t="n"/>
      <c r="E346" s="45" t="n"/>
      <c r="F346" s="45" t="n">
        <v>0.8746268656716421</v>
      </c>
      <c r="G346" s="45" t="n">
        <v>0.906546726636682</v>
      </c>
      <c r="H346" s="45" t="n"/>
      <c r="I346" s="45" t="n">
        <v>0.702127659574468</v>
      </c>
      <c r="J346" s="45" t="n"/>
      <c r="K346" s="45" t="n">
        <v>0.969482883510033</v>
      </c>
      <c r="L346" s="45" t="n"/>
      <c r="M346" s="45" t="n"/>
      <c r="N346" s="45" t="n"/>
      <c r="O346" s="45" t="n"/>
      <c r="P346" s="45" t="n">
        <v>0.938950826735606</v>
      </c>
      <c r="Q346" s="45" t="n">
        <v>0.921279837480955</v>
      </c>
      <c r="R346" s="45" t="n"/>
      <c r="S346" s="45" t="n">
        <v>0.814814814814815</v>
      </c>
      <c r="T346" s="45" t="n"/>
      <c r="U346" s="45" t="n">
        <v>0.985738608103455</v>
      </c>
      <c r="V346" s="45" t="n"/>
      <c r="W346" s="45" t="n"/>
      <c r="X346" s="45" t="n"/>
      <c r="Y346" s="45" t="n"/>
      <c r="Z346" s="45" t="n">
        <v>0.927363157614767</v>
      </c>
      <c r="AA346" s="45" t="n">
        <v>0.982665222101842</v>
      </c>
      <c r="AB346" s="45" t="n"/>
      <c r="AC346" s="45" t="n">
        <v>0.835443037974684</v>
      </c>
      <c r="AD346" s="45" t="n"/>
      <c r="AE346" s="45" t="n">
        <v>0.983274496708329</v>
      </c>
      <c r="AF346" s="75">
        <f>IFERROR(AVERAGE(L346:U346),"")</f>
        <v/>
      </c>
      <c r="AG346" s="75">
        <f>IFERROR(AVERAGE(V346:AE346),"")</f>
        <v/>
      </c>
      <c r="AH346" s="75">
        <f>IFERROR(AVERAGE(B346:K346),"")</f>
        <v/>
      </c>
      <c r="AI346" s="45" t="n">
        <v>0.975131988525391</v>
      </c>
      <c r="AJ346" s="47" t="n">
        <v>0</v>
      </c>
    </row>
    <row r="347" ht="15" customHeight="1" s="30">
      <c r="A347" s="73" t="inlineStr">
        <is>
          <t>8784.jpg</t>
        </is>
      </c>
      <c r="B347" s="45" t="n">
        <v>0.845314360224503</v>
      </c>
      <c r="C347" s="45" t="n"/>
      <c r="D347" s="45" t="n"/>
      <c r="E347" s="45" t="n"/>
      <c r="F347" s="45" t="n"/>
      <c r="G347" s="45" t="n">
        <v>0</v>
      </c>
      <c r="H347" s="45" t="n">
        <v>0</v>
      </c>
      <c r="I347" s="45" t="n"/>
      <c r="J347" s="45" t="n"/>
      <c r="K347" s="45" t="n">
        <v>0.97126244910878</v>
      </c>
      <c r="L347" s="45" t="n">
        <v>0.961471498581377</v>
      </c>
      <c r="M347" s="45" t="n"/>
      <c r="N347" s="45" t="n"/>
      <c r="O347" s="45" t="n"/>
      <c r="P347" s="45" t="n"/>
      <c r="Q347" s="45" t="n">
        <v>0</v>
      </c>
      <c r="R347" s="45" t="n">
        <v>0</v>
      </c>
      <c r="S347" s="45" t="n"/>
      <c r="T347" s="45" t="n"/>
      <c r="U347" s="45" t="n">
        <v>0.988622572146044</v>
      </c>
      <c r="V347" s="45" t="n">
        <v>0.874952322272101</v>
      </c>
      <c r="W347" s="45" t="n"/>
      <c r="X347" s="45" t="n"/>
      <c r="Y347" s="45" t="n"/>
      <c r="Z347" s="45" t="n"/>
      <c r="AA347" s="45" t="n"/>
      <c r="AB347" s="45" t="n"/>
      <c r="AC347" s="45" t="n"/>
      <c r="AD347" s="45" t="n"/>
      <c r="AE347" s="45" t="n">
        <v>0.982241593257944</v>
      </c>
      <c r="AF347" s="75">
        <f>IFERROR(AVERAGE(L347:U347),"")</f>
        <v/>
      </c>
      <c r="AG347" s="75">
        <f>IFERROR(AVERAGE(V347:AE347),"")</f>
        <v/>
      </c>
      <c r="AH347" s="75">
        <f>IFERROR(AVERAGE(B347:K347),"")</f>
        <v/>
      </c>
      <c r="AI347" s="45" t="n">
        <v>0.968292236328125</v>
      </c>
      <c r="AJ347" s="47" t="n">
        <v>0</v>
      </c>
    </row>
    <row r="348" ht="15" customHeight="1" s="30">
      <c r="A348" s="73" t="inlineStr">
        <is>
          <t>8789.jpg</t>
        </is>
      </c>
      <c r="B348" s="45" t="n">
        <v>0.982980648482532</v>
      </c>
      <c r="C348" s="45" t="n"/>
      <c r="D348" s="45" t="n">
        <v>0.944905486399262</v>
      </c>
      <c r="E348" s="45" t="n"/>
      <c r="F348" s="45" t="n"/>
      <c r="G348" s="45" t="n"/>
      <c r="H348" s="45" t="n">
        <v>0.8505715841045181</v>
      </c>
      <c r="I348" s="45" t="n">
        <v>0.521052631578947</v>
      </c>
      <c r="J348" s="45" t="n"/>
      <c r="K348" s="45" t="n">
        <v>0.954710873861066</v>
      </c>
      <c r="L348" s="45" t="n">
        <v>0.982980648482532</v>
      </c>
      <c r="M348" s="45" t="n"/>
      <c r="N348" s="45" t="n">
        <v>0.953144983141495</v>
      </c>
      <c r="O348" s="45" t="n"/>
      <c r="P348" s="45" t="n"/>
      <c r="Q348" s="45" t="n"/>
      <c r="R348" s="45" t="n">
        <v>0.959177409453653</v>
      </c>
      <c r="S348" s="45" t="n">
        <v>0.522427440633245</v>
      </c>
      <c r="T348" s="45" t="n"/>
      <c r="U348" s="45" t="n">
        <v>0.98256140318588</v>
      </c>
      <c r="V348" s="45" t="n">
        <v>1</v>
      </c>
      <c r="W348" s="45" t="n"/>
      <c r="X348" s="45" t="n">
        <v>0.99093436480116</v>
      </c>
      <c r="Y348" s="45" t="n"/>
      <c r="Z348" s="45" t="n"/>
      <c r="AA348" s="45" t="n"/>
      <c r="AB348" s="45" t="n">
        <v>0.882519062411748</v>
      </c>
      <c r="AC348" s="45" t="n">
        <v>0.9949748743718591</v>
      </c>
      <c r="AD348" s="45" t="n"/>
      <c r="AE348" s="45" t="n">
        <v>0.971166615124338</v>
      </c>
      <c r="AF348" s="75">
        <f>IFERROR(AVERAGE(L348:U348),"")</f>
        <v/>
      </c>
      <c r="AG348" s="75">
        <f>IFERROR(AVERAGE(V348:AE348),"")</f>
        <v/>
      </c>
      <c r="AH348" s="75">
        <f>IFERROR(AVERAGE(B348:K348),"")</f>
        <v/>
      </c>
      <c r="AI348" s="45" t="n">
        <v>0.979682922363281</v>
      </c>
      <c r="AJ348" s="47" t="n">
        <v>0</v>
      </c>
    </row>
    <row r="349" ht="15" customHeight="1" s="30">
      <c r="A349" s="73" t="inlineStr">
        <is>
          <t>8810.jpg</t>
        </is>
      </c>
      <c r="B349" s="45" t="n"/>
      <c r="C349" s="45" t="n"/>
      <c r="D349" s="45" t="n">
        <v>0.774391491102475</v>
      </c>
      <c r="E349" s="45" t="n"/>
      <c r="F349" s="45" t="n"/>
      <c r="G349" s="45" t="n"/>
      <c r="H349" s="45" t="n">
        <v>0.738968365907717</v>
      </c>
      <c r="I349" s="45" t="n"/>
      <c r="J349" s="45" t="n">
        <v>0.830315789473684</v>
      </c>
      <c r="K349" s="45" t="n">
        <v>0.98433834634789</v>
      </c>
      <c r="L349" s="45" t="n"/>
      <c r="M349" s="45" t="n"/>
      <c r="N349" s="45" t="n">
        <v>0.945318352059925</v>
      </c>
      <c r="O349" s="45" t="n"/>
      <c r="P349" s="45" t="n"/>
      <c r="Q349" s="45" t="n"/>
      <c r="R349" s="45" t="n">
        <v>0.785920925747348</v>
      </c>
      <c r="S349" s="45" t="n"/>
      <c r="T349" s="45" t="n">
        <v>0.980606663351566</v>
      </c>
      <c r="U349" s="45" t="n">
        <v>0.992941510160254</v>
      </c>
      <c r="V349" s="45" t="n"/>
      <c r="W349" s="45" t="n"/>
      <c r="X349" s="45" t="n">
        <v>0.810706638115632</v>
      </c>
      <c r="Y349" s="45" t="n"/>
      <c r="Z349" s="45" t="n"/>
      <c r="AA349" s="45" t="n"/>
      <c r="AB349" s="45" t="n">
        <v>0.925201816347124</v>
      </c>
      <c r="AC349" s="45" t="n"/>
      <c r="AD349" s="45" t="n">
        <v>0.844178082191781</v>
      </c>
      <c r="AE349" s="45" t="n">
        <v>0.991274624812912</v>
      </c>
      <c r="AF349" s="75">
        <f>IFERROR(AVERAGE(L349:U349),"")</f>
        <v/>
      </c>
      <c r="AG349" s="75">
        <f>IFERROR(AVERAGE(V349:AE349),"")</f>
        <v/>
      </c>
      <c r="AH349" s="75">
        <f>IFERROR(AVERAGE(B349:K349),"")</f>
        <v/>
      </c>
      <c r="AI349" s="45" t="n">
        <v>0.984748840332031</v>
      </c>
      <c r="AJ349" s="47" t="n">
        <v>0</v>
      </c>
    </row>
    <row r="350" ht="15" customHeight="1" s="30">
      <c r="A350" s="73" t="inlineStr">
        <is>
          <t>8812.jpg</t>
        </is>
      </c>
      <c r="B350" s="45" t="n"/>
      <c r="C350" s="45" t="n"/>
      <c r="D350" s="45" t="n">
        <v>0.822018135317368</v>
      </c>
      <c r="E350" s="45" t="n"/>
      <c r="F350" s="45" t="n"/>
      <c r="G350" s="45" t="n"/>
      <c r="H350" s="45" t="n">
        <v>0.619474196689387</v>
      </c>
      <c r="I350" s="45" t="n"/>
      <c r="J350" s="45" t="n">
        <v>0</v>
      </c>
      <c r="K350" s="45" t="n">
        <v>0.973835700751862</v>
      </c>
      <c r="L350" s="45" t="n"/>
      <c r="M350" s="45" t="n"/>
      <c r="N350" s="45" t="n">
        <v>0.910272914521112</v>
      </c>
      <c r="O350" s="45" t="n"/>
      <c r="P350" s="45" t="n"/>
      <c r="Q350" s="45" t="n"/>
      <c r="R350" s="45" t="n">
        <v>0.752988519351403</v>
      </c>
      <c r="S350" s="45" t="n"/>
      <c r="T350" s="45" t="n">
        <v>0</v>
      </c>
      <c r="U350" s="45" t="n">
        <v>0.989669100512661</v>
      </c>
      <c r="V350" s="45" t="n"/>
      <c r="W350" s="45" t="n"/>
      <c r="X350" s="45" t="n">
        <v>0.89449715370019</v>
      </c>
      <c r="Y350" s="45" t="n"/>
      <c r="Z350" s="45" t="n"/>
      <c r="AA350" s="45" t="n"/>
      <c r="AB350" s="45" t="n">
        <v>0.777465477208848</v>
      </c>
      <c r="AC350" s="45" t="n"/>
      <c r="AD350" s="45" t="n"/>
      <c r="AE350" s="45" t="n">
        <v>0.983837012712553</v>
      </c>
      <c r="AF350" s="75">
        <f>IFERROR(AVERAGE(L350:U350),"")</f>
        <v/>
      </c>
      <c r="AG350" s="75">
        <f>IFERROR(AVERAGE(V350:AE350),"")</f>
        <v/>
      </c>
      <c r="AH350" s="75">
        <f>IFERROR(AVERAGE(B350:K350),"")</f>
        <v/>
      </c>
      <c r="AI350" s="45" t="n">
        <v>0.974700927734375</v>
      </c>
      <c r="AJ350" s="47" t="n">
        <v>0</v>
      </c>
    </row>
    <row r="351" ht="15" customHeight="1" s="30">
      <c r="A351" s="73" t="inlineStr">
        <is>
          <t>8814.jpg</t>
        </is>
      </c>
      <c r="B351" s="45" t="n"/>
      <c r="C351" s="45" t="n"/>
      <c r="D351" s="45" t="n">
        <v>0.827330758925053</v>
      </c>
      <c r="E351" s="45" t="n"/>
      <c r="F351" s="45" t="n"/>
      <c r="G351" s="45" t="n"/>
      <c r="H351" s="45" t="n">
        <v>0.562215597050055</v>
      </c>
      <c r="I351" s="45" t="n"/>
      <c r="J351" s="45" t="n">
        <v>0.840126382306477</v>
      </c>
      <c r="K351" s="45" t="n">
        <v>0.978156843564034</v>
      </c>
      <c r="L351" s="45" t="n"/>
      <c r="M351" s="45" t="n"/>
      <c r="N351" s="45" t="n">
        <v>0.95845886971606</v>
      </c>
      <c r="O351" s="45" t="n"/>
      <c r="P351" s="45" t="n"/>
      <c r="Q351" s="45" t="n"/>
      <c r="R351" s="45" t="n">
        <v>0.72766043866775</v>
      </c>
      <c r="S351" s="45" t="n"/>
      <c r="T351" s="45" t="n">
        <v>0.954072479368497</v>
      </c>
      <c r="U351" s="45" t="n">
        <v>0.985629209791359</v>
      </c>
      <c r="V351" s="45" t="n"/>
      <c r="W351" s="45" t="n"/>
      <c r="X351" s="45" t="n">
        <v>0.858100376001308</v>
      </c>
      <c r="Y351" s="45" t="n"/>
      <c r="Z351" s="45" t="n"/>
      <c r="AA351" s="45" t="n"/>
      <c r="AB351" s="45" t="n">
        <v>0.712042925278219</v>
      </c>
      <c r="AC351" s="45" t="n"/>
      <c r="AD351" s="45" t="n">
        <v>0.875535067500823</v>
      </c>
      <c r="AE351" s="45" t="n">
        <v>0.99230899640673</v>
      </c>
      <c r="AF351" s="75">
        <f>IFERROR(AVERAGE(L351:U351),"")</f>
        <v/>
      </c>
      <c r="AG351" s="75">
        <f>IFERROR(AVERAGE(V351:AE351),"")</f>
        <v/>
      </c>
      <c r="AH351" s="75">
        <f>IFERROR(AVERAGE(B351:K351),"")</f>
        <v/>
      </c>
      <c r="AI351" s="45" t="n">
        <v>0.979312896728516</v>
      </c>
      <c r="AJ351" s="47" t="n">
        <v>0</v>
      </c>
    </row>
    <row r="352" ht="15" customHeight="1" s="30">
      <c r="A352" s="73" t="inlineStr">
        <is>
          <t>8815.jpg</t>
        </is>
      </c>
      <c r="B352" s="45" t="n">
        <v>0</v>
      </c>
      <c r="C352" s="45" t="n"/>
      <c r="D352" s="45" t="n">
        <v>0.812729273661042</v>
      </c>
      <c r="E352" s="45" t="n"/>
      <c r="F352" s="45" t="n">
        <v>0</v>
      </c>
      <c r="G352" s="45" t="n"/>
      <c r="H352" s="45" t="n">
        <v>0.7345545977011489</v>
      </c>
      <c r="I352" s="45" t="n">
        <v>0.340764331210191</v>
      </c>
      <c r="J352" s="45" t="n">
        <v>0.721452460582895</v>
      </c>
      <c r="K352" s="45" t="n">
        <v>0.98025326182924</v>
      </c>
      <c r="L352" s="45" t="n">
        <v>0</v>
      </c>
      <c r="M352" s="45" t="n"/>
      <c r="N352" s="45" t="n">
        <v>0.943368107302534</v>
      </c>
      <c r="O352" s="45" t="n"/>
      <c r="P352" s="45" t="n">
        <v>0</v>
      </c>
      <c r="Q352" s="45" t="n"/>
      <c r="R352" s="45" t="n">
        <v>0.853862212943633</v>
      </c>
      <c r="S352" s="45" t="n">
        <v>0.404282115869018</v>
      </c>
      <c r="T352" s="45" t="n">
        <v>0.900417412045319</v>
      </c>
      <c r="U352" s="45" t="n">
        <v>0.98938487561368</v>
      </c>
      <c r="V352" s="45" t="n"/>
      <c r="W352" s="45" t="n"/>
      <c r="X352" s="45" t="n">
        <v>0.854415734670266</v>
      </c>
      <c r="Y352" s="45" t="n"/>
      <c r="Z352" s="45" t="n"/>
      <c r="AA352" s="45" t="n"/>
      <c r="AB352" s="45" t="n">
        <v>0.840180772391126</v>
      </c>
      <c r="AC352" s="45" t="n">
        <v>0.6844349680170581</v>
      </c>
      <c r="AD352" s="45" t="n">
        <v>0.784008307372793</v>
      </c>
      <c r="AE352" s="45" t="n">
        <v>0.990672312299907</v>
      </c>
      <c r="AF352" s="75">
        <f>IFERROR(AVERAGE(L352:U352),"")</f>
        <v/>
      </c>
      <c r="AG352" s="75">
        <f>IFERROR(AVERAGE(V352:AE352),"")</f>
        <v/>
      </c>
      <c r="AH352" s="75">
        <f>IFERROR(AVERAGE(B352:K352),"")</f>
        <v/>
      </c>
      <c r="AI352" s="45" t="n">
        <v>0.979022979736328</v>
      </c>
      <c r="AJ352" s="47" t="n">
        <v>0</v>
      </c>
    </row>
    <row r="353" ht="15" customHeight="1" s="30">
      <c r="A353" s="73" t="inlineStr">
        <is>
          <t>8860.jpg</t>
        </is>
      </c>
      <c r="B353" s="45" t="n">
        <v>0</v>
      </c>
      <c r="C353" s="45" t="n"/>
      <c r="D353" s="45" t="n"/>
      <c r="E353" s="45" t="n"/>
      <c r="F353" s="45" t="n"/>
      <c r="G353" s="45" t="n">
        <v>0</v>
      </c>
      <c r="H353" s="45" t="n"/>
      <c r="I353" s="45" t="n"/>
      <c r="J353" s="45" t="n"/>
      <c r="K353" s="45" t="n">
        <v>0.9911879697589649</v>
      </c>
      <c r="L353" s="45" t="n"/>
      <c r="M353" s="45" t="n"/>
      <c r="N353" s="45" t="n"/>
      <c r="O353" s="45" t="n"/>
      <c r="P353" s="45" t="n"/>
      <c r="Q353" s="45" t="n">
        <v>0</v>
      </c>
      <c r="R353" s="45" t="n"/>
      <c r="S353" s="45" t="n"/>
      <c r="T353" s="45" t="n"/>
      <c r="U353" s="45" t="n">
        <v>0.991204367486489</v>
      </c>
      <c r="V353" s="45" t="n">
        <v>0</v>
      </c>
      <c r="W353" s="45" t="n"/>
      <c r="X353" s="45" t="n"/>
      <c r="Y353" s="45" t="n"/>
      <c r="Z353" s="45" t="n"/>
      <c r="AA353" s="45" t="n"/>
      <c r="AB353" s="45" t="n"/>
      <c r="AC353" s="45" t="n"/>
      <c r="AD353" s="45" t="n"/>
      <c r="AE353" s="45" t="n">
        <v>0.999983309967288</v>
      </c>
      <c r="AF353" s="75">
        <f>IFERROR(AVERAGE(L353:U353),"")</f>
        <v/>
      </c>
      <c r="AG353" s="75">
        <f>IFERROR(AVERAGE(V353:AE353),"")</f>
        <v/>
      </c>
      <c r="AH353" s="75">
        <f>IFERROR(AVERAGE(B353:K353),"")</f>
        <v/>
      </c>
      <c r="AI353" s="45" t="n">
        <v>0.685672760009766</v>
      </c>
      <c r="AJ353" s="47" t="n">
        <v>0</v>
      </c>
    </row>
    <row r="354" ht="15" customHeight="1" s="30">
      <c r="A354" s="73" t="inlineStr">
        <is>
          <t>8898.jpg</t>
        </is>
      </c>
      <c r="B354" s="45" t="n"/>
      <c r="C354" s="45" t="n"/>
      <c r="D354" s="45" t="n"/>
      <c r="E354" s="45" t="n"/>
      <c r="F354" s="45" t="n">
        <v>0.882820314956129</v>
      </c>
      <c r="G354" s="45" t="n">
        <v>0.970009717521697</v>
      </c>
      <c r="H354" s="45" t="n">
        <v>0</v>
      </c>
      <c r="I354" s="45" t="n"/>
      <c r="J354" s="45" t="n"/>
      <c r="K354" s="45" t="n">
        <v>0.9725516170967889</v>
      </c>
      <c r="L354" s="45" t="n"/>
      <c r="M354" s="45" t="n"/>
      <c r="N354" s="45" t="n"/>
      <c r="O354" s="45" t="n"/>
      <c r="P354" s="45" t="n">
        <v>0.975832438238453</v>
      </c>
      <c r="Q354" s="45" t="n">
        <v>0.985530929765431</v>
      </c>
      <c r="R354" s="45" t="n"/>
      <c r="S354" s="45" t="n"/>
      <c r="T354" s="45" t="n"/>
      <c r="U354" s="45" t="n">
        <v>0.978306160095865</v>
      </c>
      <c r="V354" s="45" t="n"/>
      <c r="W354" s="45" t="n"/>
      <c r="X354" s="45" t="n"/>
      <c r="Y354" s="45" t="n"/>
      <c r="Z354" s="45" t="n">
        <v>0.90255376344086</v>
      </c>
      <c r="AA354" s="45" t="n">
        <v>0.984023387041947</v>
      </c>
      <c r="AB354" s="45" t="n">
        <v>0</v>
      </c>
      <c r="AC354" s="45" t="n"/>
      <c r="AD354" s="45" t="n"/>
      <c r="AE354" s="45" t="n">
        <v>0.993988198682456</v>
      </c>
      <c r="AF354" s="75">
        <f>IFERROR(AVERAGE(L354:U354),"")</f>
        <v/>
      </c>
      <c r="AG354" s="75">
        <f>IFERROR(AVERAGE(V354:AE354),"")</f>
        <v/>
      </c>
      <c r="AH354" s="75">
        <f>IFERROR(AVERAGE(B354:K354),"")</f>
        <v/>
      </c>
      <c r="AI354" s="45" t="n">
        <v>0.978816986083984</v>
      </c>
      <c r="AJ354" s="47" t="n">
        <v>0</v>
      </c>
    </row>
    <row r="355" ht="15" customHeight="1" s="30">
      <c r="A355" s="73" t="inlineStr">
        <is>
          <t>8902.jpg</t>
        </is>
      </c>
      <c r="B355" s="45" t="n">
        <v>0</v>
      </c>
      <c r="C355" s="45" t="n"/>
      <c r="D355" s="45" t="n">
        <v>0</v>
      </c>
      <c r="E355" s="45" t="n"/>
      <c r="F355" s="45" t="n">
        <v>0.923973334690347</v>
      </c>
      <c r="G355" s="45" t="n">
        <v>0.938306076319638</v>
      </c>
      <c r="H355" s="45" t="n">
        <v>0.535880708294501</v>
      </c>
      <c r="I355" s="45" t="n"/>
      <c r="J355" s="45" t="n"/>
      <c r="K355" s="45" t="n">
        <v>0.973044590643275</v>
      </c>
      <c r="L355" s="45" t="n">
        <v>0</v>
      </c>
      <c r="M355" s="45" t="n"/>
      <c r="N355" s="45" t="n">
        <v>0</v>
      </c>
      <c r="O355" s="45" t="n"/>
      <c r="P355" s="45" t="n">
        <v>0.951924085142078</v>
      </c>
      <c r="Q355" s="45" t="n">
        <v>0.99219683655536</v>
      </c>
      <c r="R355" s="45" t="n">
        <v>0.803072625698324</v>
      </c>
      <c r="S355" s="45" t="n"/>
      <c r="T355" s="45" t="n"/>
      <c r="U355" s="45" t="n">
        <v>0.984034251919997</v>
      </c>
      <c r="V355" s="45" t="n"/>
      <c r="W355" s="45" t="n"/>
      <c r="X355" s="45" t="n"/>
      <c r="Y355" s="45" t="n"/>
      <c r="Z355" s="45" t="n">
        <v>0.96920038432796</v>
      </c>
      <c r="AA355" s="45" t="n">
        <v>0.945281628825933</v>
      </c>
      <c r="AB355" s="45" t="n">
        <v>0.616952789699571</v>
      </c>
      <c r="AC355" s="45" t="n"/>
      <c r="AD355" s="45" t="n"/>
      <c r="AE355" s="45" t="n">
        <v>0.988652891965216</v>
      </c>
      <c r="AF355" s="75">
        <f>IFERROR(AVERAGE(L355:U355),"")</f>
        <v/>
      </c>
      <c r="AG355" s="75">
        <f>IFERROR(AVERAGE(V355:AE355),"")</f>
        <v/>
      </c>
      <c r="AH355" s="75">
        <f>IFERROR(AVERAGE(B355:K355),"")</f>
        <v/>
      </c>
      <c r="AI355" s="45" t="n">
        <v>0.979610443115234</v>
      </c>
      <c r="AJ355" s="47" t="n">
        <v>0</v>
      </c>
    </row>
    <row r="356" ht="15" customHeight="1" s="30">
      <c r="A356" s="73" t="inlineStr">
        <is>
          <t>8912.jpg</t>
        </is>
      </c>
      <c r="B356" s="45" t="n"/>
      <c r="C356" s="45" t="n"/>
      <c r="D356" s="45" t="n"/>
      <c r="E356" s="45" t="n"/>
      <c r="F356" s="45" t="n">
        <v>0.862495693120478</v>
      </c>
      <c r="G356" s="45" t="n">
        <v>0.978274845374537</v>
      </c>
      <c r="H356" s="45" t="n">
        <v>0</v>
      </c>
      <c r="I356" s="45" t="n">
        <v>0.673267326732673</v>
      </c>
      <c r="J356" s="45" t="n"/>
      <c r="K356" s="45" t="n">
        <v>0.963905303373421</v>
      </c>
      <c r="L356" s="45" t="n"/>
      <c r="M356" s="45" t="n"/>
      <c r="N356" s="45" t="n"/>
      <c r="O356" s="45" t="n"/>
      <c r="P356" s="45" t="n">
        <v>0.986632069894239</v>
      </c>
      <c r="Q356" s="45" t="n">
        <v>0.986475611391783</v>
      </c>
      <c r="R356" s="45" t="n">
        <v>0</v>
      </c>
      <c r="S356" s="45" t="n">
        <v>0.693877551020408</v>
      </c>
      <c r="T356" s="45" t="n"/>
      <c r="U356" s="45" t="n">
        <v>0.973674578825556</v>
      </c>
      <c r="V356" s="45" t="n"/>
      <c r="W356" s="45" t="n"/>
      <c r="X356" s="45" t="n"/>
      <c r="Y356" s="45" t="n"/>
      <c r="Z356" s="45" t="n">
        <v>0.872693994944946</v>
      </c>
      <c r="AA356" s="45" t="n">
        <v>0.991573791119899</v>
      </c>
      <c r="AB356" s="45" t="n">
        <v>0</v>
      </c>
      <c r="AC356" s="45" t="n">
        <v>0.957746478873239</v>
      </c>
      <c r="AD356" s="45" t="n"/>
      <c r="AE356" s="45" t="n">
        <v>0.989698110317208</v>
      </c>
      <c r="AF356" s="75">
        <f>IFERROR(AVERAGE(L356:U356),"")</f>
        <v/>
      </c>
      <c r="AG356" s="75">
        <f>IFERROR(AVERAGE(V356:AE356),"")</f>
        <v/>
      </c>
      <c r="AH356" s="75">
        <f>IFERROR(AVERAGE(B356:K356),"")</f>
        <v/>
      </c>
      <c r="AI356" s="45" t="n">
        <v>0.973781585693359</v>
      </c>
      <c r="AJ356" s="47" t="n">
        <v>0</v>
      </c>
    </row>
    <row r="357" ht="15" customHeight="1" s="30">
      <c r="A357" s="73" t="inlineStr">
        <is>
          <t>8919.jpg</t>
        </is>
      </c>
      <c r="B357" s="45" t="n"/>
      <c r="C357" s="45" t="n"/>
      <c r="D357" s="45" t="n"/>
      <c r="E357" s="45" t="n"/>
      <c r="F357" s="45" t="n">
        <v>0.950184028074981</v>
      </c>
      <c r="G357" s="45" t="n">
        <v>0.9762420033770129</v>
      </c>
      <c r="H357" s="45" t="n">
        <v>0.848680351906158</v>
      </c>
      <c r="I357" s="45" t="n"/>
      <c r="J357" s="45" t="n"/>
      <c r="K357" s="45" t="n">
        <v>0.98453428385843</v>
      </c>
      <c r="L357" s="45" t="n"/>
      <c r="M357" s="45" t="n"/>
      <c r="N357" s="45" t="n"/>
      <c r="O357" s="45" t="n"/>
      <c r="P357" s="45" t="n">
        <v>0.960681936191081</v>
      </c>
      <c r="Q357" s="45" t="n">
        <v>0.990254257731461</v>
      </c>
      <c r="R357" s="45" t="n">
        <v>0.870114251352977</v>
      </c>
      <c r="S357" s="45" t="n"/>
      <c r="T357" s="45" t="n"/>
      <c r="U357" s="45" t="n">
        <v>0.994798249087388</v>
      </c>
      <c r="V357" s="45" t="n"/>
      <c r="W357" s="45" t="n"/>
      <c r="X357" s="45" t="n"/>
      <c r="Y357" s="45" t="n"/>
      <c r="Z357" s="45" t="n">
        <v>0.988630291515763</v>
      </c>
      <c r="AA357" s="45" t="n">
        <v>0.985712570536679</v>
      </c>
      <c r="AB357" s="45" t="n">
        <v>0.971793149764943</v>
      </c>
      <c r="AC357" s="45" t="n"/>
      <c r="AD357" s="45" t="n"/>
      <c r="AE357" s="45" t="n">
        <v>0.989628974120999</v>
      </c>
      <c r="AF357" s="75">
        <f>IFERROR(AVERAGE(L357:U357),"")</f>
        <v/>
      </c>
      <c r="AG357" s="75">
        <f>IFERROR(AVERAGE(V357:AE357),"")</f>
        <v/>
      </c>
      <c r="AH357" s="75">
        <f>IFERROR(AVERAGE(B357:K357),"")</f>
        <v/>
      </c>
      <c r="AI357" s="45" t="n">
        <v>0.988777160644531</v>
      </c>
      <c r="AJ357" s="47" t="n">
        <v>0</v>
      </c>
    </row>
    <row r="358" ht="15" customHeight="1" s="30">
      <c r="A358" s="73" t="inlineStr">
        <is>
          <t>8926.jpg</t>
        </is>
      </c>
      <c r="B358" s="45" t="n"/>
      <c r="C358" s="45" t="n"/>
      <c r="D358" s="45" t="n"/>
      <c r="E358" s="45" t="n"/>
      <c r="F358" s="45" t="n">
        <v>0.936269744835966</v>
      </c>
      <c r="G358" s="45" t="n">
        <v>0.9765294076800221</v>
      </c>
      <c r="H358" s="45" t="n">
        <v>0.31335436382755</v>
      </c>
      <c r="I358" s="45" t="n"/>
      <c r="J358" s="45" t="n"/>
      <c r="K358" s="45" t="n">
        <v>0.973249531136271</v>
      </c>
      <c r="L358" s="45" t="n"/>
      <c r="M358" s="45" t="n"/>
      <c r="N358" s="45" t="n"/>
      <c r="O358" s="45" t="n"/>
      <c r="P358" s="45" t="n">
        <v>0.958693623639191</v>
      </c>
      <c r="Q358" s="45" t="n">
        <v>0.992005455101225</v>
      </c>
      <c r="R358" s="45" t="n">
        <v>0.529307282415631</v>
      </c>
      <c r="S358" s="45" t="n"/>
      <c r="T358" s="45" t="n"/>
      <c r="U358" s="45" t="n">
        <v>0.986058479028507</v>
      </c>
      <c r="V358" s="45" t="n"/>
      <c r="W358" s="45" t="n"/>
      <c r="X358" s="45" t="n"/>
      <c r="Y358" s="45" t="n"/>
      <c r="Z358" s="45" t="n">
        <v>0.975626740947075</v>
      </c>
      <c r="AA358" s="45" t="n">
        <v>0.984275482350745</v>
      </c>
      <c r="AB358" s="45" t="n">
        <v>0.434402332361516</v>
      </c>
      <c r="AC358" s="45" t="n"/>
      <c r="AD358" s="45" t="n"/>
      <c r="AE358" s="45" t="n">
        <v>0.986828708566996</v>
      </c>
      <c r="AF358" s="75">
        <f>IFERROR(AVERAGE(L358:U358),"")</f>
        <v/>
      </c>
      <c r="AG358" s="75">
        <f>IFERROR(AVERAGE(V358:AE358),"")</f>
        <v/>
      </c>
      <c r="AH358" s="75">
        <f>IFERROR(AVERAGE(B358:K358),"")</f>
        <v/>
      </c>
      <c r="AI358" s="45" t="n">
        <v>0.980724334716797</v>
      </c>
      <c r="AJ358" s="47" t="n">
        <v>0</v>
      </c>
    </row>
    <row r="359" ht="15" customHeight="1" s="30">
      <c r="A359" s="73" t="inlineStr">
        <is>
          <t>8930.jpg</t>
        </is>
      </c>
      <c r="B359" s="45" t="n"/>
      <c r="C359" s="45" t="n"/>
      <c r="D359" s="45" t="n"/>
      <c r="E359" s="45" t="n"/>
      <c r="F359" s="45" t="n">
        <v>0.836487336344406</v>
      </c>
      <c r="G359" s="45" t="n">
        <v>0.974564709690846</v>
      </c>
      <c r="H359" s="45" t="n">
        <v>0.5914966963516231</v>
      </c>
      <c r="I359" s="45" t="n">
        <v>0.782700421940928</v>
      </c>
      <c r="J359" s="45" t="n"/>
      <c r="K359" s="45" t="n">
        <v>0.9601283811835341</v>
      </c>
      <c r="L359" s="45" t="n"/>
      <c r="M359" s="45" t="n"/>
      <c r="N359" s="45" t="n"/>
      <c r="O359" s="45" t="n"/>
      <c r="P359" s="45" t="n">
        <v>0.944605849312415</v>
      </c>
      <c r="Q359" s="45" t="n">
        <v>0.995770920946936</v>
      </c>
      <c r="R359" s="45" t="n">
        <v>0.649117276166457</v>
      </c>
      <c r="S359" s="45" t="n">
        <v>0.9070904645476769</v>
      </c>
      <c r="T359" s="45" t="n"/>
      <c r="U359" s="45" t="n">
        <v>0.973701682509352</v>
      </c>
      <c r="V359" s="45" t="n"/>
      <c r="W359" s="45" t="n"/>
      <c r="X359" s="45" t="n"/>
      <c r="Y359" s="45" t="n"/>
      <c r="Z359" s="45" t="n">
        <v>0.87963686647027</v>
      </c>
      <c r="AA359" s="45" t="n">
        <v>0.978615213151296</v>
      </c>
      <c r="AB359" s="45" t="n">
        <v>0.869510135135135</v>
      </c>
      <c r="AC359" s="45" t="n">
        <v>0.8509174311926609</v>
      </c>
      <c r="AD359" s="45" t="n"/>
      <c r="AE359" s="45" t="n">
        <v>0.985688993803482</v>
      </c>
      <c r="AF359" s="75">
        <f>IFERROR(AVERAGE(L359:U359),"")</f>
        <v/>
      </c>
      <c r="AG359" s="75">
        <f>IFERROR(AVERAGE(V359:AE359),"")</f>
        <v/>
      </c>
      <c r="AH359" s="75">
        <f>IFERROR(AVERAGE(B359:K359),"")</f>
        <v/>
      </c>
      <c r="AI359" s="45" t="n">
        <v>0.969795227050781</v>
      </c>
      <c r="AJ359" s="47" t="n">
        <v>0</v>
      </c>
    </row>
    <row r="360" ht="15" customHeight="1" s="30">
      <c r="A360" s="73" t="inlineStr">
        <is>
          <t>8934.jpg</t>
        </is>
      </c>
      <c r="B360" s="45" t="n"/>
      <c r="C360" s="45" t="n"/>
      <c r="D360" s="45" t="n"/>
      <c r="E360" s="45" t="n"/>
      <c r="F360" s="45" t="n">
        <v>0.849563969533061</v>
      </c>
      <c r="G360" s="45" t="n">
        <v>0.9739183225535289</v>
      </c>
      <c r="H360" s="45" t="n">
        <v>0</v>
      </c>
      <c r="I360" s="45" t="n">
        <v>0.868098159509202</v>
      </c>
      <c r="J360" s="45" t="n"/>
      <c r="K360" s="45" t="n">
        <v>0.946339199893938</v>
      </c>
      <c r="L360" s="45" t="n"/>
      <c r="M360" s="45" t="n"/>
      <c r="N360" s="45" t="n"/>
      <c r="O360" s="45" t="n"/>
      <c r="P360" s="45" t="n">
        <v>0.941892057275731</v>
      </c>
      <c r="Q360" s="45" t="n">
        <v>0.996535658822124</v>
      </c>
      <c r="R360" s="45" t="n">
        <v>0</v>
      </c>
      <c r="S360" s="45" t="n">
        <v>0.930921052631579</v>
      </c>
      <c r="T360" s="45" t="n"/>
      <c r="U360" s="45" t="n">
        <v>0.972799854629703</v>
      </c>
      <c r="V360" s="45" t="n"/>
      <c r="W360" s="45" t="n"/>
      <c r="X360" s="45" t="n"/>
      <c r="Y360" s="45" t="n"/>
      <c r="Z360" s="45" t="n">
        <v>0.896554134339834</v>
      </c>
      <c r="AA360" s="45" t="n">
        <v>0.977226934070568</v>
      </c>
      <c r="AB360" s="45" t="n"/>
      <c r="AC360" s="45" t="n">
        <v>0.927868852459016</v>
      </c>
      <c r="AD360" s="45" t="n"/>
      <c r="AE360" s="45" t="n">
        <v>0.972060192015252</v>
      </c>
      <c r="AF360" s="75">
        <f>IFERROR(AVERAGE(L360:U360),"")</f>
        <v/>
      </c>
      <c r="AG360" s="75">
        <f>IFERROR(AVERAGE(V360:AE360),"")</f>
        <v/>
      </c>
      <c r="AH360" s="75">
        <f>IFERROR(AVERAGE(B360:K360),"")</f>
        <v/>
      </c>
      <c r="AI360" s="45" t="n">
        <v>0.960487365722656</v>
      </c>
      <c r="AJ360" s="47" t="n">
        <v>0</v>
      </c>
    </row>
    <row r="361" ht="15" customHeight="1" s="30">
      <c r="A361" s="73" t="inlineStr">
        <is>
          <t>8937.jpg</t>
        </is>
      </c>
      <c r="B361" s="45" t="n"/>
      <c r="C361" s="45" t="n"/>
      <c r="D361" s="45" t="n"/>
      <c r="E361" s="45" t="n"/>
      <c r="F361" s="45" t="n">
        <v>0.935475038787989</v>
      </c>
      <c r="G361" s="45" t="n">
        <v>0.825992249741257</v>
      </c>
      <c r="H361" s="45" t="n">
        <v>0.26457399103139</v>
      </c>
      <c r="I361" s="45" t="n">
        <v>0.845574387947269</v>
      </c>
      <c r="J361" s="45" t="n"/>
      <c r="K361" s="45" t="n">
        <v>0.876649917132726</v>
      </c>
      <c r="L361" s="45" t="n"/>
      <c r="M361" s="45" t="n"/>
      <c r="N361" s="45" t="n"/>
      <c r="O361" s="45" t="n"/>
      <c r="P361" s="45" t="n">
        <v>0.953954256730031</v>
      </c>
      <c r="Q361" s="45" t="n">
        <v>0.963852883764693</v>
      </c>
      <c r="R361" s="45" t="n">
        <v>0.552549427679501</v>
      </c>
      <c r="S361" s="45" t="n">
        <v>0.914460285132383</v>
      </c>
      <c r="T361" s="45" t="n"/>
      <c r="U361" s="45" t="n">
        <v>0.906227816305357</v>
      </c>
      <c r="V361" s="45" t="n"/>
      <c r="W361" s="45" t="n"/>
      <c r="X361" s="45" t="n"/>
      <c r="Y361" s="45" t="n"/>
      <c r="Z361" s="45" t="n">
        <v>0.979712776888337</v>
      </c>
      <c r="AA361" s="45" t="n">
        <v>0.852396920019871</v>
      </c>
      <c r="AB361" s="45" t="n">
        <v>0.336715282181357</v>
      </c>
      <c r="AC361" s="45" t="n">
        <v>0.918200408997955</v>
      </c>
      <c r="AD361" s="45" t="n"/>
      <c r="AE361" s="45" t="n">
        <v>0.964105468778366</v>
      </c>
      <c r="AF361" s="75">
        <f>IFERROR(AVERAGE(L361:U361),"")</f>
        <v/>
      </c>
      <c r="AG361" s="75">
        <f>IFERROR(AVERAGE(V361:AE361),"")</f>
        <v/>
      </c>
      <c r="AH361" s="75">
        <f>IFERROR(AVERAGE(B361:K361),"")</f>
        <v/>
      </c>
      <c r="AI361" s="45" t="n">
        <v>0.928424835205078</v>
      </c>
      <c r="AJ361" s="47" t="n">
        <v>0</v>
      </c>
    </row>
    <row r="362" ht="15" customHeight="1" s="30">
      <c r="A362" s="73" t="inlineStr">
        <is>
          <t>8942.jpg</t>
        </is>
      </c>
      <c r="B362" s="45" t="n"/>
      <c r="C362" s="45" t="n"/>
      <c r="D362" s="45" t="n"/>
      <c r="E362" s="45" t="n"/>
      <c r="F362" s="45" t="n">
        <v>0.929186466837253</v>
      </c>
      <c r="G362" s="45" t="n">
        <v>0.955763589301122</v>
      </c>
      <c r="H362" s="45" t="n"/>
      <c r="I362" s="45" t="n">
        <v>0.827642276422764</v>
      </c>
      <c r="J362" s="45" t="n"/>
      <c r="K362" s="45" t="n">
        <v>0.918972200264759</v>
      </c>
      <c r="L362" s="45" t="n"/>
      <c r="M362" s="45" t="n"/>
      <c r="N362" s="45" t="n"/>
      <c r="O362" s="45" t="n"/>
      <c r="P362" s="45" t="n">
        <v>0.974879618187242</v>
      </c>
      <c r="Q362" s="45" t="n">
        <v>0.960845541995195</v>
      </c>
      <c r="R362" s="45" t="n"/>
      <c r="S362" s="45" t="n">
        <v>0.922101449275362</v>
      </c>
      <c r="T362" s="45" t="n"/>
      <c r="U362" s="45" t="n">
        <v>0.971037827937728</v>
      </c>
      <c r="V362" s="45" t="n"/>
      <c r="W362" s="45" t="n"/>
      <c r="X362" s="45" t="n"/>
      <c r="Y362" s="45" t="n"/>
      <c r="Z362" s="45" t="n">
        <v>0.951979693319185</v>
      </c>
      <c r="AA362" s="45" t="n">
        <v>0.994496615373566</v>
      </c>
      <c r="AB362" s="45" t="n"/>
      <c r="AC362" s="45" t="n">
        <v>0.88986013986014</v>
      </c>
      <c r="AD362" s="45" t="n"/>
      <c r="AE362" s="45" t="n">
        <v>0.94487040137873</v>
      </c>
      <c r="AF362" s="75">
        <f>IFERROR(AVERAGE(L362:U362),"")</f>
        <v/>
      </c>
      <c r="AG362" s="75">
        <f>IFERROR(AVERAGE(V362:AE362),"")</f>
        <v/>
      </c>
      <c r="AH362" s="75">
        <f>IFERROR(AVERAGE(B362:K362),"")</f>
        <v/>
      </c>
      <c r="AI362" s="45" t="n">
        <v>0.967140197753906</v>
      </c>
      <c r="AJ362" s="47" t="n">
        <v>0</v>
      </c>
    </row>
    <row r="363" ht="15" customHeight="1" s="30">
      <c r="A363" s="73" t="inlineStr">
        <is>
          <t>8945.jpg</t>
        </is>
      </c>
      <c r="B363" s="45" t="n"/>
      <c r="C363" s="45" t="n"/>
      <c r="D363" s="45" t="n">
        <v>0.881712283360167</v>
      </c>
      <c r="E363" s="45" t="n"/>
      <c r="F363" s="45" t="n">
        <v>0.8971867631514761</v>
      </c>
      <c r="G363" s="45" t="n">
        <v>0.946902654867257</v>
      </c>
      <c r="H363" s="45" t="n">
        <v>0.765639465679143</v>
      </c>
      <c r="I363" s="45" t="n">
        <v>0.748753117206983</v>
      </c>
      <c r="J363" s="45" t="n"/>
      <c r="K363" s="45" t="n">
        <v>0.931428340799935</v>
      </c>
      <c r="L363" s="45" t="n"/>
      <c r="M363" s="45" t="n"/>
      <c r="N363" s="45" t="n">
        <v>0.975890985324948</v>
      </c>
      <c r="O363" s="45" t="n"/>
      <c r="P363" s="45" t="n">
        <v>0.955512740025545</v>
      </c>
      <c r="Q363" s="45" t="n">
        <v>0.954383282364934</v>
      </c>
      <c r="R363" s="45" t="n">
        <v>0.862099776619509</v>
      </c>
      <c r="S363" s="45" t="n">
        <v>0.823731138545953</v>
      </c>
      <c r="T363" s="45" t="n"/>
      <c r="U363" s="45" t="n">
        <v>0.966267044423665</v>
      </c>
      <c r="V363" s="45" t="n"/>
      <c r="W363" s="45" t="n"/>
      <c r="X363" s="45" t="n">
        <v>0.901345725626876</v>
      </c>
      <c r="Y363" s="45" t="n"/>
      <c r="Z363" s="45" t="n">
        <v>0.936297490507202</v>
      </c>
      <c r="AA363" s="45" t="n">
        <v>0.9917902542372879</v>
      </c>
      <c r="AB363" s="45" t="n">
        <v>0.8724943481537299</v>
      </c>
      <c r="AC363" s="45" t="n">
        <v>0.891610987379362</v>
      </c>
      <c r="AD363" s="45" t="n"/>
      <c r="AE363" s="45" t="n">
        <v>0.962733264732875</v>
      </c>
      <c r="AF363" s="75">
        <f>IFERROR(AVERAGE(L363:U363),"")</f>
        <v/>
      </c>
      <c r="AG363" s="75">
        <f>IFERROR(AVERAGE(V363:AE363),"")</f>
        <v/>
      </c>
      <c r="AH363" s="75">
        <f>IFERROR(AVERAGE(B363:K363),"")</f>
        <v/>
      </c>
      <c r="AI363" s="45" t="n">
        <v>0.958770751953125</v>
      </c>
      <c r="AJ363" s="47" t="n">
        <v>0</v>
      </c>
    </row>
    <row r="364" ht="15" customHeight="1" s="30">
      <c r="A364" s="73" t="inlineStr">
        <is>
          <t>8948.jpg</t>
        </is>
      </c>
      <c r="B364" s="45" t="n"/>
      <c r="C364" s="45" t="n"/>
      <c r="D364" s="45" t="n">
        <v>0.8777679734442621</v>
      </c>
      <c r="E364" s="45" t="n"/>
      <c r="F364" s="45" t="n">
        <v>0.88961204047389</v>
      </c>
      <c r="G364" s="45" t="n">
        <v>0.865650765606596</v>
      </c>
      <c r="H364" s="45" t="n">
        <v>0.848096331268679</v>
      </c>
      <c r="I364" s="45" t="n">
        <v>0.636842105263158</v>
      </c>
      <c r="J364" s="45" t="n"/>
      <c r="K364" s="45" t="n">
        <v>0.941024781155683</v>
      </c>
      <c r="L364" s="45" t="n"/>
      <c r="M364" s="45" t="n"/>
      <c r="N364" s="45" t="n">
        <v>0.93350612208419</v>
      </c>
      <c r="O364" s="45" t="n"/>
      <c r="P364" s="45" t="n">
        <v>0.954500818330606</v>
      </c>
      <c r="Q364" s="45" t="n">
        <v>0.885133609333835</v>
      </c>
      <c r="R364" s="45" t="n">
        <v>0.9029282914457</v>
      </c>
      <c r="S364" s="45" t="n">
        <v>0.829903978052126</v>
      </c>
      <c r="T364" s="45" t="n"/>
      <c r="U364" s="45" t="n">
        <v>0.97220546333188</v>
      </c>
      <c r="V364" s="45" t="n"/>
      <c r="W364" s="45" t="n"/>
      <c r="X364" s="45" t="n">
        <v>0.93630944377213</v>
      </c>
      <c r="Y364" s="45" t="n"/>
      <c r="Z364" s="45" t="n">
        <v>0.929007593054744</v>
      </c>
      <c r="AA364" s="45" t="n">
        <v>0.975203184607729</v>
      </c>
      <c r="AB364" s="45" t="n">
        <v>0.9331808216566581</v>
      </c>
      <c r="AC364" s="45" t="n">
        <v>0.732445520581114</v>
      </c>
      <c r="AD364" s="45" t="n"/>
      <c r="AE364" s="45" t="n">
        <v>0.967041194051135</v>
      </c>
      <c r="AF364" s="75">
        <f>IFERROR(AVERAGE(L364:U364),"")</f>
        <v/>
      </c>
      <c r="AG364" s="75">
        <f>IFERROR(AVERAGE(V364:AE364),"")</f>
        <v/>
      </c>
      <c r="AH364" s="75">
        <f>IFERROR(AVERAGE(B364:K364),"")</f>
        <v/>
      </c>
      <c r="AI364" s="45" t="n">
        <v>0.9558868408203131</v>
      </c>
      <c r="AJ364" s="47" t="n">
        <v>0</v>
      </c>
    </row>
    <row r="365" ht="15" customHeight="1" s="30">
      <c r="A365" s="73" t="inlineStr">
        <is>
          <t>8949.jpg</t>
        </is>
      </c>
      <c r="B365" s="45" t="n"/>
      <c r="C365" s="45" t="n"/>
      <c r="D365" s="45" t="n">
        <v>0.8900789541806891</v>
      </c>
      <c r="E365" s="45" t="n"/>
      <c r="F365" s="45" t="n">
        <v>0.854791980530768</v>
      </c>
      <c r="G365" s="45" t="n">
        <v>0.866467847157502</v>
      </c>
      <c r="H365" s="45" t="n">
        <v>0.868013906996958</v>
      </c>
      <c r="I365" s="45" t="n">
        <v>0.560490045941807</v>
      </c>
      <c r="J365" s="45" t="n"/>
      <c r="K365" s="45" t="n">
        <v>0.941331063285209</v>
      </c>
      <c r="L365" s="45" t="n"/>
      <c r="M365" s="45" t="n"/>
      <c r="N365" s="45" t="n">
        <v>0.935262316820237</v>
      </c>
      <c r="O365" s="45" t="n"/>
      <c r="P365" s="45" t="n">
        <v>0.933493640448016</v>
      </c>
      <c r="Q365" s="45" t="n">
        <v>0.869157131104629</v>
      </c>
      <c r="R365" s="45" t="n">
        <v>0.945736067048629</v>
      </c>
      <c r="S365" s="45" t="n">
        <v>0.680297397769517</v>
      </c>
      <c r="T365" s="45" t="n"/>
      <c r="U365" s="45" t="n">
        <v>0.977648029145973</v>
      </c>
      <c r="V365" s="45" t="n"/>
      <c r="W365" s="45" t="n"/>
      <c r="X365" s="45" t="n">
        <v>0.94851724137931</v>
      </c>
      <c r="Y365" s="45" t="n"/>
      <c r="Z365" s="45" t="n">
        <v>0.910223977293762</v>
      </c>
      <c r="AA365" s="45" t="n">
        <v>0.996441738832204</v>
      </c>
      <c r="AB365" s="45" t="n">
        <v>0.913510793999268</v>
      </c>
      <c r="AC365" s="45" t="n">
        <v>0.760914760914761</v>
      </c>
      <c r="AD365" s="45" t="n"/>
      <c r="AE365" s="45" t="n">
        <v>0.96203566382119</v>
      </c>
      <c r="AF365" s="75">
        <f>IFERROR(AVERAGE(L365:U365),"")</f>
        <v/>
      </c>
      <c r="AG365" s="75">
        <f>IFERROR(AVERAGE(V365:AE365),"")</f>
        <v/>
      </c>
      <c r="AH365" s="75">
        <f>IFERROR(AVERAGE(B365:K365),"")</f>
        <v/>
      </c>
      <c r="AI365" s="45" t="n">
        <v>0.955982208251953</v>
      </c>
      <c r="AJ365" s="47" t="n">
        <v>0</v>
      </c>
    </row>
    <row r="366" ht="15" customHeight="1" s="30">
      <c r="A366" s="73" t="inlineStr">
        <is>
          <t>8959.jpg</t>
        </is>
      </c>
      <c r="B366" s="45" t="n"/>
      <c r="C366" s="45" t="n"/>
      <c r="D366" s="45" t="n"/>
      <c r="E366" s="45" t="n"/>
      <c r="F366" s="45" t="n">
        <v>0.916531341344592</v>
      </c>
      <c r="G366" s="45" t="n">
        <v>0.916421052631579</v>
      </c>
      <c r="H366" s="45" t="n"/>
      <c r="I366" s="45" t="n"/>
      <c r="J366" s="45" t="n"/>
      <c r="K366" s="45" t="n">
        <v>0.887117570209968</v>
      </c>
      <c r="L366" s="45" t="n"/>
      <c r="M366" s="45" t="n"/>
      <c r="N366" s="45" t="n"/>
      <c r="O366" s="45" t="n"/>
      <c r="P366" s="45" t="n">
        <v>0.973562842720703</v>
      </c>
      <c r="Q366" s="45" t="n">
        <v>0.945775653361475</v>
      </c>
      <c r="R366" s="45" t="n"/>
      <c r="S366" s="45" t="n"/>
      <c r="T366" s="45" t="n"/>
      <c r="U366" s="45" t="n">
        <v>0.940923416896102</v>
      </c>
      <c r="V366" s="45" t="n"/>
      <c r="W366" s="45" t="n"/>
      <c r="X366" s="45" t="n"/>
      <c r="Y366" s="45" t="n"/>
      <c r="Z366" s="45" t="n">
        <v>0.939924620913314</v>
      </c>
      <c r="AA366" s="45" t="n">
        <v>0.967241215122369</v>
      </c>
      <c r="AB366" s="45" t="n"/>
      <c r="AC366" s="45" t="n"/>
      <c r="AD366" s="45" t="n"/>
      <c r="AE366" s="45" t="n">
        <v>0.9394429876119</v>
      </c>
      <c r="AF366" s="75">
        <f>IFERROR(AVERAGE(L366:U366),"")</f>
        <v/>
      </c>
      <c r="AG366" s="75">
        <f>IFERROR(AVERAGE(V366:AE366),"")</f>
        <v/>
      </c>
      <c r="AH366" s="75">
        <f>IFERROR(AVERAGE(B366:K366),"")</f>
        <v/>
      </c>
      <c r="AI366" s="45" t="n">
        <v>0.9495697021484381</v>
      </c>
      <c r="AJ366" s="47" t="n">
        <v>0</v>
      </c>
    </row>
    <row r="367" ht="15" customHeight="1" s="30">
      <c r="A367" s="73" t="inlineStr">
        <is>
          <t>8961.jpg</t>
        </is>
      </c>
      <c r="B367" s="45" t="n">
        <v>0</v>
      </c>
      <c r="C367" s="45" t="n"/>
      <c r="D367" s="45" t="n"/>
      <c r="E367" s="45" t="n"/>
      <c r="F367" s="45" t="n">
        <v>0.904063786008231</v>
      </c>
      <c r="G367" s="45" t="n">
        <v>0.9827838381376069</v>
      </c>
      <c r="H367" s="45" t="n">
        <v>0.813400576368876</v>
      </c>
      <c r="I367" s="45" t="n"/>
      <c r="J367" s="45" t="n"/>
      <c r="K367" s="45" t="n">
        <v>0.917785153717377</v>
      </c>
      <c r="L367" s="45" t="n">
        <v>0</v>
      </c>
      <c r="M367" s="45" t="n"/>
      <c r="N367" s="45" t="n"/>
      <c r="O367" s="45" t="n"/>
      <c r="P367" s="45" t="n">
        <v>0.96004305774236</v>
      </c>
      <c r="Q367" s="45" t="n">
        <v>0.9970015455950541</v>
      </c>
      <c r="R367" s="45" t="n">
        <v>0.836606150426084</v>
      </c>
      <c r="S367" s="45" t="n"/>
      <c r="T367" s="45" t="n"/>
      <c r="U367" s="45" t="n">
        <v>0.947056767686854</v>
      </c>
      <c r="V367" s="45" t="n"/>
      <c r="W367" s="45" t="n"/>
      <c r="X367" s="45" t="n"/>
      <c r="Y367" s="45" t="n"/>
      <c r="Z367" s="45" t="n">
        <v>0.939411089625682</v>
      </c>
      <c r="AA367" s="45" t="n">
        <v>0.98569725864124</v>
      </c>
      <c r="AB367" s="45" t="n">
        <v>0.967023554603854</v>
      </c>
      <c r="AC367" s="45" t="n"/>
      <c r="AD367" s="45" t="n"/>
      <c r="AE367" s="45" t="n">
        <v>0.96742046370248</v>
      </c>
      <c r="AF367" s="75">
        <f>IFERROR(AVERAGE(L367:U367),"")</f>
        <v/>
      </c>
      <c r="AG367" s="75">
        <f>IFERROR(AVERAGE(V367:AE367),"")</f>
        <v/>
      </c>
      <c r="AH367" s="75">
        <f>IFERROR(AVERAGE(B367:K367),"")</f>
        <v/>
      </c>
      <c r="AI367" s="45" t="n">
        <v>0.967464447021484</v>
      </c>
      <c r="AJ367" s="47" t="n">
        <v>0</v>
      </c>
    </row>
    <row r="368" ht="15" customHeight="1" s="30">
      <c r="A368" s="73" t="inlineStr">
        <is>
          <t>8972.jpg</t>
        </is>
      </c>
      <c r="B368" s="45" t="n"/>
      <c r="C368" s="45" t="n"/>
      <c r="D368" s="45" t="n">
        <v>0</v>
      </c>
      <c r="E368" s="45" t="n"/>
      <c r="F368" s="45" t="n">
        <v>0.838406593406593</v>
      </c>
      <c r="G368" s="45" t="n">
        <v>0.980883347830289</v>
      </c>
      <c r="H368" s="45" t="n">
        <v>0.5451348182883941</v>
      </c>
      <c r="I368" s="45" t="n">
        <v>0.7650602409638551</v>
      </c>
      <c r="J368" s="45" t="n"/>
      <c r="K368" s="45" t="n">
        <v>0.918267243298248</v>
      </c>
      <c r="L368" s="45" t="n"/>
      <c r="M368" s="45" t="n"/>
      <c r="N368" s="45" t="n">
        <v>0</v>
      </c>
      <c r="O368" s="45" t="n"/>
      <c r="P368" s="45" t="n">
        <v>0.935675741967133</v>
      </c>
      <c r="Q368" s="45" t="n">
        <v>0.984718678141403</v>
      </c>
      <c r="R368" s="45" t="n">
        <v>0.814360770577933</v>
      </c>
      <c r="S368" s="45" t="n">
        <v>0.861016949152542</v>
      </c>
      <c r="T368" s="45" t="n"/>
      <c r="U368" s="45" t="n">
        <v>0.9533505558811149</v>
      </c>
      <c r="V368" s="45" t="n"/>
      <c r="W368" s="45" t="n"/>
      <c r="X368" s="45" t="n"/>
      <c r="Y368" s="45" t="n"/>
      <c r="Z368" s="45" t="n">
        <v>0.889685732610343</v>
      </c>
      <c r="AA368" s="45" t="n">
        <v>0.996044948231022</v>
      </c>
      <c r="AB368" s="45" t="n">
        <v>0.622489959839357</v>
      </c>
      <c r="AC368" s="45" t="n">
        <v>0.872852233676976</v>
      </c>
      <c r="AD368" s="45" t="n"/>
      <c r="AE368" s="45" t="n">
        <v>0.961468668841979</v>
      </c>
      <c r="AF368" s="75">
        <f>IFERROR(AVERAGE(L368:U368),"")</f>
        <v/>
      </c>
      <c r="AG368" s="75">
        <f>IFERROR(AVERAGE(V368:AE368),"")</f>
        <v/>
      </c>
      <c r="AH368" s="75">
        <f>IFERROR(AVERAGE(B368:K368),"")</f>
        <v/>
      </c>
      <c r="AI368" s="45" t="n">
        <v>0.95855712890625</v>
      </c>
      <c r="AJ368" s="47" t="n">
        <v>0</v>
      </c>
    </row>
    <row r="369" ht="15" customHeight="1" s="30">
      <c r="A369" s="73" t="inlineStr">
        <is>
          <t>8981.jpg</t>
        </is>
      </c>
      <c r="B369" s="45" t="n"/>
      <c r="C369" s="45" t="n"/>
      <c r="D369" s="45" t="n"/>
      <c r="E369" s="45" t="n"/>
      <c r="F369" s="45" t="n">
        <v>0.860358981494365</v>
      </c>
      <c r="G369" s="45" t="n">
        <v>0.812176221879104</v>
      </c>
      <c r="H369" s="45" t="n">
        <v>0.612981059235131</v>
      </c>
      <c r="I369" s="45" t="n"/>
      <c r="J369" s="45" t="n"/>
      <c r="K369" s="45" t="n">
        <v>0.875421034036038</v>
      </c>
      <c r="L369" s="45" t="n"/>
      <c r="M369" s="45" t="n"/>
      <c r="N369" s="45" t="n"/>
      <c r="O369" s="45" t="n"/>
      <c r="P369" s="45" t="n">
        <v>0.968335003758457</v>
      </c>
      <c r="Q369" s="45" t="n">
        <v>0.8139380179033679</v>
      </c>
      <c r="R369" s="45" t="n">
        <v>0.817012381411803</v>
      </c>
      <c r="S369" s="45" t="n"/>
      <c r="T369" s="45" t="n"/>
      <c r="U369" s="45" t="n">
        <v>0.960064062822897</v>
      </c>
      <c r="V369" s="45" t="n"/>
      <c r="W369" s="45" t="n"/>
      <c r="X369" s="45" t="n"/>
      <c r="Y369" s="45" t="n"/>
      <c r="Z369" s="45" t="n">
        <v>0.885265147176727</v>
      </c>
      <c r="AA369" s="45" t="n">
        <v>0.997341980755941</v>
      </c>
      <c r="AB369" s="45" t="n">
        <v>0.710529995804783</v>
      </c>
      <c r="AC369" s="45" t="n"/>
      <c r="AD369" s="45" t="n"/>
      <c r="AE369" s="45" t="n">
        <v>0.908504241120536</v>
      </c>
      <c r="AF369" s="75">
        <f>IFERROR(AVERAGE(L369:U369),"")</f>
        <v/>
      </c>
      <c r="AG369" s="75">
        <f>IFERROR(AVERAGE(V369:AE369),"")</f>
        <v/>
      </c>
      <c r="AH369" s="75">
        <f>IFERROR(AVERAGE(B369:K369),"")</f>
        <v/>
      </c>
      <c r="AI369" s="45" t="n">
        <v>0.919132232666016</v>
      </c>
      <c r="AJ369" s="47" t="n">
        <v>0</v>
      </c>
    </row>
    <row r="370" ht="15" customHeight="1" s="30">
      <c r="A370" s="73" t="inlineStr">
        <is>
          <t>8983.jpg</t>
        </is>
      </c>
      <c r="B370" s="45" t="n"/>
      <c r="C370" s="45" t="n"/>
      <c r="D370" s="45" t="n">
        <v>0.67638036809816</v>
      </c>
      <c r="E370" s="45" t="n"/>
      <c r="F370" s="45" t="n">
        <v>0.938975817923186</v>
      </c>
      <c r="G370" s="45" t="n">
        <v>0.73857483844676</v>
      </c>
      <c r="H370" s="45" t="n">
        <v>0.59024956471271</v>
      </c>
      <c r="I370" s="45" t="n">
        <v>0.740853658536585</v>
      </c>
      <c r="J370" s="45" t="n"/>
      <c r="K370" s="45" t="n">
        <v>0.880259747657429</v>
      </c>
      <c r="L370" s="45" t="n"/>
      <c r="M370" s="45" t="n"/>
      <c r="N370" s="45" t="n">
        <v>0.74703557312253</v>
      </c>
      <c r="O370" s="45" t="n"/>
      <c r="P370" s="45" t="n">
        <v>0.961936405234473</v>
      </c>
      <c r="Q370" s="45" t="n">
        <v>0.807658639843389</v>
      </c>
      <c r="R370" s="45" t="n">
        <v>0.976945244956772</v>
      </c>
      <c r="S370" s="45" t="n">
        <v>0.826530612244898</v>
      </c>
      <c r="T370" s="45" t="n"/>
      <c r="U370" s="45" t="n">
        <v>0.954526362603153</v>
      </c>
      <c r="V370" s="45" t="n"/>
      <c r="W370" s="45" t="n"/>
      <c r="X370" s="45" t="n">
        <v>0.877320954907162</v>
      </c>
      <c r="Y370" s="45" t="n"/>
      <c r="Z370" s="45" t="n">
        <v>0.975209786077296</v>
      </c>
      <c r="AA370" s="45" t="n">
        <v>0.896208254596189</v>
      </c>
      <c r="AB370" s="45" t="n">
        <v>0.598587404355503</v>
      </c>
      <c r="AC370" s="45" t="n">
        <v>0.8772563176895311</v>
      </c>
      <c r="AD370" s="45" t="n"/>
      <c r="AE370" s="45" t="n">
        <v>0.918789723710262</v>
      </c>
      <c r="AF370" s="75">
        <f>IFERROR(AVERAGE(L370:U370),"")</f>
        <v/>
      </c>
      <c r="AG370" s="75">
        <f>IFERROR(AVERAGE(V370:AE370),"")</f>
        <v/>
      </c>
      <c r="AH370" s="75">
        <f>IFERROR(AVERAGE(B370:K370),"")</f>
        <v/>
      </c>
      <c r="AI370" s="45" t="n">
        <v>0.9188385009765631</v>
      </c>
      <c r="AJ370" s="47" t="n">
        <v>0</v>
      </c>
    </row>
    <row r="371" ht="15" customHeight="1" s="30">
      <c r="A371" s="73" t="inlineStr">
        <is>
          <t>8989.jpg</t>
        </is>
      </c>
      <c r="B371" s="45" t="n">
        <v>0</v>
      </c>
      <c r="C371" s="45" t="n"/>
      <c r="D371" s="45" t="n"/>
      <c r="E371" s="45" t="n"/>
      <c r="F371" s="45" t="n">
        <v>0.824311464397671</v>
      </c>
      <c r="G371" s="45" t="n">
        <v>0.9090040442646991</v>
      </c>
      <c r="H371" s="45" t="n">
        <v>0.587526083932298</v>
      </c>
      <c r="I371" s="45" t="n"/>
      <c r="J371" s="45" t="n"/>
      <c r="K371" s="45" t="n">
        <v>0.939180022046977</v>
      </c>
      <c r="L371" s="45" t="n">
        <v>0</v>
      </c>
      <c r="M371" s="45" t="n"/>
      <c r="N371" s="45" t="n"/>
      <c r="O371" s="45" t="n"/>
      <c r="P371" s="45" t="n">
        <v>0.938198846803224</v>
      </c>
      <c r="Q371" s="45" t="n">
        <v>0.933012498859593</v>
      </c>
      <c r="R371" s="45" t="n">
        <v>0.900817632420903</v>
      </c>
      <c r="S371" s="45" t="n"/>
      <c r="T371" s="45" t="n"/>
      <c r="U371" s="45" t="n">
        <v>0.9649809685095539</v>
      </c>
      <c r="V371" s="45" t="n"/>
      <c r="W371" s="45" t="n"/>
      <c r="X371" s="45" t="n"/>
      <c r="Y371" s="45" t="n"/>
      <c r="Z371" s="45" t="n">
        <v>0.871640819225761</v>
      </c>
      <c r="AA371" s="45" t="n">
        <v>0.972471175561631</v>
      </c>
      <c r="AB371" s="45" t="n">
        <v>0.62816063460585</v>
      </c>
      <c r="AC371" s="45" t="n"/>
      <c r="AD371" s="45" t="n"/>
      <c r="AE371" s="45" t="n">
        <v>0.972319307351707</v>
      </c>
      <c r="AF371" s="75">
        <f>IFERROR(AVERAGE(L371:U371),"")</f>
        <v/>
      </c>
      <c r="AG371" s="75">
        <f>IFERROR(AVERAGE(V371:AE371),"")</f>
        <v/>
      </c>
      <c r="AH371" s="75">
        <f>IFERROR(AVERAGE(B371:K371),"")</f>
        <v/>
      </c>
      <c r="AI371" s="45" t="n">
        <v>0.954071044921875</v>
      </c>
      <c r="AJ371" s="47" t="n">
        <v>0</v>
      </c>
    </row>
    <row r="372" ht="15" customHeight="1" s="30">
      <c r="A372" s="73" t="inlineStr">
        <is>
          <t>8991.jpg</t>
        </is>
      </c>
      <c r="B372" s="45" t="n">
        <v>0.333582525405911</v>
      </c>
      <c r="C372" s="45" t="n"/>
      <c r="D372" s="45" t="n"/>
      <c r="E372" s="45" t="n"/>
      <c r="F372" s="45" t="n">
        <v>0.76536375960235</v>
      </c>
      <c r="G372" s="45" t="n">
        <v>0</v>
      </c>
      <c r="H372" s="45" t="n">
        <v>0.617316942811331</v>
      </c>
      <c r="I372" s="45" t="n"/>
      <c r="J372" s="45" t="n"/>
      <c r="K372" s="45" t="n">
        <v>0.928600368913199</v>
      </c>
      <c r="L372" s="45" t="n">
        <v>0.996649682417813</v>
      </c>
      <c r="M372" s="45" t="n"/>
      <c r="N372" s="45" t="n"/>
      <c r="O372" s="45" t="n"/>
      <c r="P372" s="45" t="n">
        <v>0.88061350490674</v>
      </c>
      <c r="Q372" s="45" t="n">
        <v>0</v>
      </c>
      <c r="R372" s="45" t="n">
        <v>0.898692810457516</v>
      </c>
      <c r="S372" s="45" t="n"/>
      <c r="T372" s="45" t="n"/>
      <c r="U372" s="45" t="n">
        <v>0.9527990197687271</v>
      </c>
      <c r="V372" s="45" t="n">
        <v>0.333957012886779</v>
      </c>
      <c r="W372" s="45" t="n"/>
      <c r="X372" s="45" t="n"/>
      <c r="Y372" s="45" t="n"/>
      <c r="Z372" s="45" t="n">
        <v>0.85397365601563</v>
      </c>
      <c r="AA372" s="45" t="n"/>
      <c r="AB372" s="45" t="n">
        <v>0.663488051470588</v>
      </c>
      <c r="AC372" s="45" t="n"/>
      <c r="AD372" s="45" t="n"/>
      <c r="AE372" s="45" t="n">
        <v>0.973377889789828</v>
      </c>
      <c r="AF372" s="75">
        <f>IFERROR(AVERAGE(L372:U372),"")</f>
        <v/>
      </c>
      <c r="AG372" s="75">
        <f>IFERROR(AVERAGE(V372:AE372),"")</f>
        <v/>
      </c>
      <c r="AH372" s="75">
        <f>IFERROR(AVERAGE(B372:K372),"")</f>
        <v/>
      </c>
      <c r="AI372" s="45" t="n">
        <v>0.844341278076172</v>
      </c>
      <c r="AJ372" s="47" t="n">
        <v>0</v>
      </c>
    </row>
    <row r="373" ht="15" customHeight="1" s="30">
      <c r="A373" s="73" t="inlineStr">
        <is>
          <t>8993.jpg</t>
        </is>
      </c>
      <c r="B373" s="45" t="n">
        <v>0.74422594411443</v>
      </c>
      <c r="C373" s="45" t="n"/>
      <c r="D373" s="45" t="n"/>
      <c r="E373" s="45" t="n"/>
      <c r="F373" s="45" t="n">
        <v>0.747900269399398</v>
      </c>
      <c r="G373" s="45" t="n">
        <v>0</v>
      </c>
      <c r="H373" s="45" t="n">
        <v>0.504055468341183</v>
      </c>
      <c r="I373" s="45" t="n"/>
      <c r="J373" s="45" t="n"/>
      <c r="K373" s="45" t="n">
        <v>0.907861220435649</v>
      </c>
      <c r="L373" s="45" t="n">
        <v>0.995867768595041</v>
      </c>
      <c r="M373" s="45" t="n"/>
      <c r="N373" s="45" t="n"/>
      <c r="O373" s="45" t="n"/>
      <c r="P373" s="45" t="n">
        <v>0.909549352776796</v>
      </c>
      <c r="Q373" s="45" t="n">
        <v>0</v>
      </c>
      <c r="R373" s="45" t="n">
        <v>0.8923112552107459</v>
      </c>
      <c r="S373" s="45" t="n"/>
      <c r="T373" s="45" t="n"/>
      <c r="U373" s="45" t="n">
        <v>0.924775343240715</v>
      </c>
      <c r="V373" s="45" t="n">
        <v>0.746531288317164</v>
      </c>
      <c r="W373" s="45" t="n"/>
      <c r="X373" s="45" t="n"/>
      <c r="Y373" s="45" t="n"/>
      <c r="Z373" s="45" t="n">
        <v>0.807995206300291</v>
      </c>
      <c r="AA373" s="45" t="n"/>
      <c r="AB373" s="45" t="n">
        <v>0.53670427636161</v>
      </c>
      <c r="AC373" s="45" t="n"/>
      <c r="AD373" s="45" t="n"/>
      <c r="AE373" s="45" t="n">
        <v>0.980251625997509</v>
      </c>
      <c r="AF373" s="75">
        <f>IFERROR(AVERAGE(L373:U373),"")</f>
        <v/>
      </c>
      <c r="AG373" s="75">
        <f>IFERROR(AVERAGE(V373:AE373),"")</f>
        <v/>
      </c>
      <c r="AH373" s="75">
        <f>IFERROR(AVERAGE(B373:K373),"")</f>
        <v/>
      </c>
      <c r="AI373" s="45" t="n">
        <v>0.903629302978516</v>
      </c>
      <c r="AJ373" s="47" t="n">
        <v>0</v>
      </c>
    </row>
    <row r="374" ht="15" customHeight="1" s="30">
      <c r="A374" s="73" t="inlineStr">
        <is>
          <t>8999.jpg</t>
        </is>
      </c>
      <c r="B374" s="45" t="n">
        <v>0.404418229777257</v>
      </c>
      <c r="C374" s="45" t="n"/>
      <c r="D374" s="45" t="n"/>
      <c r="E374" s="45" t="n"/>
      <c r="F374" s="45" t="n">
        <v>0.585588344963511</v>
      </c>
      <c r="G374" s="45" t="n">
        <v>0</v>
      </c>
      <c r="H374" s="45" t="n">
        <v>0.382886991128431</v>
      </c>
      <c r="I374" s="45" t="n">
        <v>0</v>
      </c>
      <c r="J374" s="45" t="n"/>
      <c r="K374" s="45" t="n">
        <v>0.727319466034392</v>
      </c>
      <c r="L374" s="45" t="n">
        <v>0.981724398594869</v>
      </c>
      <c r="M374" s="45" t="n"/>
      <c r="N374" s="45" t="n"/>
      <c r="O374" s="45" t="n"/>
      <c r="P374" s="45" t="n">
        <v>0.95251814144915</v>
      </c>
      <c r="Q374" s="45" t="n">
        <v>0</v>
      </c>
      <c r="R374" s="45" t="n">
        <v>0.864470235866717</v>
      </c>
      <c r="S374" s="45" t="n">
        <v>0</v>
      </c>
      <c r="T374" s="45" t="n"/>
      <c r="U374" s="45" t="n">
        <v>0.742953351869015</v>
      </c>
      <c r="V374" s="45" t="n">
        <v>0.407486019084181</v>
      </c>
      <c r="W374" s="45" t="n"/>
      <c r="X374" s="45" t="n"/>
      <c r="Y374" s="45" t="n"/>
      <c r="Z374" s="45" t="n">
        <v>0.603196159122085</v>
      </c>
      <c r="AA374" s="45" t="n"/>
      <c r="AB374" s="45" t="n">
        <v>0.407338802152245</v>
      </c>
      <c r="AC374" s="45" t="n"/>
      <c r="AD374" s="45" t="n"/>
      <c r="AE374" s="45" t="n">
        <v>0.97188141538561</v>
      </c>
      <c r="AF374" s="75">
        <f>IFERROR(AVERAGE(L374:U374),"")</f>
        <v/>
      </c>
      <c r="AG374" s="75">
        <f>IFERROR(AVERAGE(V374:AE374),"")</f>
        <v/>
      </c>
      <c r="AH374" s="75">
        <f>IFERROR(AVERAGE(B374:K374),"")</f>
        <v/>
      </c>
      <c r="AI374" s="45" t="n">
        <v>0.7282867431640631</v>
      </c>
      <c r="AJ374" s="47" t="n">
        <v>0</v>
      </c>
    </row>
    <row r="375" ht="15" customHeight="1" s="30">
      <c r="A375" s="73" t="inlineStr">
        <is>
          <t>9001.jpg</t>
        </is>
      </c>
      <c r="B375" s="45" t="n">
        <v>0</v>
      </c>
      <c r="C375" s="45" t="n"/>
      <c r="D375" s="45" t="n"/>
      <c r="E375" s="45" t="n"/>
      <c r="F375" s="45" t="n">
        <v>0.910841182001757</v>
      </c>
      <c r="G375" s="45" t="n">
        <v>0</v>
      </c>
      <c r="H375" s="45" t="n">
        <v>0</v>
      </c>
      <c r="I375" s="45" t="n">
        <v>0.848387096774194</v>
      </c>
      <c r="J375" s="45" t="n"/>
      <c r="K375" s="45" t="n">
        <v>0.857121443962152</v>
      </c>
      <c r="L375" s="45" t="n"/>
      <c r="M375" s="45" t="n"/>
      <c r="N375" s="45" t="n"/>
      <c r="O375" s="45" t="n"/>
      <c r="P375" s="45" t="n">
        <v>0.9332396234758989</v>
      </c>
      <c r="Q375" s="45" t="n">
        <v>0</v>
      </c>
      <c r="R375" s="45" t="n"/>
      <c r="S375" s="45" t="n">
        <v>0.942652329749104</v>
      </c>
      <c r="T375" s="45" t="n"/>
      <c r="U375" s="45" t="n">
        <v>0.88326950925181</v>
      </c>
      <c r="V375" s="45" t="n">
        <v>0</v>
      </c>
      <c r="W375" s="45" t="n"/>
      <c r="X375" s="45" t="n"/>
      <c r="Y375" s="45" t="n"/>
      <c r="Z375" s="45" t="n">
        <v>0.974326418889952</v>
      </c>
      <c r="AA375" s="45" t="n"/>
      <c r="AB375" s="45" t="n">
        <v>0</v>
      </c>
      <c r="AC375" s="45" t="n">
        <v>0.894557823129252</v>
      </c>
      <c r="AD375" s="45" t="n"/>
      <c r="AE375" s="45" t="n">
        <v>0.9666145459155639</v>
      </c>
      <c r="AF375" s="75">
        <f>IFERROR(AVERAGE(L375:U375),"")</f>
        <v/>
      </c>
      <c r="AG375" s="75">
        <f>IFERROR(AVERAGE(V375:AE375),"")</f>
        <v/>
      </c>
      <c r="AH375" s="75">
        <f>IFERROR(AVERAGE(B375:K375),"")</f>
        <v/>
      </c>
      <c r="AI375" s="45" t="n">
        <v>0.749931335449219</v>
      </c>
      <c r="AJ375" s="47" t="n">
        <v>0</v>
      </c>
    </row>
    <row r="376" ht="15" customHeight="1" s="30">
      <c r="A376" s="73" t="inlineStr">
        <is>
          <t>9002.jpg</t>
        </is>
      </c>
      <c r="B376" s="45" t="n">
        <v>6.74024770410313e-05</v>
      </c>
      <c r="C376" s="45" t="n"/>
      <c r="D376" s="45" t="n"/>
      <c r="E376" s="45" t="n"/>
      <c r="F376" s="45" t="n">
        <v>0.939651872778639</v>
      </c>
      <c r="G376" s="45" t="n">
        <v>0</v>
      </c>
      <c r="H376" s="45" t="n"/>
      <c r="I376" s="45" t="n">
        <v>0.785326086956522</v>
      </c>
      <c r="J376" s="45" t="n"/>
      <c r="K376" s="45" t="n">
        <v>0.889639666791238</v>
      </c>
      <c r="L376" s="45" t="n">
        <v>1</v>
      </c>
      <c r="M376" s="45" t="n"/>
      <c r="N376" s="45" t="n"/>
      <c r="O376" s="45" t="n"/>
      <c r="P376" s="45" t="n">
        <v>0.961254474940334</v>
      </c>
      <c r="Q376" s="45" t="n">
        <v>0</v>
      </c>
      <c r="R376" s="45" t="n"/>
      <c r="S376" s="45" t="n">
        <v>0.953795379537954</v>
      </c>
      <c r="T376" s="45" t="n"/>
      <c r="U376" s="45" t="n">
        <v>0.9008526767457899</v>
      </c>
      <c r="V376" s="45" t="n">
        <v>6.74024770410313e-05</v>
      </c>
      <c r="W376" s="45" t="n"/>
      <c r="X376" s="45" t="n"/>
      <c r="Y376" s="45" t="n"/>
      <c r="Z376" s="45" t="n">
        <v>0.9766419762441511</v>
      </c>
      <c r="AA376" s="45" t="n"/>
      <c r="AB376" s="45" t="n"/>
      <c r="AC376" s="45" t="n">
        <v>0.81638418079096</v>
      </c>
      <c r="AD376" s="45" t="n"/>
      <c r="AE376" s="45" t="n">
        <v>0.986201873605153</v>
      </c>
      <c r="AF376" s="75">
        <f>IFERROR(AVERAGE(L376:U376),"")</f>
        <v/>
      </c>
      <c r="AG376" s="75">
        <f>IFERROR(AVERAGE(V376:AE376),"")</f>
        <v/>
      </c>
      <c r="AH376" s="75">
        <f>IFERROR(AVERAGE(B376:K376),"")</f>
        <v/>
      </c>
      <c r="AI376" s="45" t="n">
        <v>0.76080322265625</v>
      </c>
      <c r="AJ376" s="47" t="n">
        <v>0</v>
      </c>
    </row>
    <row r="377" ht="15" customHeight="1" s="30">
      <c r="A377" s="73" t="inlineStr">
        <is>
          <t>9004.jpg</t>
        </is>
      </c>
      <c r="B377" s="45" t="n">
        <v>0.11614867733388</v>
      </c>
      <c r="C377" s="45" t="n"/>
      <c r="D377" s="45" t="n"/>
      <c r="E377" s="45" t="n"/>
      <c r="F377" s="45" t="n">
        <v>0.863616057182973</v>
      </c>
      <c r="G377" s="45" t="n">
        <v>0</v>
      </c>
      <c r="H377" s="45" t="n"/>
      <c r="I377" s="45" t="n">
        <v>0.872340425531915</v>
      </c>
      <c r="J377" s="45" t="n"/>
      <c r="K377" s="45" t="n">
        <v>0.8757137081266581</v>
      </c>
      <c r="L377" s="45" t="n">
        <v>0.953491166927052</v>
      </c>
      <c r="M377" s="45" t="n"/>
      <c r="N377" s="45" t="n"/>
      <c r="O377" s="45" t="n"/>
      <c r="P377" s="45" t="n">
        <v>0.964917284654877</v>
      </c>
      <c r="Q377" s="45" t="n">
        <v>0</v>
      </c>
      <c r="R377" s="45" t="n"/>
      <c r="S377" s="45" t="n">
        <v>0.931818181818182</v>
      </c>
      <c r="T377" s="45" t="n"/>
      <c r="U377" s="45" t="n">
        <v>0.881196911963166</v>
      </c>
      <c r="V377" s="45" t="n">
        <v>0.116810459055976</v>
      </c>
      <c r="W377" s="45" t="n"/>
      <c r="X377" s="45" t="n"/>
      <c r="Y377" s="45" t="n"/>
      <c r="Z377" s="45" t="n">
        <v>0.89161230809778</v>
      </c>
      <c r="AA377" s="45" t="n"/>
      <c r="AB377" s="45" t="n"/>
      <c r="AC377" s="45" t="n">
        <v>0.931818181818182</v>
      </c>
      <c r="AD377" s="45" t="n"/>
      <c r="AE377" s="45" t="n">
        <v>0.992944557189899</v>
      </c>
      <c r="AF377" s="75">
        <f>IFERROR(AVERAGE(L377:U377),"")</f>
        <v/>
      </c>
      <c r="AG377" s="75">
        <f>IFERROR(AVERAGE(V377:AE377),"")</f>
        <v/>
      </c>
      <c r="AH377" s="75">
        <f>IFERROR(AVERAGE(B377:K377),"")</f>
        <v/>
      </c>
      <c r="AI377" s="45" t="n">
        <v>0.760028839111328</v>
      </c>
      <c r="AJ377" s="47" t="n">
        <v>0</v>
      </c>
    </row>
    <row r="378" ht="15" customHeight="1" s="30">
      <c r="A378" s="73" t="inlineStr">
        <is>
          <t>9006.jpg</t>
        </is>
      </c>
      <c r="B378" s="45" t="n">
        <v>0.444462325790981</v>
      </c>
      <c r="C378" s="45" t="n"/>
      <c r="D378" s="45" t="n"/>
      <c r="E378" s="45" t="n"/>
      <c r="F378" s="45" t="n">
        <v>0.941193101498445</v>
      </c>
      <c r="G378" s="45" t="n">
        <v>0</v>
      </c>
      <c r="H378" s="45" t="n"/>
      <c r="I378" s="45" t="n"/>
      <c r="J378" s="45" t="n"/>
      <c r="K378" s="45" t="n">
        <v>0.959133957833346</v>
      </c>
      <c r="L378" s="45" t="n">
        <v>0.9306196717997099</v>
      </c>
      <c r="M378" s="45" t="n"/>
      <c r="N378" s="45" t="n"/>
      <c r="O378" s="45" t="n"/>
      <c r="P378" s="45" t="n">
        <v>0.963810075275044</v>
      </c>
      <c r="Q378" s="45" t="n">
        <v>0</v>
      </c>
      <c r="R378" s="45" t="n"/>
      <c r="S378" s="45" t="n"/>
      <c r="T378" s="45" t="n"/>
      <c r="U378" s="45" t="n">
        <v>0.97207793906107</v>
      </c>
      <c r="V378" s="45" t="n">
        <v>0.459694735265234</v>
      </c>
      <c r="W378" s="45" t="n"/>
      <c r="X378" s="45" t="n"/>
      <c r="Y378" s="45" t="n"/>
      <c r="Z378" s="45" t="n">
        <v>0.97567409144197</v>
      </c>
      <c r="AA378" s="45" t="n"/>
      <c r="AB378" s="45" t="n"/>
      <c r="AC378" s="45" t="n"/>
      <c r="AD378" s="45" t="n"/>
      <c r="AE378" s="45" t="n">
        <v>0.9863069680549</v>
      </c>
      <c r="AF378" s="75">
        <f>IFERROR(AVERAGE(L378:U378),"")</f>
        <v/>
      </c>
      <c r="AG378" s="75">
        <f>IFERROR(AVERAGE(V378:AE378),"")</f>
        <v/>
      </c>
      <c r="AH378" s="75">
        <f>IFERROR(AVERAGE(B378:K378),"")</f>
        <v/>
      </c>
      <c r="AI378" s="45" t="n">
        <v>0.865062713623047</v>
      </c>
      <c r="AJ378" s="47" t="n">
        <v>0</v>
      </c>
    </row>
    <row r="379" ht="15" customHeight="1" s="30">
      <c r="A379" s="73" t="inlineStr">
        <is>
          <t>9009.jpg</t>
        </is>
      </c>
      <c r="B379" s="45" t="n">
        <v>0.860637270679112</v>
      </c>
      <c r="C379" s="45" t="n"/>
      <c r="D379" s="45" t="n"/>
      <c r="E379" s="45" t="n"/>
      <c r="F379" s="45" t="n">
        <v>0.886935307478758</v>
      </c>
      <c r="G379" s="45" t="n"/>
      <c r="H379" s="45" t="n"/>
      <c r="I379" s="45" t="n"/>
      <c r="J379" s="45" t="n"/>
      <c r="K379" s="45" t="n">
        <v>0.979114630618264</v>
      </c>
      <c r="L379" s="45" t="n">
        <v>0.912394438283716</v>
      </c>
      <c r="M379" s="45" t="n"/>
      <c r="N379" s="45" t="n"/>
      <c r="O379" s="45" t="n"/>
      <c r="P379" s="45" t="n">
        <v>0.951276730127222</v>
      </c>
      <c r="Q379" s="45" t="n"/>
      <c r="R379" s="45" t="n"/>
      <c r="S379" s="45" t="n"/>
      <c r="T379" s="45" t="n"/>
      <c r="U379" s="45" t="n">
        <v>0.990273048788525</v>
      </c>
      <c r="V379" s="45" t="n">
        <v>0.938163319007105</v>
      </c>
      <c r="W379" s="45" t="n"/>
      <c r="X379" s="45" t="n"/>
      <c r="Y379" s="45" t="n"/>
      <c r="Z379" s="45" t="n">
        <v>0.929144267207191</v>
      </c>
      <c r="AA379" s="45" t="n"/>
      <c r="AB379" s="45" t="n"/>
      <c r="AC379" s="45" t="n"/>
      <c r="AD379" s="45" t="n"/>
      <c r="AE379" s="45" t="n">
        <v>0.9886225575122261</v>
      </c>
      <c r="AF379" s="75">
        <f>IFERROR(AVERAGE(L379:U379),"")</f>
        <v/>
      </c>
      <c r="AG379" s="75">
        <f>IFERROR(AVERAGE(V379:AE379),"")</f>
        <v/>
      </c>
      <c r="AH379" s="75">
        <f>IFERROR(AVERAGE(B379:K379),"")</f>
        <v/>
      </c>
      <c r="AI379" s="45" t="n">
        <v>0.981658935546875</v>
      </c>
      <c r="AJ379" s="47" t="n">
        <v>0</v>
      </c>
    </row>
    <row r="380" ht="15" customHeight="1" s="30">
      <c r="A380" s="73" t="inlineStr">
        <is>
          <t>9012.jpg</t>
        </is>
      </c>
      <c r="B380" s="45" t="n">
        <v>0.710348086312805</v>
      </c>
      <c r="C380" s="45" t="n"/>
      <c r="D380" s="45" t="n"/>
      <c r="E380" s="45" t="n"/>
      <c r="F380" s="45" t="n">
        <v>0.921869962385814</v>
      </c>
      <c r="G380" s="45" t="n"/>
      <c r="H380" s="45" t="n">
        <v>0.67525195968645</v>
      </c>
      <c r="I380" s="45" t="n"/>
      <c r="J380" s="45" t="n"/>
      <c r="K380" s="45" t="n">
        <v>0.98075370065958</v>
      </c>
      <c r="L380" s="45" t="n">
        <v>0.793944195053252</v>
      </c>
      <c r="M380" s="45" t="n"/>
      <c r="N380" s="45" t="n"/>
      <c r="O380" s="45" t="n"/>
      <c r="P380" s="45" t="n">
        <v>0.963495450971583</v>
      </c>
      <c r="Q380" s="45" t="n"/>
      <c r="R380" s="45" t="n">
        <v>0.824897400820793</v>
      </c>
      <c r="S380" s="45" t="n"/>
      <c r="T380" s="45" t="n"/>
      <c r="U380" s="45" t="n">
        <v>0.992116906974526</v>
      </c>
      <c r="V380" s="45" t="n">
        <v>0.870908564256059</v>
      </c>
      <c r="W380" s="45" t="n"/>
      <c r="X380" s="45" t="n"/>
      <c r="Y380" s="45" t="n"/>
      <c r="Z380" s="45" t="n">
        <v>0.955233853006682</v>
      </c>
      <c r="AA380" s="45" t="n"/>
      <c r="AB380" s="45" t="n">
        <v>0.788235294117647</v>
      </c>
      <c r="AC380" s="45" t="n"/>
      <c r="AD380" s="45" t="n"/>
      <c r="AE380" s="45" t="n">
        <v>0.98845654886342</v>
      </c>
      <c r="AF380" s="75">
        <f>IFERROR(AVERAGE(L380:U380),"")</f>
        <v/>
      </c>
      <c r="AG380" s="75">
        <f>IFERROR(AVERAGE(V380:AE380),"")</f>
        <v/>
      </c>
      <c r="AH380" s="75">
        <f>IFERROR(AVERAGE(B380:K380),"")</f>
        <v/>
      </c>
      <c r="AI380" s="45" t="n">
        <v>0.982089996337891</v>
      </c>
      <c r="AJ380" s="47" t="n">
        <v>0</v>
      </c>
    </row>
    <row r="381" ht="15" customHeight="1" s="30">
      <c r="A381" s="73" t="inlineStr">
        <is>
          <t>9013.jpg</t>
        </is>
      </c>
      <c r="B381" s="45" t="n">
        <v>0.769888934594817</v>
      </c>
      <c r="C381" s="45" t="n"/>
      <c r="D381" s="45" t="n">
        <v>0.936455765543687</v>
      </c>
      <c r="E381" s="45" t="n"/>
      <c r="F381" s="45" t="n">
        <v>0.873004502660663</v>
      </c>
      <c r="G381" s="45" t="n"/>
      <c r="H381" s="45" t="n">
        <v>0.679521998913634</v>
      </c>
      <c r="I381" s="45" t="n"/>
      <c r="J381" s="45" t="n"/>
      <c r="K381" s="45" t="n">
        <v>0.977415023080151</v>
      </c>
      <c r="L381" s="45" t="n">
        <v>0.8288017004694</v>
      </c>
      <c r="M381" s="45" t="n"/>
      <c r="N381" s="45" t="n">
        <v>0.97379663913415</v>
      </c>
      <c r="O381" s="45" t="n"/>
      <c r="P381" s="45" t="n">
        <v>0.922669262383734</v>
      </c>
      <c r="Q381" s="45" t="n"/>
      <c r="R381" s="45" t="n">
        <v>0.921886514369934</v>
      </c>
      <c r="S381" s="45" t="n"/>
      <c r="T381" s="45" t="n"/>
      <c r="U381" s="45" t="n">
        <v>0.989531909831678</v>
      </c>
      <c r="V381" s="45" t="n">
        <v>0.9154764234005091</v>
      </c>
      <c r="W381" s="45" t="n"/>
      <c r="X381" s="45" t="n">
        <v>0.960663107614499</v>
      </c>
      <c r="Y381" s="45" t="n"/>
      <c r="Z381" s="45" t="n">
        <v>0.941923374185713</v>
      </c>
      <c r="AA381" s="45" t="n"/>
      <c r="AB381" s="45" t="n">
        <v>0.721037463976945</v>
      </c>
      <c r="AC381" s="45" t="n"/>
      <c r="AD381" s="45" t="n"/>
      <c r="AE381" s="45" t="n">
        <v>0.987626995030445</v>
      </c>
      <c r="AF381" s="75">
        <f>IFERROR(AVERAGE(L381:U381),"")</f>
        <v/>
      </c>
      <c r="AG381" s="75">
        <f>IFERROR(AVERAGE(V381:AE381),"")</f>
        <v/>
      </c>
      <c r="AH381" s="75">
        <f>IFERROR(AVERAGE(B381:K381),"")</f>
        <v/>
      </c>
      <c r="AI381" s="45" t="n">
        <v>0.979339599609375</v>
      </c>
      <c r="AJ381" s="47" t="n">
        <v>0</v>
      </c>
    </row>
    <row r="382" ht="15" customHeight="1" s="30">
      <c r="A382" s="73" t="inlineStr">
        <is>
          <t>9018.jpg</t>
        </is>
      </c>
      <c r="B382" s="45" t="n">
        <v>0.926457773487438</v>
      </c>
      <c r="C382" s="45" t="n"/>
      <c r="D382" s="45" t="n">
        <v>0.869051212395613</v>
      </c>
      <c r="E382" s="45" t="n"/>
      <c r="F382" s="45" t="n">
        <v>0.845235909675051</v>
      </c>
      <c r="G382" s="45" t="n">
        <v>0.7547395545739</v>
      </c>
      <c r="H382" s="45" t="n">
        <v>0.755414793624847</v>
      </c>
      <c r="I382" s="45" t="n">
        <v>0.697304768486524</v>
      </c>
      <c r="J382" s="45" t="n"/>
      <c r="K382" s="45" t="n">
        <v>0</v>
      </c>
      <c r="L382" s="45" t="n">
        <v>0.964762329109522</v>
      </c>
      <c r="M382" s="45" t="n"/>
      <c r="N382" s="45" t="n">
        <v>0.96865537736907</v>
      </c>
      <c r="O382" s="45" t="n"/>
      <c r="P382" s="45" t="n">
        <v>0.919460215115118</v>
      </c>
      <c r="Q382" s="45" t="n">
        <v>0.849228538883711</v>
      </c>
      <c r="R382" s="45" t="n">
        <v>0.789058053500285</v>
      </c>
      <c r="S382" s="45" t="n">
        <v>0.824346405228758</v>
      </c>
      <c r="T382" s="45" t="n"/>
      <c r="U382" s="45" t="n">
        <v>0</v>
      </c>
      <c r="V382" s="45" t="n">
        <v>0.958905811190322</v>
      </c>
      <c r="W382" s="45" t="n"/>
      <c r="X382" s="45" t="n">
        <v>0.894197422226823</v>
      </c>
      <c r="Y382" s="45" t="n"/>
      <c r="Z382" s="45" t="n">
        <v>0.912819350818558</v>
      </c>
      <c r="AA382" s="45" t="n">
        <v>0.871519659936238</v>
      </c>
      <c r="AB382" s="45" t="n">
        <v>0.94657335495434</v>
      </c>
      <c r="AC382" s="45" t="n">
        <v>0.818993506493506</v>
      </c>
      <c r="AD382" s="45" t="n"/>
      <c r="AE382" s="45" t="n"/>
      <c r="AF382" s="75">
        <f>IFERROR(AVERAGE(L382:U382),"")</f>
        <v/>
      </c>
      <c r="AG382" s="75">
        <f>IFERROR(AVERAGE(V382:AE382),"")</f>
        <v/>
      </c>
      <c r="AH382" s="75">
        <f>IFERROR(AVERAGE(B382:K382),"")</f>
        <v/>
      </c>
      <c r="AI382" s="45" t="n">
        <v>0.943584442138672</v>
      </c>
      <c r="AJ382" s="47" t="n">
        <v>0</v>
      </c>
    </row>
    <row r="383" ht="15" customHeight="1" s="30">
      <c r="A383" s="73" t="inlineStr">
        <is>
          <t>9032.jpg</t>
        </is>
      </c>
      <c r="B383" s="45" t="n">
        <v>0.836484977819932</v>
      </c>
      <c r="C383" s="45" t="n"/>
      <c r="D383" s="45" t="n"/>
      <c r="E383" s="45" t="n"/>
      <c r="F383" s="45" t="n">
        <v>0.842005676442763</v>
      </c>
      <c r="G383" s="45" t="n">
        <v>0.597786661724604</v>
      </c>
      <c r="H383" s="45" t="n"/>
      <c r="I383" s="45" t="n">
        <v>0.7</v>
      </c>
      <c r="J383" s="45" t="n"/>
      <c r="K383" s="45" t="n">
        <v>0</v>
      </c>
      <c r="L383" s="45" t="n">
        <v>0.8434850613188281</v>
      </c>
      <c r="M383" s="45" t="n"/>
      <c r="N383" s="45" t="n"/>
      <c r="O383" s="45" t="n"/>
      <c r="P383" s="45" t="n">
        <v>0.9099622979104099</v>
      </c>
      <c r="Q383" s="45" t="n">
        <v>0.996689326388276</v>
      </c>
      <c r="R383" s="45" t="n"/>
      <c r="S383" s="45" t="n">
        <v>0.883495145631068</v>
      </c>
      <c r="T383" s="45" t="n"/>
      <c r="U383" s="45" t="n">
        <v>0</v>
      </c>
      <c r="V383" s="45" t="n">
        <v>0.990176185436195</v>
      </c>
      <c r="W383" s="45" t="n"/>
      <c r="X383" s="45" t="n"/>
      <c r="Y383" s="45" t="n"/>
      <c r="Z383" s="45" t="n">
        <v>0.918531897052183</v>
      </c>
      <c r="AA383" s="45" t="n">
        <v>0.598976018675722</v>
      </c>
      <c r="AB383" s="45" t="n"/>
      <c r="AC383" s="45" t="n">
        <v>0.771186440677966</v>
      </c>
      <c r="AD383" s="45" t="n"/>
      <c r="AE383" s="45" t="n"/>
      <c r="AF383" s="75">
        <f>IFERROR(AVERAGE(L383:U383),"")</f>
        <v/>
      </c>
      <c r="AG383" s="75">
        <f>IFERROR(AVERAGE(V383:AE383),"")</f>
        <v/>
      </c>
      <c r="AH383" s="75">
        <f>IFERROR(AVERAGE(B383:K383),"")</f>
        <v/>
      </c>
      <c r="AI383" s="45" t="n">
        <v>0.873233795166016</v>
      </c>
      <c r="AJ383" s="47" t="n">
        <v>0</v>
      </c>
    </row>
    <row r="384" ht="15" customHeight="1" s="30">
      <c r="A384" s="73" t="inlineStr">
        <is>
          <t>9035.jpg</t>
        </is>
      </c>
      <c r="B384" s="45" t="n">
        <v>0</v>
      </c>
      <c r="C384" s="45" t="n"/>
      <c r="D384" s="45" t="n">
        <v>0.7882088637756141</v>
      </c>
      <c r="E384" s="45" t="n"/>
      <c r="F384" s="45" t="n">
        <v>0.876856653640393</v>
      </c>
      <c r="G384" s="45" t="n"/>
      <c r="H384" s="45" t="n">
        <v>0.915886396864404</v>
      </c>
      <c r="I384" s="45" t="n">
        <v>0.851235370611183</v>
      </c>
      <c r="J384" s="45" t="n"/>
      <c r="K384" s="45" t="n">
        <v>0.821665787127181</v>
      </c>
      <c r="L384" s="45" t="n">
        <v>0</v>
      </c>
      <c r="M384" s="45" t="n"/>
      <c r="N384" s="45" t="n">
        <v>0.952921810699589</v>
      </c>
      <c r="O384" s="45" t="n"/>
      <c r="P384" s="45" t="n">
        <v>0.925680876642191</v>
      </c>
      <c r="Q384" s="45" t="n"/>
      <c r="R384" s="45" t="n">
        <v>0.959649294351553</v>
      </c>
      <c r="S384" s="45" t="n">
        <v>0.946500867553499</v>
      </c>
      <c r="T384" s="45" t="n"/>
      <c r="U384" s="45" t="n">
        <v>0.901059647582367</v>
      </c>
      <c r="V384" s="45" t="n"/>
      <c r="W384" s="45" t="n"/>
      <c r="X384" s="45" t="n">
        <v>0.82014592335482</v>
      </c>
      <c r="Y384" s="45" t="n"/>
      <c r="Z384" s="45" t="n">
        <v>0.943261536292171</v>
      </c>
      <c r="AA384" s="45" t="n"/>
      <c r="AB384" s="45" t="n">
        <v>0.952570448736614</v>
      </c>
      <c r="AC384" s="45" t="n">
        <v>0.894262295081967</v>
      </c>
      <c r="AD384" s="45" t="n"/>
      <c r="AE384" s="45" t="n">
        <v>0.903150315031503</v>
      </c>
      <c r="AF384" s="75">
        <f>IFERROR(AVERAGE(L384:U384),"")</f>
        <v/>
      </c>
      <c r="AG384" s="75">
        <f>IFERROR(AVERAGE(V384:AE384),"")</f>
        <v/>
      </c>
      <c r="AH384" s="75">
        <f>IFERROR(AVERAGE(B384:K384),"")</f>
        <v/>
      </c>
      <c r="AI384" s="45" t="n">
        <v>0.921745300292969</v>
      </c>
      <c r="AJ384" s="47" t="n">
        <v>0</v>
      </c>
    </row>
    <row r="385" ht="15" customHeight="1" s="30">
      <c r="A385" s="73" t="inlineStr">
        <is>
          <t>9037.jpg</t>
        </is>
      </c>
      <c r="B385" s="45" t="n">
        <v>0.718536446469248</v>
      </c>
      <c r="C385" s="45" t="n"/>
      <c r="D385" s="45" t="n">
        <v>0.922565396787245</v>
      </c>
      <c r="E385" s="45" t="n"/>
      <c r="F385" s="45" t="n">
        <v>0.910813278118095</v>
      </c>
      <c r="G385" s="45" t="n"/>
      <c r="H385" s="45" t="n">
        <v>0.858567764523877</v>
      </c>
      <c r="I385" s="45" t="n">
        <v>0.829385640266469</v>
      </c>
      <c r="J385" s="45" t="n"/>
      <c r="K385" s="45" t="n">
        <v>0.825547574617141</v>
      </c>
      <c r="L385" s="45" t="n">
        <v>0.989171443970797</v>
      </c>
      <c r="M385" s="45" t="n"/>
      <c r="N385" s="45" t="n">
        <v>0.969888397557381</v>
      </c>
      <c r="O385" s="45" t="n"/>
      <c r="P385" s="45" t="n">
        <v>0.967956018616161</v>
      </c>
      <c r="Q385" s="45" t="n"/>
      <c r="R385" s="45" t="n">
        <v>0.885906322201218</v>
      </c>
      <c r="S385" s="45" t="n">
        <v>0.888463063301176</v>
      </c>
      <c r="T385" s="45" t="n"/>
      <c r="U385" s="45" t="n">
        <v>0.863076554189554</v>
      </c>
      <c r="V385" s="45" t="n">
        <v>0.724233183856502</v>
      </c>
      <c r="W385" s="45" t="n"/>
      <c r="X385" s="45" t="n">
        <v>0.949769053117783</v>
      </c>
      <c r="Y385" s="45" t="n"/>
      <c r="Z385" s="45" t="n">
        <v>0.939130197533559</v>
      </c>
      <c r="AA385" s="45" t="n"/>
      <c r="AB385" s="45" t="n">
        <v>0.965304160754337</v>
      </c>
      <c r="AC385" s="45" t="n">
        <v>0.92577802258331</v>
      </c>
      <c r="AD385" s="45" t="n"/>
      <c r="AE385" s="45" t="n">
        <v>0.949964011516315</v>
      </c>
      <c r="AF385" s="75">
        <f>IFERROR(AVERAGE(L385:U385),"")</f>
        <v/>
      </c>
      <c r="AG385" s="75">
        <f>IFERROR(AVERAGE(V385:AE385),"")</f>
        <v/>
      </c>
      <c r="AH385" s="75">
        <f>IFERROR(AVERAGE(B385:K385),"")</f>
        <v/>
      </c>
      <c r="AI385" s="45" t="n">
        <v>0.923503875732422</v>
      </c>
      <c r="AJ385" s="47" t="n">
        <v>0</v>
      </c>
    </row>
    <row r="386" ht="15" customHeight="1" s="30">
      <c r="A386" s="73" t="inlineStr">
        <is>
          <t>9042.jpg</t>
        </is>
      </c>
      <c r="B386" s="45" t="n"/>
      <c r="C386" s="45" t="n"/>
      <c r="D386" s="45" t="n">
        <v>0.939339498018494</v>
      </c>
      <c r="E386" s="45" t="n"/>
      <c r="F386" s="45" t="n">
        <v>0.938629876308278</v>
      </c>
      <c r="G386" s="45" t="n"/>
      <c r="H386" s="45" t="n">
        <v>0.896622385528547</v>
      </c>
      <c r="I386" s="45" t="n">
        <v>0.796129612961296</v>
      </c>
      <c r="J386" s="45" t="n">
        <v>0.884425651867512</v>
      </c>
      <c r="K386" s="45" t="n">
        <v>0.8709783219841321</v>
      </c>
      <c r="L386" s="45" t="n"/>
      <c r="M386" s="45" t="n"/>
      <c r="N386" s="45" t="n">
        <v>0.95376141210555</v>
      </c>
      <c r="O386" s="45" t="n"/>
      <c r="P386" s="45" t="n">
        <v>0.973113119517982</v>
      </c>
      <c r="Q386" s="45" t="n"/>
      <c r="R386" s="45" t="n">
        <v>0.945317738210534</v>
      </c>
      <c r="S386" s="45" t="n">
        <v>0.8774801587301591</v>
      </c>
      <c r="T386" s="45" t="n">
        <v>0.9751359751359751</v>
      </c>
      <c r="U386" s="45" t="n">
        <v>0.952191507162737</v>
      </c>
      <c r="V386" s="45" t="n"/>
      <c r="W386" s="45" t="n"/>
      <c r="X386" s="45" t="n">
        <v>0.984157447475987</v>
      </c>
      <c r="Y386" s="45" t="n"/>
      <c r="Z386" s="45" t="n">
        <v>0.963620523515979</v>
      </c>
      <c r="AA386" s="45" t="n"/>
      <c r="AB386" s="45" t="n">
        <v>0.945669995528395</v>
      </c>
      <c r="AC386" s="45" t="n">
        <v>0.8956962025316459</v>
      </c>
      <c r="AD386" s="45" t="n">
        <v>0.904830569574622</v>
      </c>
      <c r="AE386" s="45" t="n">
        <v>0.910808780296596</v>
      </c>
      <c r="AF386" s="75">
        <f>IFERROR(AVERAGE(L386:U386),"")</f>
        <v/>
      </c>
      <c r="AG386" s="75">
        <f>IFERROR(AVERAGE(V386:AE386),"")</f>
        <v/>
      </c>
      <c r="AH386" s="75">
        <f>IFERROR(AVERAGE(B386:K386),"")</f>
        <v/>
      </c>
      <c r="AI386" s="45" t="n">
        <v>0.958034515380859</v>
      </c>
      <c r="AJ386" s="47" t="n">
        <v>0</v>
      </c>
    </row>
    <row r="387" ht="15" customHeight="1" s="30">
      <c r="A387" s="73" t="inlineStr">
        <is>
          <t>9044.jpg</t>
        </is>
      </c>
      <c r="B387" s="45" t="n"/>
      <c r="C387" s="45" t="n"/>
      <c r="D387" s="45" t="n">
        <v>0.856432181099958</v>
      </c>
      <c r="E387" s="45" t="n"/>
      <c r="F387" s="45" t="n">
        <v>0.848961389508274</v>
      </c>
      <c r="G387" s="45" t="n"/>
      <c r="H387" s="45" t="n">
        <v>0.869051446945338</v>
      </c>
      <c r="I387" s="45" t="n">
        <v>0.425173439048563</v>
      </c>
      <c r="J387" s="45" t="n">
        <v>0.800132802124834</v>
      </c>
      <c r="K387" s="45" t="n">
        <v>0.776976616093335</v>
      </c>
      <c r="L387" s="45" t="n"/>
      <c r="M387" s="45" t="n"/>
      <c r="N387" s="45" t="n">
        <v>0.864007234926409</v>
      </c>
      <c r="O387" s="45" t="n"/>
      <c r="P387" s="45" t="n">
        <v>0.943059518808755</v>
      </c>
      <c r="Q387" s="45" t="n"/>
      <c r="R387" s="45" t="n">
        <v>0.88990410338725</v>
      </c>
      <c r="S387" s="45" t="n">
        <v>0.459560792715587</v>
      </c>
      <c r="T387" s="45" t="n">
        <v>0.9039759939985</v>
      </c>
      <c r="U387" s="45" t="n">
        <v>0.955083324357179</v>
      </c>
      <c r="V387" s="45" t="n"/>
      <c r="W387" s="45" t="n"/>
      <c r="X387" s="45" t="n">
        <v>0.989866672739073</v>
      </c>
      <c r="Y387" s="45" t="n"/>
      <c r="Z387" s="45" t="n">
        <v>0.894829434563897</v>
      </c>
      <c r="AA387" s="45" t="n"/>
      <c r="AB387" s="45" t="n">
        <v>0.973744652105382</v>
      </c>
      <c r="AC387" s="45" t="n">
        <v>0.8503468780971259</v>
      </c>
      <c r="AD387" s="45" t="n">
        <v>0.874455732946299</v>
      </c>
      <c r="AE387" s="45" t="n">
        <v>0.806444487754174</v>
      </c>
      <c r="AF387" s="75">
        <f>IFERROR(AVERAGE(L387:U387),"")</f>
        <v/>
      </c>
      <c r="AG387" s="75">
        <f>IFERROR(AVERAGE(V387:AE387),"")</f>
        <v/>
      </c>
      <c r="AH387" s="75">
        <f>IFERROR(AVERAGE(B387:K387),"")</f>
        <v/>
      </c>
      <c r="AI387" s="45" t="n">
        <v>0.907127380371094</v>
      </c>
      <c r="AJ387" s="47" t="n">
        <v>0</v>
      </c>
    </row>
    <row r="388" ht="15" customHeight="1" s="30">
      <c r="A388" s="73" t="inlineStr">
        <is>
          <t>9045.jpg</t>
        </is>
      </c>
      <c r="B388" s="45" t="n">
        <v>0</v>
      </c>
      <c r="C388" s="45" t="n"/>
      <c r="D388" s="45" t="n">
        <v>0.844611593827</v>
      </c>
      <c r="E388" s="45" t="n"/>
      <c r="F388" s="45" t="n">
        <v>0.817515923566879</v>
      </c>
      <c r="G388" s="45" t="n"/>
      <c r="H388" s="45" t="n">
        <v>0.854852730619759</v>
      </c>
      <c r="I388" s="45" t="n">
        <v>0.449588477366255</v>
      </c>
      <c r="J388" s="45" t="n">
        <v>0.8405491024287221</v>
      </c>
      <c r="K388" s="45" t="n">
        <v>0.816238365626646</v>
      </c>
      <c r="L388" s="45" t="n">
        <v>0</v>
      </c>
      <c r="M388" s="45" t="n"/>
      <c r="N388" s="45" t="n">
        <v>0.910766476946958</v>
      </c>
      <c r="O388" s="45" t="n"/>
      <c r="P388" s="45" t="n">
        <v>0.903176042329188</v>
      </c>
      <c r="Q388" s="45" t="n"/>
      <c r="R388" s="45" t="n">
        <v>0.909127987600946</v>
      </c>
      <c r="S388" s="45" t="n">
        <v>0.501530221882173</v>
      </c>
      <c r="T388" s="45" t="n">
        <v>0.860540540540541</v>
      </c>
      <c r="U388" s="45" t="n">
        <v>0.912492637916367</v>
      </c>
      <c r="V388" s="45" t="n"/>
      <c r="W388" s="45" t="n"/>
      <c r="X388" s="45" t="n">
        <v>0.920810417226315</v>
      </c>
      <c r="Y388" s="45" t="n"/>
      <c r="Z388" s="45" t="n">
        <v>0.896046183795395</v>
      </c>
      <c r="AA388" s="45" t="n"/>
      <c r="AB388" s="45" t="n">
        <v>0.9347218339390549</v>
      </c>
      <c r="AC388" s="45" t="n">
        <v>0.812771233725977</v>
      </c>
      <c r="AD388" s="45" t="n">
        <v>0.973105134474328</v>
      </c>
      <c r="AE388" s="45" t="n">
        <v>0.885556783396207</v>
      </c>
      <c r="AF388" s="75">
        <f>IFERROR(AVERAGE(L388:U388),"")</f>
        <v/>
      </c>
      <c r="AG388" s="75">
        <f>IFERROR(AVERAGE(V388:AE388),"")</f>
        <v/>
      </c>
      <c r="AH388" s="75">
        <f>IFERROR(AVERAGE(B388:K388),"")</f>
        <v/>
      </c>
      <c r="AI388" s="45" t="n">
        <v>0.904582977294922</v>
      </c>
      <c r="AJ388" s="47" t="n">
        <v>0</v>
      </c>
    </row>
    <row r="389" ht="15" customHeight="1" s="30">
      <c r="A389" s="73" t="inlineStr">
        <is>
          <t>9054.jpg</t>
        </is>
      </c>
      <c r="B389" s="45" t="n"/>
      <c r="C389" s="45" t="n">
        <v>0</v>
      </c>
      <c r="D389" s="45" t="n">
        <v>0.939225768455388</v>
      </c>
      <c r="E389" s="45" t="n"/>
      <c r="F389" s="45" t="n">
        <v>0.891455387615797</v>
      </c>
      <c r="G389" s="45" t="n"/>
      <c r="H389" s="45" t="n">
        <v>0.89059497097089</v>
      </c>
      <c r="I389" s="45" t="n">
        <v>0.600203458799593</v>
      </c>
      <c r="J389" s="45" t="n">
        <v>0.614957264957265</v>
      </c>
      <c r="K389" s="45" t="n">
        <v>0.854437307668477</v>
      </c>
      <c r="L389" s="45" t="n"/>
      <c r="M389" s="45" t="n">
        <v>0</v>
      </c>
      <c r="N389" s="45" t="n">
        <v>0.955391705069124</v>
      </c>
      <c r="O389" s="45" t="n"/>
      <c r="P389" s="45" t="n">
        <v>0.9518448623674109</v>
      </c>
      <c r="Q389" s="45" t="n"/>
      <c r="R389" s="45" t="n">
        <v>0.920962270825963</v>
      </c>
      <c r="S389" s="45" t="n">
        <v>0.795148247978437</v>
      </c>
      <c r="T389" s="45" t="n">
        <v>0.996537396121884</v>
      </c>
      <c r="U389" s="45" t="n">
        <v>0.937363346965595</v>
      </c>
      <c r="V389" s="45" t="n"/>
      <c r="W389" s="45" t="n"/>
      <c r="X389" s="45" t="n">
        <v>0.982303191111322</v>
      </c>
      <c r="Y389" s="45" t="n"/>
      <c r="Z389" s="45" t="n">
        <v>0.933558846055655</v>
      </c>
      <c r="AA389" s="45" t="n"/>
      <c r="AB389" s="45" t="n">
        <v>0.964297776373561</v>
      </c>
      <c r="AC389" s="45" t="n">
        <v>0.709987966305656</v>
      </c>
      <c r="AD389" s="45" t="n">
        <v>0.61627408993576</v>
      </c>
      <c r="AE389" s="45" t="n">
        <v>0.90617573295075</v>
      </c>
      <c r="AF389" s="75">
        <f>IFERROR(AVERAGE(L389:U389),"")</f>
        <v/>
      </c>
      <c r="AG389" s="75">
        <f>IFERROR(AVERAGE(V389:AE389),"")</f>
        <v/>
      </c>
      <c r="AH389" s="75">
        <f>IFERROR(AVERAGE(B389:K389),"")</f>
        <v/>
      </c>
      <c r="AI389" s="45" t="n">
        <v>0.936271667480469</v>
      </c>
      <c r="AJ389" s="47" t="n">
        <v>0</v>
      </c>
    </row>
    <row r="390" ht="15" customHeight="1" s="30">
      <c r="A390" s="73" t="inlineStr">
        <is>
          <t>9055.jpg</t>
        </is>
      </c>
      <c r="B390" s="45" t="n"/>
      <c r="C390" s="45" t="n"/>
      <c r="D390" s="45" t="n">
        <v>0.952217256789275</v>
      </c>
      <c r="E390" s="45" t="n"/>
      <c r="F390" s="45" t="n">
        <v>0.890498307486421</v>
      </c>
      <c r="G390" s="45" t="n"/>
      <c r="H390" s="45" t="n">
        <v>0.891258290346352</v>
      </c>
      <c r="I390" s="45" t="n">
        <v>0.410385259631491</v>
      </c>
      <c r="J390" s="45" t="n"/>
      <c r="K390" s="45" t="n">
        <v>0.915287277411918</v>
      </c>
      <c r="L390" s="45" t="n"/>
      <c r="M390" s="45" t="n"/>
      <c r="N390" s="45" t="n">
        <v>0.9773021286604729</v>
      </c>
      <c r="O390" s="45" t="n"/>
      <c r="P390" s="45" t="n">
        <v>0.955445753621352</v>
      </c>
      <c r="Q390" s="45" t="n"/>
      <c r="R390" s="45" t="n">
        <v>0.941127836004183</v>
      </c>
      <c r="S390" s="45" t="n">
        <v>0.772870662460568</v>
      </c>
      <c r="T390" s="45" t="n"/>
      <c r="U390" s="45" t="n">
        <v>0.952419589547303</v>
      </c>
      <c r="V390" s="45" t="n"/>
      <c r="W390" s="45" t="n"/>
      <c r="X390" s="45" t="n">
        <v>0.973752050621045</v>
      </c>
      <c r="Y390" s="45" t="n"/>
      <c r="Z390" s="45" t="n">
        <v>0.9290788879306811</v>
      </c>
      <c r="AA390" s="45" t="n"/>
      <c r="AB390" s="45" t="n">
        <v>0.943882154964271</v>
      </c>
      <c r="AC390" s="45" t="n">
        <v>0.466666666666667</v>
      </c>
      <c r="AD390" s="45" t="n"/>
      <c r="AE390" s="45" t="n">
        <v>0.959144521813273</v>
      </c>
      <c r="AF390" s="75">
        <f>IFERROR(AVERAGE(L390:U390),"")</f>
        <v/>
      </c>
      <c r="AG390" s="75">
        <f>IFERROR(AVERAGE(V390:AE390),"")</f>
        <v/>
      </c>
      <c r="AH390" s="75">
        <f>IFERROR(AVERAGE(B390:K390),"")</f>
        <v/>
      </c>
      <c r="AI390" s="45" t="n">
        <v>0.952968597412109</v>
      </c>
      <c r="AJ390" s="47" t="n">
        <v>0</v>
      </c>
    </row>
    <row r="391" ht="15" customHeight="1" s="30">
      <c r="A391" s="73" t="inlineStr">
        <is>
          <t>9056.jpg</t>
        </is>
      </c>
      <c r="B391" s="45" t="n"/>
      <c r="C391" s="45" t="n"/>
      <c r="D391" s="45" t="n">
        <v>0.900430239704979</v>
      </c>
      <c r="E391" s="45" t="n"/>
      <c r="F391" s="45" t="n">
        <v>0.796220390904776</v>
      </c>
      <c r="G391" s="45" t="n"/>
      <c r="H391" s="45" t="n">
        <v>0.9394556302145241</v>
      </c>
      <c r="I391" s="45" t="n">
        <v>0.584905660377359</v>
      </c>
      <c r="J391" s="45" t="n"/>
      <c r="K391" s="45" t="n">
        <v>0.947292780474184</v>
      </c>
      <c r="L391" s="45" t="n"/>
      <c r="M391" s="45" t="n"/>
      <c r="N391" s="45" t="n">
        <v>0.97230376515635</v>
      </c>
      <c r="O391" s="45" t="n"/>
      <c r="P391" s="45" t="n">
        <v>0.859404833977553</v>
      </c>
      <c r="Q391" s="45" t="n"/>
      <c r="R391" s="45" t="n">
        <v>0.957758982664507</v>
      </c>
      <c r="S391" s="45" t="n">
        <v>0.815789473684211</v>
      </c>
      <c r="T391" s="45" t="n"/>
      <c r="U391" s="45" t="n">
        <v>0.977625032842045</v>
      </c>
      <c r="V391" s="45" t="n"/>
      <c r="W391" s="45" t="n"/>
      <c r="X391" s="45" t="n">
        <v>0.924133245990732</v>
      </c>
      <c r="Y391" s="45" t="n"/>
      <c r="Z391" s="45" t="n">
        <v>0.915467804345669</v>
      </c>
      <c r="AA391" s="45" t="n"/>
      <c r="AB391" s="45" t="n">
        <v>0.980063345527757</v>
      </c>
      <c r="AC391" s="45" t="n">
        <v>0.673913043478261</v>
      </c>
      <c r="AD391" s="45" t="n"/>
      <c r="AE391" s="45" t="n">
        <v>0.968285946930587</v>
      </c>
      <c r="AF391" s="75">
        <f>IFERROR(AVERAGE(L391:U391),"")</f>
        <v/>
      </c>
      <c r="AG391" s="75">
        <f>IFERROR(AVERAGE(V391:AE391),"")</f>
        <v/>
      </c>
      <c r="AH391" s="75">
        <f>IFERROR(AVERAGE(B391:K391),"")</f>
        <v/>
      </c>
      <c r="AI391" s="45" t="n">
        <v>0.960735321044922</v>
      </c>
      <c r="AJ391" s="47" t="n">
        <v>0</v>
      </c>
    </row>
    <row r="392" ht="15" customHeight="1" s="30">
      <c r="A392" s="73" t="inlineStr">
        <is>
          <t>9058.jpg</t>
        </is>
      </c>
      <c r="B392" s="45" t="n"/>
      <c r="C392" s="45" t="n"/>
      <c r="D392" s="45" t="n">
        <v>0.931962063696121</v>
      </c>
      <c r="E392" s="45" t="n"/>
      <c r="F392" s="45" t="n">
        <v>0.853041362530414</v>
      </c>
      <c r="G392" s="45" t="n"/>
      <c r="H392" s="45" t="n">
        <v>0.8688827941711</v>
      </c>
      <c r="I392" s="45" t="n">
        <v>0.8583333333333329</v>
      </c>
      <c r="J392" s="45" t="n"/>
      <c r="K392" s="45" t="n">
        <v>0.8967672287174669</v>
      </c>
      <c r="L392" s="45" t="n"/>
      <c r="M392" s="45" t="n"/>
      <c r="N392" s="45" t="n">
        <v>0.9610305152576289</v>
      </c>
      <c r="O392" s="45" t="n"/>
      <c r="P392" s="45" t="n">
        <v>0.9253743783513459</v>
      </c>
      <c r="Q392" s="45" t="n"/>
      <c r="R392" s="45" t="n">
        <v>0.927382379911124</v>
      </c>
      <c r="S392" s="45" t="n">
        <v>0.962616822429907</v>
      </c>
      <c r="T392" s="45" t="n"/>
      <c r="U392" s="45" t="n">
        <v>0.946340140272019</v>
      </c>
      <c r="V392" s="45" t="n"/>
      <c r="W392" s="45" t="n"/>
      <c r="X392" s="45" t="n">
        <v>0.9685648743351229</v>
      </c>
      <c r="Y392" s="45" t="n"/>
      <c r="Z392" s="45" t="n">
        <v>0.916059297560439</v>
      </c>
      <c r="AA392" s="45" t="n"/>
      <c r="AB392" s="45" t="n">
        <v>0.932314565309885</v>
      </c>
      <c r="AC392" s="45" t="n">
        <v>0.887931034482759</v>
      </c>
      <c r="AD392" s="45" t="n"/>
      <c r="AE392" s="45" t="n">
        <v>0.944809817090155</v>
      </c>
      <c r="AF392" s="75">
        <f>IFERROR(AVERAGE(L392:U392),"")</f>
        <v/>
      </c>
      <c r="AG392" s="75">
        <f>IFERROR(AVERAGE(V392:AE392),"")</f>
        <v/>
      </c>
      <c r="AH392" s="75">
        <f>IFERROR(AVERAGE(B392:K392),"")</f>
        <v/>
      </c>
      <c r="AI392" s="45" t="n">
        <v>0.941627502441406</v>
      </c>
      <c r="AJ392" s="47" t="n">
        <v>0</v>
      </c>
    </row>
    <row r="393" ht="15" customHeight="1" s="30">
      <c r="A393" s="73" t="inlineStr">
        <is>
          <t>9060.jpg</t>
        </is>
      </c>
      <c r="B393" s="45" t="n"/>
      <c r="C393" s="45" t="n"/>
      <c r="D393" s="45" t="n">
        <v>0.925017812984618</v>
      </c>
      <c r="E393" s="45" t="n"/>
      <c r="F393" s="45" t="n">
        <v>0.88133704735376</v>
      </c>
      <c r="G393" s="45" t="n"/>
      <c r="H393" s="45" t="n">
        <v>0.836487298317885</v>
      </c>
      <c r="I393" s="45" t="n">
        <v>0.763341067285383</v>
      </c>
      <c r="J393" s="45" t="n"/>
      <c r="K393" s="45" t="n">
        <v>0.894785355881806</v>
      </c>
      <c r="L393" s="45" t="n"/>
      <c r="M393" s="45" t="n"/>
      <c r="N393" s="45" t="n">
        <v>0.942960905789361</v>
      </c>
      <c r="O393" s="45" t="n"/>
      <c r="P393" s="45" t="n">
        <v>0.951314031180401</v>
      </c>
      <c r="Q393" s="45" t="n"/>
      <c r="R393" s="45" t="n">
        <v>0.8965001839587931</v>
      </c>
      <c r="S393" s="45" t="n">
        <v>0.964809384164223</v>
      </c>
      <c r="T393" s="45" t="n"/>
      <c r="U393" s="45" t="n">
        <v>0.9507602385371829</v>
      </c>
      <c r="V393" s="45" t="n"/>
      <c r="W393" s="45" t="n"/>
      <c r="X393" s="45" t="n">
        <v>0.97984372225182</v>
      </c>
      <c r="Y393" s="45" t="n"/>
      <c r="Z393" s="45" t="n">
        <v>0.922967220553599</v>
      </c>
      <c r="AA393" s="45" t="n"/>
      <c r="AB393" s="45" t="n">
        <v>0.92590305649892</v>
      </c>
      <c r="AC393" s="45" t="n">
        <v>0.785202863961814</v>
      </c>
      <c r="AD393" s="45" t="n"/>
      <c r="AE393" s="45" t="n">
        <v>0.9382653498686579</v>
      </c>
      <c r="AF393" s="75">
        <f>IFERROR(AVERAGE(L393:U393),"")</f>
        <v/>
      </c>
      <c r="AG393" s="75">
        <f>IFERROR(AVERAGE(V393:AE393),"")</f>
        <v/>
      </c>
      <c r="AH393" s="75">
        <f>IFERROR(AVERAGE(B393:K393),"")</f>
        <v/>
      </c>
      <c r="AI393" s="45" t="n">
        <v>0.940479278564453</v>
      </c>
      <c r="AJ393" s="47" t="n">
        <v>0</v>
      </c>
    </row>
    <row r="394" ht="15" customHeight="1" s="30">
      <c r="A394" s="73" t="inlineStr">
        <is>
          <t>9067.jpg</t>
        </is>
      </c>
      <c r="B394" s="45" t="n"/>
      <c r="C394" s="45" t="n"/>
      <c r="D394" s="45" t="n">
        <v>0.932961024943098</v>
      </c>
      <c r="E394" s="45" t="n"/>
      <c r="F394" s="45" t="n">
        <v>0.884010310194649</v>
      </c>
      <c r="G394" s="45" t="n"/>
      <c r="H394" s="45" t="n">
        <v>0.82844045645177</v>
      </c>
      <c r="I394" s="45" t="n">
        <v>0.835738068812431</v>
      </c>
      <c r="J394" s="45" t="n">
        <v>0.494580718767827</v>
      </c>
      <c r="K394" s="45" t="n">
        <v>0.92412204289753</v>
      </c>
      <c r="L394" s="45" t="n"/>
      <c r="M394" s="45" t="n"/>
      <c r="N394" s="45" t="n">
        <v>0.974796508777091</v>
      </c>
      <c r="O394" s="45" t="n"/>
      <c r="P394" s="45" t="n">
        <v>0.922292284866469</v>
      </c>
      <c r="Q394" s="45" t="n"/>
      <c r="R394" s="45" t="n">
        <v>0.862387556602433</v>
      </c>
      <c r="S394" s="45" t="n">
        <v>0.903961584633854</v>
      </c>
      <c r="T394" s="45" t="n">
        <v>0.823361823361823</v>
      </c>
      <c r="U394" s="45" t="n">
        <v>0.974128014530288</v>
      </c>
      <c r="V394" s="45" t="n"/>
      <c r="W394" s="45" t="n"/>
      <c r="X394" s="45" t="n">
        <v>0.956022025054702</v>
      </c>
      <c r="Y394" s="45" t="n"/>
      <c r="Z394" s="45" t="n">
        <v>0.95515221357918</v>
      </c>
      <c r="AA394" s="45" t="n"/>
      <c r="AB394" s="45" t="n">
        <v>0.954639453335731</v>
      </c>
      <c r="AC394" s="45" t="n">
        <v>0.917174177831912</v>
      </c>
      <c r="AD394" s="45" t="n">
        <v>0.553286534779834</v>
      </c>
      <c r="AE394" s="45" t="n">
        <v>0.947374274629873</v>
      </c>
      <c r="AF394" s="75">
        <f>IFERROR(AVERAGE(L394:U394),"")</f>
        <v/>
      </c>
      <c r="AG394" s="75">
        <f>IFERROR(AVERAGE(V394:AE394),"")</f>
        <v/>
      </c>
      <c r="AH394" s="75">
        <f>IFERROR(AVERAGE(B394:K394),"")</f>
        <v/>
      </c>
      <c r="AI394" s="45" t="n">
        <v>0.948146820068359</v>
      </c>
      <c r="AJ394" s="47" t="n">
        <v>0</v>
      </c>
    </row>
    <row r="395" ht="15" customHeight="1" s="30">
      <c r="A395" s="73" t="inlineStr">
        <is>
          <t>9068.jpg</t>
        </is>
      </c>
      <c r="B395" s="45" t="n"/>
      <c r="C395" s="45" t="n"/>
      <c r="D395" s="45" t="n">
        <v>0.955482080651827</v>
      </c>
      <c r="E395" s="45" t="n"/>
      <c r="F395" s="45" t="n">
        <v>0.901783406565004</v>
      </c>
      <c r="G395" s="45" t="n"/>
      <c r="H395" s="45" t="n">
        <v>0.753192039286637</v>
      </c>
      <c r="I395" s="45" t="n">
        <v>0.85348506401138</v>
      </c>
      <c r="J395" s="45" t="n">
        <v>0.51586946803755</v>
      </c>
      <c r="K395" s="45" t="n">
        <v>0.921727114871971</v>
      </c>
      <c r="L395" s="45" t="n"/>
      <c r="M395" s="45" t="n"/>
      <c r="N395" s="45" t="n">
        <v>0.980787878787879</v>
      </c>
      <c r="O395" s="45" t="n"/>
      <c r="P395" s="45" t="n">
        <v>0.949852989219209</v>
      </c>
      <c r="Q395" s="45" t="n"/>
      <c r="R395" s="45" t="n">
        <v>0.795159353852871</v>
      </c>
      <c r="S395" s="45" t="n">
        <v>0.958466453674121</v>
      </c>
      <c r="T395" s="45" t="n">
        <v>0.9036805011746279</v>
      </c>
      <c r="U395" s="45" t="n">
        <v>0.971973101398444</v>
      </c>
      <c r="V395" s="45" t="n"/>
      <c r="W395" s="45" t="n"/>
      <c r="X395" s="45" t="n">
        <v>0.973706377858002</v>
      </c>
      <c r="Y395" s="45" t="n"/>
      <c r="Z395" s="45" t="n">
        <v>0.946862787668259</v>
      </c>
      <c r="AA395" s="45" t="n"/>
      <c r="AB395" s="45" t="n">
        <v>0.934515601449508</v>
      </c>
      <c r="AC395" s="45" t="n">
        <v>0.886262924667651</v>
      </c>
      <c r="AD395" s="45" t="n">
        <v>0.545884578997162</v>
      </c>
      <c r="AE395" s="45" t="n">
        <v>0.94689370575784</v>
      </c>
      <c r="AF395" s="75">
        <f>IFERROR(AVERAGE(L395:U395),"")</f>
        <v/>
      </c>
      <c r="AG395" s="75">
        <f>IFERROR(AVERAGE(V395:AE395),"")</f>
        <v/>
      </c>
      <c r="AH395" s="75">
        <f>IFERROR(AVERAGE(B395:K395),"")</f>
        <v/>
      </c>
      <c r="AI395" s="45" t="n">
        <v>0.946971893310547</v>
      </c>
      <c r="AJ395" s="47" t="n">
        <v>0</v>
      </c>
    </row>
    <row r="396" ht="15" customHeight="1" s="30">
      <c r="A396" s="73" t="inlineStr">
        <is>
          <t>9082.jpg</t>
        </is>
      </c>
      <c r="B396" s="45" t="n"/>
      <c r="C396" s="45" t="n"/>
      <c r="D396" s="45" t="n">
        <v>0.918187792056075</v>
      </c>
      <c r="E396" s="45" t="n"/>
      <c r="F396" s="45" t="n">
        <v>0.252167060677699</v>
      </c>
      <c r="G396" s="45" t="n">
        <v>0.958566555885954</v>
      </c>
      <c r="H396" s="45" t="n">
        <v>0.91245616313807</v>
      </c>
      <c r="I396" s="45" t="n"/>
      <c r="J396" s="45" t="n"/>
      <c r="K396" s="45" t="n">
        <v>0.8974590943831789</v>
      </c>
      <c r="L396" s="45" t="n"/>
      <c r="M396" s="45" t="n"/>
      <c r="N396" s="45" t="n">
        <v>0.949130155854938</v>
      </c>
      <c r="O396" s="45" t="n"/>
      <c r="P396" s="45" t="n">
        <v>0.892608089260809</v>
      </c>
      <c r="Q396" s="45" t="n">
        <v>0.994126984126984</v>
      </c>
      <c r="R396" s="45" t="n">
        <v>0.945194420774095</v>
      </c>
      <c r="S396" s="45" t="n"/>
      <c r="T396" s="45" t="n"/>
      <c r="U396" s="45" t="n">
        <v>0.933890602174972</v>
      </c>
      <c r="V396" s="45" t="n"/>
      <c r="W396" s="45" t="n"/>
      <c r="X396" s="45" t="n">
        <v>0.965711872216249</v>
      </c>
      <c r="Y396" s="45" t="n"/>
      <c r="Z396" s="45" t="n">
        <v>0.260056887444128</v>
      </c>
      <c r="AA396" s="45" t="n">
        <v>0.964025771268993</v>
      </c>
      <c r="AB396" s="45" t="n">
        <v>0.963428571428571</v>
      </c>
      <c r="AC396" s="45" t="n"/>
      <c r="AD396" s="45" t="n"/>
      <c r="AE396" s="45" t="n">
        <v>0.958343049402045</v>
      </c>
      <c r="AF396" s="75">
        <f>IFERROR(AVERAGE(L396:U396),"")</f>
        <v/>
      </c>
      <c r="AG396" s="75">
        <f>IFERROR(AVERAGE(V396:AE396),"")</f>
        <v/>
      </c>
      <c r="AH396" s="75">
        <f>IFERROR(AVERAGE(B396:K396),"")</f>
        <v/>
      </c>
      <c r="AI396" s="45" t="n">
        <v>0.948223114013672</v>
      </c>
      <c r="AJ396" s="47" t="n">
        <v>0</v>
      </c>
    </row>
    <row r="397" ht="15" customHeight="1" s="30">
      <c r="A397" s="73" t="inlineStr">
        <is>
          <t>9092.jpg</t>
        </is>
      </c>
      <c r="B397" s="45" t="n">
        <v>0</v>
      </c>
      <c r="C397" s="45" t="n"/>
      <c r="D397" s="45" t="n">
        <v>0.924956432051784</v>
      </c>
      <c r="E397" s="45" t="n">
        <v>0</v>
      </c>
      <c r="F397" s="45" t="n">
        <v>0.752888629964074</v>
      </c>
      <c r="G397" s="45" t="n"/>
      <c r="H397" s="45" t="n">
        <v>0.882184301677071</v>
      </c>
      <c r="I397" s="45" t="n">
        <v>0.622068965517241</v>
      </c>
      <c r="J397" s="45" t="n">
        <v>0.842386464826358</v>
      </c>
      <c r="K397" s="45" t="n">
        <v>0</v>
      </c>
      <c r="L397" s="45" t="n"/>
      <c r="M397" s="45" t="n"/>
      <c r="N397" s="45" t="n">
        <v>0.953388199497773</v>
      </c>
      <c r="O397" s="45" t="n">
        <v>0</v>
      </c>
      <c r="P397" s="45" t="n">
        <v>0.802608425628817</v>
      </c>
      <c r="Q397" s="45" t="n"/>
      <c r="R397" s="45" t="n">
        <v>0.9332857172432349</v>
      </c>
      <c r="S397" s="45" t="n">
        <v>0.846153846153846</v>
      </c>
      <c r="T397" s="45" t="n">
        <v>0.8491921005385999</v>
      </c>
      <c r="U397" s="45" t="n">
        <v>0</v>
      </c>
      <c r="V397" s="45" t="n">
        <v>0</v>
      </c>
      <c r="W397" s="45" t="n"/>
      <c r="X397" s="45" t="n">
        <v>0.968765714924289</v>
      </c>
      <c r="Y397" s="45" t="n"/>
      <c r="Z397" s="45" t="n">
        <v>0.92397521448999</v>
      </c>
      <c r="AA397" s="45" t="n"/>
      <c r="AB397" s="45" t="n">
        <v>0.941560408116378</v>
      </c>
      <c r="AC397" s="45" t="n">
        <v>0.701399688958009</v>
      </c>
      <c r="AD397" s="45" t="n">
        <v>0.990575916230366</v>
      </c>
      <c r="AE397" s="45" t="n"/>
      <c r="AF397" s="75">
        <f>IFERROR(AVERAGE(L397:U397),"")</f>
        <v/>
      </c>
      <c r="AG397" s="75">
        <f>IFERROR(AVERAGE(V397:AE397),"")</f>
        <v/>
      </c>
      <c r="AH397" s="75">
        <f>IFERROR(AVERAGE(B397:K397),"")</f>
        <v/>
      </c>
      <c r="AI397" s="45" t="n">
        <v>0.617668151855469</v>
      </c>
      <c r="AJ397" s="47" t="n">
        <v>0</v>
      </c>
    </row>
    <row r="398" ht="15" customHeight="1" s="30">
      <c r="A398" s="73" t="inlineStr">
        <is>
          <t>9096.jpg</t>
        </is>
      </c>
      <c r="B398" s="45" t="n">
        <v>0.00505030884581019</v>
      </c>
      <c r="C398" s="45" t="n">
        <v>0</v>
      </c>
      <c r="D398" s="45" t="n">
        <v>0.92622936315538</v>
      </c>
      <c r="E398" s="45" t="n">
        <v>0</v>
      </c>
      <c r="F398" s="45" t="n">
        <v>0.846683877859877</v>
      </c>
      <c r="G398" s="45" t="n"/>
      <c r="H398" s="45" t="n">
        <v>0.831718669194966</v>
      </c>
      <c r="I398" s="45" t="n">
        <v>0.8591867469879521</v>
      </c>
      <c r="J398" s="45" t="n">
        <v>0.8199121522694</v>
      </c>
      <c r="K398" s="45" t="n">
        <v>0</v>
      </c>
      <c r="L398" s="45" t="n">
        <v>1</v>
      </c>
      <c r="M398" s="45" t="n">
        <v>0</v>
      </c>
      <c r="N398" s="45" t="n">
        <v>0.96088113813676</v>
      </c>
      <c r="O398" s="45" t="n">
        <v>0</v>
      </c>
      <c r="P398" s="45" t="n">
        <v>0.869455516144367</v>
      </c>
      <c r="Q398" s="45" t="n"/>
      <c r="R398" s="45" t="n">
        <v>0.866751299432322</v>
      </c>
      <c r="S398" s="45" t="n">
        <v>0.91207034372502</v>
      </c>
      <c r="T398" s="45" t="n">
        <v>0.955631399317406</v>
      </c>
      <c r="U398" s="45" t="n">
        <v>0</v>
      </c>
      <c r="V398" s="45" t="n">
        <v>0.00505030884581019</v>
      </c>
      <c r="W398" s="45" t="n"/>
      <c r="X398" s="45" t="n">
        <v>0.96252436467949</v>
      </c>
      <c r="Y398" s="45" t="n"/>
      <c r="Z398" s="45" t="n">
        <v>0.969994900560938</v>
      </c>
      <c r="AA398" s="45" t="n"/>
      <c r="AB398" s="45" t="n">
        <v>0.953655997575406</v>
      </c>
      <c r="AC398" s="45" t="n">
        <v>0.936781609195402</v>
      </c>
      <c r="AD398" s="45" t="n">
        <v>0.852359208523592</v>
      </c>
      <c r="AE398" s="45" t="n"/>
      <c r="AF398" s="75">
        <f>IFERROR(AVERAGE(L398:U398),"")</f>
        <v/>
      </c>
      <c r="AG398" s="75">
        <f>IFERROR(AVERAGE(V398:AE398),"")</f>
        <v/>
      </c>
      <c r="AH398" s="75">
        <f>IFERROR(AVERAGE(B398:K398),"")</f>
        <v/>
      </c>
      <c r="AI398" s="45" t="n">
        <v>0.678112030029297</v>
      </c>
      <c r="AJ398" s="47" t="n">
        <v>0</v>
      </c>
    </row>
    <row r="399" ht="15" customHeight="1" s="30">
      <c r="A399" s="73" t="inlineStr">
        <is>
          <t>9107.jpg</t>
        </is>
      </c>
      <c r="B399" s="45" t="n">
        <v>0</v>
      </c>
      <c r="C399" s="45" t="n"/>
      <c r="D399" s="45" t="n">
        <v>0.888708425389622</v>
      </c>
      <c r="E399" s="45" t="n"/>
      <c r="F399" s="45" t="n">
        <v>0.722144542515075</v>
      </c>
      <c r="G399" s="45" t="n"/>
      <c r="H399" s="45" t="n">
        <v>0.877097394517552</v>
      </c>
      <c r="I399" s="45" t="n">
        <v>0.838208409506399</v>
      </c>
      <c r="J399" s="45" t="n"/>
      <c r="K399" s="45" t="n">
        <v>0.651325974626536</v>
      </c>
      <c r="L399" s="45" t="n">
        <v>0</v>
      </c>
      <c r="M399" s="45" t="n"/>
      <c r="N399" s="45" t="n">
        <v>0.967874515516479</v>
      </c>
      <c r="O399" s="45" t="n"/>
      <c r="P399" s="45" t="n">
        <v>0.81845193879067</v>
      </c>
      <c r="Q399" s="45" t="n"/>
      <c r="R399" s="45" t="n">
        <v>0.904448073408764</v>
      </c>
      <c r="S399" s="45" t="n">
        <v>0.912135278514589</v>
      </c>
      <c r="T399" s="45" t="n"/>
      <c r="U399" s="45" t="n">
        <v>0.831408479622215</v>
      </c>
      <c r="V399" s="45" t="n"/>
      <c r="W399" s="45" t="n"/>
      <c r="X399" s="45" t="n">
        <v>0.915720174736972</v>
      </c>
      <c r="Y399" s="45" t="n"/>
      <c r="Z399" s="45" t="n">
        <v>0.859885535900104</v>
      </c>
      <c r="AA399" s="45" t="n"/>
      <c r="AB399" s="45" t="n">
        <v>0.966671514950028</v>
      </c>
      <c r="AC399" s="45" t="n">
        <v>0.911832946635731</v>
      </c>
      <c r="AD399" s="45" t="n"/>
      <c r="AE399" s="45" t="n">
        <v>0.75044014084507</v>
      </c>
      <c r="AF399" s="75">
        <f>IFERROR(AVERAGE(L399:U399),"")</f>
        <v/>
      </c>
      <c r="AG399" s="75">
        <f>IFERROR(AVERAGE(V399:AE399),"")</f>
        <v/>
      </c>
      <c r="AH399" s="75">
        <f>IFERROR(AVERAGE(B399:K399),"")</f>
        <v/>
      </c>
      <c r="AI399" s="45" t="n">
        <v>0.898979187011719</v>
      </c>
      <c r="AJ399" s="47" t="n">
        <v>0</v>
      </c>
    </row>
    <row r="400" ht="15" customHeight="1" s="30">
      <c r="A400" s="73" t="inlineStr">
        <is>
          <t>9109.jpg</t>
        </is>
      </c>
      <c r="B400" s="45" t="n">
        <v>0</v>
      </c>
      <c r="C400" s="45" t="n"/>
      <c r="D400" s="45" t="n">
        <v>0.881595714248563</v>
      </c>
      <c r="E400" s="45" t="n"/>
      <c r="F400" s="45" t="n">
        <v>0.777867803837953</v>
      </c>
      <c r="G400" s="45" t="n"/>
      <c r="H400" s="45" t="n">
        <v>0.8649781566706169</v>
      </c>
      <c r="I400" s="45" t="n">
        <v>0.874601148691768</v>
      </c>
      <c r="J400" s="45" t="n"/>
      <c r="K400" s="45" t="n">
        <v>0.625058821122409</v>
      </c>
      <c r="L400" s="45" t="n">
        <v>0</v>
      </c>
      <c r="M400" s="45" t="n"/>
      <c r="N400" s="45" t="n">
        <v>0.95176596103094</v>
      </c>
      <c r="O400" s="45" t="n"/>
      <c r="P400" s="45" t="n">
        <v>0.853619729514718</v>
      </c>
      <c r="Q400" s="45" t="n"/>
      <c r="R400" s="45" t="n">
        <v>0.9094543831591479</v>
      </c>
      <c r="S400" s="45" t="n">
        <v>0.919490103991949</v>
      </c>
      <c r="T400" s="45" t="n"/>
      <c r="U400" s="45" t="n">
        <v>0.811835671768708</v>
      </c>
      <c r="V400" s="45" t="n"/>
      <c r="W400" s="45" t="n"/>
      <c r="X400" s="45" t="n">
        <v>0.922825643119641</v>
      </c>
      <c r="Y400" s="45" t="n"/>
      <c r="Z400" s="45" t="n">
        <v>0.89759866154906</v>
      </c>
      <c r="AA400" s="45" t="n"/>
      <c r="AB400" s="45" t="n">
        <v>0.94648732339849</v>
      </c>
      <c r="AC400" s="45" t="n">
        <v>0.94713199723566</v>
      </c>
      <c r="AD400" s="45" t="n"/>
      <c r="AE400" s="45" t="n">
        <v>0.73095511532204</v>
      </c>
      <c r="AF400" s="75">
        <f>IFERROR(AVERAGE(L400:U400),"")</f>
        <v/>
      </c>
      <c r="AG400" s="75">
        <f>IFERROR(AVERAGE(V400:AE400),"")</f>
        <v/>
      </c>
      <c r="AH400" s="75">
        <f>IFERROR(AVERAGE(B400:K400),"")</f>
        <v/>
      </c>
      <c r="AI400" s="45" t="n">
        <v>0.897918701171875</v>
      </c>
      <c r="AJ400" s="47" t="n">
        <v>0</v>
      </c>
    </row>
    <row r="401" ht="15" customHeight="1" s="30">
      <c r="A401" s="73" t="inlineStr">
        <is>
          <t>9112.jpg</t>
        </is>
      </c>
      <c r="B401" s="45" t="n">
        <v>0</v>
      </c>
      <c r="C401" s="45" t="n"/>
      <c r="D401" s="45" t="n">
        <v>0.8163894023413431</v>
      </c>
      <c r="E401" s="45" t="n"/>
      <c r="F401" s="45" t="n">
        <v>0.860980983008787</v>
      </c>
      <c r="G401" s="45" t="n">
        <v>0.8740216175922479</v>
      </c>
      <c r="H401" s="45" t="n">
        <v>0.943170084083198</v>
      </c>
      <c r="I401" s="45" t="n">
        <v>0.5670588235294119</v>
      </c>
      <c r="J401" s="45" t="n"/>
      <c r="K401" s="45" t="n">
        <v>0.947759629495512</v>
      </c>
      <c r="L401" s="45" t="n">
        <v>0</v>
      </c>
      <c r="M401" s="45" t="n"/>
      <c r="N401" s="45" t="n">
        <v>0.83596214511041</v>
      </c>
      <c r="O401" s="45" t="n"/>
      <c r="P401" s="45" t="n">
        <v>0.902577579570492</v>
      </c>
      <c r="Q401" s="45" t="n">
        <v>0.883286698235041</v>
      </c>
      <c r="R401" s="45" t="n">
        <v>0.987051581405222</v>
      </c>
      <c r="S401" s="45" t="n">
        <v>0.708823529411765</v>
      </c>
      <c r="T401" s="45" t="n"/>
      <c r="U401" s="45" t="n">
        <v>0.98063498323802</v>
      </c>
      <c r="V401" s="45" t="n"/>
      <c r="W401" s="45" t="n"/>
      <c r="X401" s="45" t="n">
        <v>0.972120322817315</v>
      </c>
      <c r="Y401" s="45" t="n"/>
      <c r="Z401" s="45" t="n">
        <v>0.9491918148572071</v>
      </c>
      <c r="AA401" s="45" t="n">
        <v>0.988141102817241</v>
      </c>
      <c r="AB401" s="45" t="n">
        <v>0.9549859039226301</v>
      </c>
      <c r="AC401" s="45" t="n">
        <v>0.739263803680982</v>
      </c>
      <c r="AD401" s="45" t="n"/>
      <c r="AE401" s="45" t="n">
        <v>0.965836036281003</v>
      </c>
      <c r="AF401" s="75">
        <f>IFERROR(AVERAGE(L401:U401),"")</f>
        <v/>
      </c>
      <c r="AG401" s="75">
        <f>IFERROR(AVERAGE(V401:AE401),"")</f>
        <v/>
      </c>
      <c r="AH401" s="75">
        <f>IFERROR(AVERAGE(B401:K401),"")</f>
        <v/>
      </c>
      <c r="AI401" s="45" t="n">
        <v>0.9625091552734381</v>
      </c>
      <c r="AJ401" s="47" t="n">
        <v>0</v>
      </c>
    </row>
    <row r="402" ht="15" customHeight="1" s="30">
      <c r="A402" s="73" t="inlineStr">
        <is>
          <t>9113.jpg</t>
        </is>
      </c>
      <c r="B402" s="45" t="n">
        <v>0</v>
      </c>
      <c r="C402" s="45" t="n"/>
      <c r="D402" s="45" t="n">
        <v>0.870523415977962</v>
      </c>
      <c r="E402" s="45" t="n"/>
      <c r="F402" s="45" t="n">
        <v>0.856267933354231</v>
      </c>
      <c r="G402" s="45" t="n">
        <v>0.960592821040007</v>
      </c>
      <c r="H402" s="45" t="n">
        <v>0.94606761887543</v>
      </c>
      <c r="I402" s="45" t="n">
        <v>0</v>
      </c>
      <c r="J402" s="45" t="n"/>
      <c r="K402" s="45" t="n">
        <v>0.944631883359441</v>
      </c>
      <c r="L402" s="45" t="n">
        <v>0</v>
      </c>
      <c r="M402" s="45" t="n"/>
      <c r="N402" s="45" t="n">
        <v>0.977571539056458</v>
      </c>
      <c r="O402" s="45" t="n"/>
      <c r="P402" s="45" t="n">
        <v>0.900634034998732</v>
      </c>
      <c r="Q402" s="45" t="n">
        <v>0.988800705467372</v>
      </c>
      <c r="R402" s="45" t="n">
        <v>0.988215520009065</v>
      </c>
      <c r="S402" s="45" t="n">
        <v>0</v>
      </c>
      <c r="T402" s="45" t="n"/>
      <c r="U402" s="45" t="n">
        <v>0.97029519153413</v>
      </c>
      <c r="V402" s="45" t="n"/>
      <c r="W402" s="45" t="n"/>
      <c r="X402" s="45" t="n">
        <v>0.888264230498946</v>
      </c>
      <c r="Y402" s="45" t="n"/>
      <c r="Z402" s="45" t="n">
        <v>0.945599786979097</v>
      </c>
      <c r="AA402" s="45" t="n">
        <v>0.971158842889312</v>
      </c>
      <c r="AB402" s="45" t="n">
        <v>0.95686281680869</v>
      </c>
      <c r="AC402" s="45" t="n">
        <v>0</v>
      </c>
      <c r="AD402" s="45" t="n"/>
      <c r="AE402" s="45" t="n">
        <v>0.972763370145179</v>
      </c>
      <c r="AF402" s="75">
        <f>IFERROR(AVERAGE(L402:U402),"")</f>
        <v/>
      </c>
      <c r="AG402" s="75">
        <f>IFERROR(AVERAGE(V402:AE402),"")</f>
        <v/>
      </c>
      <c r="AH402" s="75">
        <f>IFERROR(AVERAGE(B402:K402),"")</f>
        <v/>
      </c>
      <c r="AI402" s="45" t="n">
        <v>0.9637451171875</v>
      </c>
      <c r="AJ402" s="47" t="n">
        <v>0</v>
      </c>
    </row>
    <row r="403" ht="15" customHeight="1" s="30">
      <c r="A403" s="73" t="inlineStr">
        <is>
          <t>9114.jpg</t>
        </is>
      </c>
      <c r="B403" s="45" t="n"/>
      <c r="C403" s="45" t="n"/>
      <c r="D403" s="45" t="n">
        <v>0.804558011049724</v>
      </c>
      <c r="E403" s="45" t="n"/>
      <c r="F403" s="45" t="n">
        <v>0.828776056563623</v>
      </c>
      <c r="G403" s="45" t="n">
        <v>0.909725047956752</v>
      </c>
      <c r="H403" s="45" t="n">
        <v>0.941620162016202</v>
      </c>
      <c r="I403" s="45" t="n">
        <v>0.921511627906977</v>
      </c>
      <c r="J403" s="45" t="n"/>
      <c r="K403" s="45" t="n">
        <v>0.913210137879741</v>
      </c>
      <c r="L403" s="45" t="n"/>
      <c r="M403" s="45" t="n"/>
      <c r="N403" s="45" t="n">
        <v>0.965202982601491</v>
      </c>
      <c r="O403" s="45" t="n"/>
      <c r="P403" s="45" t="n">
        <v>0.86569946700447</v>
      </c>
      <c r="Q403" s="45" t="n">
        <v>0.945505074915418</v>
      </c>
      <c r="R403" s="45" t="n">
        <v>0.983528571159957</v>
      </c>
      <c r="S403" s="45" t="n">
        <v>0.935103244837758</v>
      </c>
      <c r="T403" s="45" t="n"/>
      <c r="U403" s="45" t="n">
        <v>0.963947098254726</v>
      </c>
      <c r="V403" s="45" t="n"/>
      <c r="W403" s="45" t="n"/>
      <c r="X403" s="45" t="n">
        <v>0.828591749644381</v>
      </c>
      <c r="Y403" s="45" t="n"/>
      <c r="Z403" s="45" t="n">
        <v>0.95105556139061</v>
      </c>
      <c r="AA403" s="45" t="n">
        <v>0.9600637997668861</v>
      </c>
      <c r="AB403" s="45" t="n">
        <v>0.95670702710612</v>
      </c>
      <c r="AC403" s="45" t="n">
        <v>0.984472049689441</v>
      </c>
      <c r="AD403" s="45" t="n"/>
      <c r="AE403" s="45" t="n">
        <v>0.945504087193461</v>
      </c>
      <c r="AF403" s="75">
        <f>IFERROR(AVERAGE(L403:U403),"")</f>
        <v/>
      </c>
      <c r="AG403" s="75">
        <f>IFERROR(AVERAGE(V403:AE403),"")</f>
        <v/>
      </c>
      <c r="AH403" s="75">
        <f>IFERROR(AVERAGE(B403:K403),"")</f>
        <v/>
      </c>
      <c r="AI403" s="45" t="n">
        <v>0.949878692626953</v>
      </c>
      <c r="AJ403" s="47" t="n">
        <v>0</v>
      </c>
    </row>
    <row r="404" ht="15" customHeight="1" s="30">
      <c r="A404" s="73" t="inlineStr">
        <is>
          <t>9231.jpg</t>
        </is>
      </c>
      <c r="B404" s="45" t="n">
        <v>0</v>
      </c>
      <c r="C404" s="45" t="n"/>
      <c r="D404" s="45" t="n">
        <v>0.785642507222711</v>
      </c>
      <c r="E404" s="45" t="n"/>
      <c r="F404" s="45" t="n">
        <v>0.83094960918011</v>
      </c>
      <c r="G404" s="45" t="n">
        <v>0</v>
      </c>
      <c r="H404" s="45" t="n">
        <v>0.515932599265933</v>
      </c>
      <c r="I404" s="45" t="n">
        <v>0</v>
      </c>
      <c r="J404" s="45" t="n"/>
      <c r="K404" s="45" t="n">
        <v>0.47692588869597</v>
      </c>
      <c r="L404" s="45" t="n"/>
      <c r="M404" s="45" t="n"/>
      <c r="N404" s="45" t="n">
        <v>0.972214665993083</v>
      </c>
      <c r="O404" s="45" t="n"/>
      <c r="P404" s="45" t="n">
        <v>0.885550977003855</v>
      </c>
      <c r="Q404" s="45" t="n">
        <v>0</v>
      </c>
      <c r="R404" s="45" t="n">
        <v>0.9288878876623859</v>
      </c>
      <c r="S404" s="45" t="n">
        <v>0</v>
      </c>
      <c r="T404" s="45" t="n"/>
      <c r="U404" s="45" t="n">
        <v>0.497749208408042</v>
      </c>
      <c r="V404" s="45" t="n">
        <v>0</v>
      </c>
      <c r="W404" s="45" t="n"/>
      <c r="X404" s="45" t="n">
        <v>0.803687879469305</v>
      </c>
      <c r="Y404" s="45" t="n"/>
      <c r="Z404" s="45" t="n">
        <v>0.930923657366435</v>
      </c>
      <c r="AA404" s="45" t="n"/>
      <c r="AB404" s="45" t="n">
        <v>0.5371488123670159</v>
      </c>
      <c r="AC404" s="45" t="n"/>
      <c r="AD404" s="45" t="n"/>
      <c r="AE404" s="45" t="n">
        <v>0.919355975197294</v>
      </c>
      <c r="AF404" s="75">
        <f>IFERROR(AVERAGE(L404:U404),"")</f>
        <v/>
      </c>
      <c r="AG404" s="75">
        <f>IFERROR(AVERAGE(V404:AE404),"")</f>
        <v/>
      </c>
      <c r="AH404" s="75">
        <f>IFERROR(AVERAGE(B404:K404),"")</f>
        <v/>
      </c>
      <c r="AI404" s="45" t="n">
        <v>0.394649505615234</v>
      </c>
      <c r="AJ404" s="47" t="n">
        <v>0</v>
      </c>
    </row>
    <row r="405" ht="15" customHeight="1" s="30">
      <c r="A405" s="73" t="inlineStr">
        <is>
          <t>9344.jpg</t>
        </is>
      </c>
      <c r="B405" s="45" t="n"/>
      <c r="C405" s="45" t="n"/>
      <c r="D405" s="45" t="n">
        <v>0.751813471502591</v>
      </c>
      <c r="E405" s="45" t="n"/>
      <c r="F405" s="45" t="n">
        <v>0.5775152749490839</v>
      </c>
      <c r="G405" s="45" t="n">
        <v>0.333716675378986</v>
      </c>
      <c r="H405" s="45" t="n">
        <v>0.717798299042861</v>
      </c>
      <c r="I405" s="45" t="n">
        <v>0.255400254129606</v>
      </c>
      <c r="J405" s="45" t="n">
        <v>0.7057444314185231</v>
      </c>
      <c r="K405" s="45" t="n">
        <v>0</v>
      </c>
      <c r="L405" s="45" t="n"/>
      <c r="M405" s="45" t="n"/>
      <c r="N405" s="45" t="n">
        <v>0.827997357039885</v>
      </c>
      <c r="O405" s="45" t="n"/>
      <c r="P405" s="45" t="n">
        <v>0.716277659896939</v>
      </c>
      <c r="Q405" s="45" t="n">
        <v>1</v>
      </c>
      <c r="R405" s="45" t="n">
        <v>0.792654010073615</v>
      </c>
      <c r="S405" s="45" t="n">
        <v>0.490243902439024</v>
      </c>
      <c r="T405" s="45" t="n">
        <v>0.8839941262848749</v>
      </c>
      <c r="U405" s="45" t="n">
        <v>0</v>
      </c>
      <c r="V405" s="45" t="n"/>
      <c r="W405" s="45" t="n"/>
      <c r="X405" s="45" t="n">
        <v>0.8909607988882779</v>
      </c>
      <c r="Y405" s="45" t="n"/>
      <c r="Z405" s="45" t="n">
        <v>0.748811661561213</v>
      </c>
      <c r="AA405" s="45" t="n">
        <v>0.333716675378986</v>
      </c>
      <c r="AB405" s="45" t="n">
        <v>0.883732181425486</v>
      </c>
      <c r="AC405" s="45" t="n">
        <v>0.347750865051903</v>
      </c>
      <c r="AD405" s="45" t="n">
        <v>0.777777777777778</v>
      </c>
      <c r="AE405" s="45" t="n"/>
      <c r="AF405" s="75">
        <f>IFERROR(AVERAGE(L405:U405),"")</f>
        <v/>
      </c>
      <c r="AG405" s="75">
        <f>IFERROR(AVERAGE(V405:AE405),"")</f>
        <v/>
      </c>
      <c r="AH405" s="75">
        <f>IFERROR(AVERAGE(B405:K405),"")</f>
        <v/>
      </c>
      <c r="AI405" s="45" t="n">
        <v>0.55224609375</v>
      </c>
      <c r="AJ405" s="47" t="n">
        <v>0</v>
      </c>
    </row>
    <row r="406" ht="15" customHeight="1" s="30">
      <c r="A406" s="73" t="inlineStr">
        <is>
          <t>9348.jpg</t>
        </is>
      </c>
      <c r="B406" s="45" t="n"/>
      <c r="C406" s="45" t="n">
        <v>0</v>
      </c>
      <c r="D406" s="45" t="n">
        <v>0.7271368710991301</v>
      </c>
      <c r="E406" s="45" t="n"/>
      <c r="F406" s="45" t="n">
        <v>0.561836914473936</v>
      </c>
      <c r="G406" s="45" t="n">
        <v>0.336022796609069</v>
      </c>
      <c r="H406" s="45" t="n">
        <v>0.702167190880015</v>
      </c>
      <c r="I406" s="45" t="n">
        <v>0.439054726368159</v>
      </c>
      <c r="J406" s="45" t="n">
        <v>0.631449631449631</v>
      </c>
      <c r="K406" s="45" t="n">
        <v>0</v>
      </c>
      <c r="L406" s="45" t="n"/>
      <c r="M406" s="45" t="n">
        <v>0</v>
      </c>
      <c r="N406" s="45" t="n">
        <v>0.822124304267161</v>
      </c>
      <c r="O406" s="45" t="n"/>
      <c r="P406" s="45" t="n">
        <v>0.730418762137131</v>
      </c>
      <c r="Q406" s="45" t="n">
        <v>0.999189330039182</v>
      </c>
      <c r="R406" s="45" t="n">
        <v>0.750216235377526</v>
      </c>
      <c r="S406" s="45" t="n">
        <v>0.591289782244556</v>
      </c>
      <c r="T406" s="45" t="n">
        <v>0.904929577464789</v>
      </c>
      <c r="U406" s="45" t="n">
        <v>0</v>
      </c>
      <c r="V406" s="45" t="n"/>
      <c r="W406" s="45" t="n"/>
      <c r="X406" s="45" t="n">
        <v>0.862890326170109</v>
      </c>
      <c r="Y406" s="45" t="n"/>
      <c r="Z406" s="45" t="n">
        <v>0.708818555206572</v>
      </c>
      <c r="AA406" s="45" t="n">
        <v>0.336114429669645</v>
      </c>
      <c r="AB406" s="45" t="n">
        <v>0.916411189053434</v>
      </c>
      <c r="AC406" s="45" t="n">
        <v>0.6303571428571429</v>
      </c>
      <c r="AD406" s="45" t="n">
        <v>0.676315789473684</v>
      </c>
      <c r="AE406" s="45" t="n"/>
      <c r="AF406" s="75">
        <f>IFERROR(AVERAGE(L406:U406),"")</f>
        <v/>
      </c>
      <c r="AG406" s="75">
        <f>IFERROR(AVERAGE(V406:AE406),"")</f>
        <v/>
      </c>
      <c r="AH406" s="75">
        <f>IFERROR(AVERAGE(B406:K406),"")</f>
        <v/>
      </c>
      <c r="AI406" s="45" t="n">
        <v>0.552253723144531</v>
      </c>
      <c r="AJ406" s="47" t="n">
        <v>0</v>
      </c>
    </row>
    <row r="407" ht="15" customHeight="1" s="30">
      <c r="A407" s="73" t="inlineStr">
        <is>
          <t>9367.jpg</t>
        </is>
      </c>
      <c r="B407" s="45" t="n"/>
      <c r="C407" s="45" t="n"/>
      <c r="D407" s="45" t="n">
        <v>0.842451457845804</v>
      </c>
      <c r="E407" s="45" t="n"/>
      <c r="F407" s="45" t="n">
        <v>0.763030785562633</v>
      </c>
      <c r="G407" s="45" t="n">
        <v>0.369385291495388</v>
      </c>
      <c r="H407" s="45" t="n">
        <v>0.814412290473846</v>
      </c>
      <c r="I407" s="45" t="n">
        <v>0.44</v>
      </c>
      <c r="J407" s="45" t="n"/>
      <c r="K407" s="45" t="n">
        <v>0.115716465800595</v>
      </c>
      <c r="L407" s="45" t="n"/>
      <c r="M407" s="45" t="n"/>
      <c r="N407" s="45" t="n">
        <v>0.890969899665552</v>
      </c>
      <c r="O407" s="45" t="n"/>
      <c r="P407" s="45" t="n">
        <v>0.806977658021781</v>
      </c>
      <c r="Q407" s="45" t="n">
        <v>0.380434252653134</v>
      </c>
      <c r="R407" s="45" t="n">
        <v>0.843962682059199</v>
      </c>
      <c r="S407" s="45" t="n">
        <v>0.807594936708861</v>
      </c>
      <c r="T407" s="45" t="n"/>
      <c r="U407" s="45" t="n">
        <v>0.868884971353019</v>
      </c>
      <c r="V407" s="45" t="n"/>
      <c r="W407" s="45" t="n"/>
      <c r="X407" s="45" t="n">
        <v>0.93928495874762</v>
      </c>
      <c r="Y407" s="45" t="n"/>
      <c r="Z407" s="45" t="n">
        <v>0.9333831120345421</v>
      </c>
      <c r="AA407" s="45" t="n">
        <v>0.927106024000951</v>
      </c>
      <c r="AB407" s="45" t="n">
        <v>0.95877939427212</v>
      </c>
      <c r="AC407" s="45" t="n">
        <v>0.491525423728814</v>
      </c>
      <c r="AD407" s="45" t="n"/>
      <c r="AE407" s="45" t="n">
        <v>0.117772976632583</v>
      </c>
      <c r="AF407" s="75">
        <f>IFERROR(AVERAGE(L407:U407),"")</f>
        <v/>
      </c>
      <c r="AG407" s="75">
        <f>IFERROR(AVERAGE(V407:AE407),"")</f>
        <v/>
      </c>
      <c r="AH407" s="75">
        <f>IFERROR(AVERAGE(B407:K407),"")</f>
        <v/>
      </c>
      <c r="AI407" s="45" t="n">
        <v>0.625255584716797</v>
      </c>
      <c r="AJ407" s="47" t="n">
        <v>0</v>
      </c>
    </row>
    <row r="408" ht="15" customHeight="1" s="30">
      <c r="A408" s="73" t="inlineStr">
        <is>
          <t>9539.jpg</t>
        </is>
      </c>
      <c r="B408" s="45" t="n"/>
      <c r="C408" s="45" t="n"/>
      <c r="D408" s="45" t="n">
        <v>0.642797188122967</v>
      </c>
      <c r="E408" s="45" t="n"/>
      <c r="F408" s="45" t="n"/>
      <c r="G408" s="45" t="n">
        <v>0.9802672975762</v>
      </c>
      <c r="H408" s="45" t="n">
        <v>0.749218321120844</v>
      </c>
      <c r="I408" s="45" t="n">
        <v>0</v>
      </c>
      <c r="J408" s="45" t="n">
        <v>0.405563186813187</v>
      </c>
      <c r="K408" s="45" t="n">
        <v>0.923717380123585</v>
      </c>
      <c r="L408" s="45" t="n"/>
      <c r="M408" s="45" t="n"/>
      <c r="N408" s="45" t="n">
        <v>0.782139665517682</v>
      </c>
      <c r="O408" s="45" t="n"/>
      <c r="P408" s="45" t="n"/>
      <c r="Q408" s="45" t="n">
        <v>0.9976817162984311</v>
      </c>
      <c r="R408" s="45" t="n">
        <v>0.873351510767347</v>
      </c>
      <c r="S408" s="45" t="n">
        <v>0</v>
      </c>
      <c r="T408" s="45" t="n">
        <v>0.55839243498818</v>
      </c>
      <c r="U408" s="45" t="n">
        <v>0.951856090573226</v>
      </c>
      <c r="V408" s="45" t="n"/>
      <c r="W408" s="45" t="n"/>
      <c r="X408" s="45" t="n">
        <v>0.782989328391591</v>
      </c>
      <c r="Y408" s="45" t="n"/>
      <c r="Z408" s="45" t="n"/>
      <c r="AA408" s="45" t="n">
        <v>0.982505266078884</v>
      </c>
      <c r="AB408" s="45" t="n">
        <v>0.840540902396573</v>
      </c>
      <c r="AC408" s="45" t="n"/>
      <c r="AD408" s="45" t="n">
        <v>0.597067745197169</v>
      </c>
      <c r="AE408" s="45" t="n">
        <v>0.968989217380426</v>
      </c>
      <c r="AF408" s="75">
        <f>IFERROR(AVERAGE(L408:U408),"")</f>
        <v/>
      </c>
      <c r="AG408" s="75">
        <f>IFERROR(AVERAGE(V408:AE408),"")</f>
        <v/>
      </c>
      <c r="AH408" s="75">
        <f>IFERROR(AVERAGE(B408:K408),"")</f>
        <v/>
      </c>
      <c r="AI408" s="45" t="n">
        <v>0.940868377685547</v>
      </c>
      <c r="AJ408" s="47" t="n">
        <v>0</v>
      </c>
    </row>
    <row r="409" ht="15" customHeight="1" s="30">
      <c r="A409" s="73" t="inlineStr">
        <is>
          <t>9721.jpg</t>
        </is>
      </c>
      <c r="B409" s="45" t="n"/>
      <c r="C409" s="45" t="n"/>
      <c r="D409" s="45" t="n">
        <v>0.867725396191237</v>
      </c>
      <c r="E409" s="45" t="n"/>
      <c r="F409" s="45" t="n">
        <v>0.818530244959174</v>
      </c>
      <c r="G409" s="45" t="n"/>
      <c r="H409" s="45" t="n">
        <v>0.847551235217634</v>
      </c>
      <c r="I409" s="45" t="n">
        <v>0.8391666666666669</v>
      </c>
      <c r="J409" s="45" t="n"/>
      <c r="K409" s="45" t="n">
        <v>0.905874827153953</v>
      </c>
      <c r="L409" s="45" t="n"/>
      <c r="M409" s="45" t="n"/>
      <c r="N409" s="45" t="n">
        <v>0.878725556304788</v>
      </c>
      <c r="O409" s="45" t="n"/>
      <c r="P409" s="45" t="n">
        <v>0.922181545104665</v>
      </c>
      <c r="Q409" s="45" t="n"/>
      <c r="R409" s="45" t="n">
        <v>0.89988035603939</v>
      </c>
      <c r="S409" s="45" t="n">
        <v>0.9255514705882349</v>
      </c>
      <c r="T409" s="45" t="n"/>
      <c r="U409" s="45" t="n">
        <v>0.968973763512206</v>
      </c>
      <c r="V409" s="45" t="n"/>
      <c r="W409" s="45" t="n"/>
      <c r="X409" s="45" t="n">
        <v>0.985778584666591</v>
      </c>
      <c r="Y409" s="45" t="n"/>
      <c r="Z409" s="45" t="n">
        <v>0.879262507831379</v>
      </c>
      <c r="AA409" s="45" t="n"/>
      <c r="AB409" s="45" t="n">
        <v>0.93579436696746</v>
      </c>
      <c r="AC409" s="45" t="n">
        <v>0.899910634495085</v>
      </c>
      <c r="AD409" s="45" t="n"/>
      <c r="AE409" s="45" t="n">
        <v>0.932935390921856</v>
      </c>
      <c r="AF409" s="75">
        <f>IFERROR(AVERAGE(L409:U409),"")</f>
        <v/>
      </c>
      <c r="AG409" s="75">
        <f>IFERROR(AVERAGE(V409:AE409),"")</f>
        <v/>
      </c>
      <c r="AH409" s="75">
        <f>IFERROR(AVERAGE(B409:K409),"")</f>
        <v/>
      </c>
      <c r="AI409" s="45" t="n">
        <v>0.936634063720703</v>
      </c>
      <c r="AJ409" s="47" t="n">
        <v>0</v>
      </c>
    </row>
    <row r="410" ht="15" customHeight="1" s="30">
      <c r="A410" s="73" t="inlineStr">
        <is>
          <t>9872.jpg</t>
        </is>
      </c>
      <c r="B410" s="45" t="n"/>
      <c r="C410" s="45" t="n"/>
      <c r="D410" s="45" t="n">
        <v>0.809271188581534</v>
      </c>
      <c r="E410" s="45" t="n"/>
      <c r="F410" s="45" t="n">
        <v>0.873802529058628</v>
      </c>
      <c r="G410" s="45" t="n"/>
      <c r="H410" s="45" t="n">
        <v>0.938106577190894</v>
      </c>
      <c r="I410" s="45" t="n"/>
      <c r="J410" s="45" t="n"/>
      <c r="K410" s="45" t="n">
        <v>0.973354973619541</v>
      </c>
      <c r="L410" s="45" t="n"/>
      <c r="M410" s="45" t="n"/>
      <c r="N410" s="45" t="n">
        <v>0.92134023583549</v>
      </c>
      <c r="O410" s="45" t="n"/>
      <c r="P410" s="45" t="n">
        <v>0.9711811470755251</v>
      </c>
      <c r="Q410" s="45" t="n"/>
      <c r="R410" s="45" t="n">
        <v>0.95759216292859</v>
      </c>
      <c r="S410" s="45" t="n"/>
      <c r="T410" s="45" t="n"/>
      <c r="U410" s="45" t="n">
        <v>0.986947998349154</v>
      </c>
      <c r="V410" s="45" t="n"/>
      <c r="W410" s="45" t="n"/>
      <c r="X410" s="45" t="n">
        <v>0.869335142469471</v>
      </c>
      <c r="Y410" s="45" t="n"/>
      <c r="Z410" s="45" t="n">
        <v>0.897062680304222</v>
      </c>
      <c r="AA410" s="45" t="n"/>
      <c r="AB410" s="45" t="n">
        <v>0.978769456626075</v>
      </c>
      <c r="AC410" s="45" t="n"/>
      <c r="AD410" s="45" t="n"/>
      <c r="AE410" s="45" t="n">
        <v>0.986047614384307</v>
      </c>
      <c r="AF410" s="75">
        <f>IFERROR(AVERAGE(L410:U410),"")</f>
        <v/>
      </c>
      <c r="AG410" s="75">
        <f>IFERROR(AVERAGE(V410:AE410),"")</f>
        <v/>
      </c>
      <c r="AH410" s="75">
        <f>IFERROR(AVERAGE(B410:K410),"")</f>
        <v/>
      </c>
      <c r="AI410" s="45" t="n">
        <v>0.978702545166016</v>
      </c>
      <c r="AJ410" s="47" t="n">
        <v>0</v>
      </c>
    </row>
    <row r="411" ht="15" customHeight="1" s="30">
      <c r="A411" s="73" t="inlineStr">
        <is>
          <t>9878.jpg</t>
        </is>
      </c>
      <c r="B411" s="45" t="n"/>
      <c r="C411" s="45" t="n"/>
      <c r="D411" s="45" t="n">
        <v>0.91632597437994</v>
      </c>
      <c r="E411" s="45" t="n"/>
      <c r="F411" s="45" t="n">
        <v>0</v>
      </c>
      <c r="G411" s="45" t="n"/>
      <c r="H411" s="45" t="n">
        <v>0.937519001292088</v>
      </c>
      <c r="I411" s="45" t="n"/>
      <c r="J411" s="45" t="n"/>
      <c r="K411" s="45" t="n">
        <v>0.778877726047537</v>
      </c>
      <c r="L411" s="45" t="n"/>
      <c r="M411" s="45" t="n"/>
      <c r="N411" s="45" t="n">
        <v>0.977609770282059</v>
      </c>
      <c r="O411" s="45" t="n"/>
      <c r="P411" s="45" t="n">
        <v>0</v>
      </c>
      <c r="Q411" s="45" t="n"/>
      <c r="R411" s="45" t="n">
        <v>0.9616057377009239</v>
      </c>
      <c r="S411" s="45" t="n"/>
      <c r="T411" s="45" t="n"/>
      <c r="U411" s="45" t="n">
        <v>0.900045305244082</v>
      </c>
      <c r="V411" s="45" t="n"/>
      <c r="W411" s="45" t="n"/>
      <c r="X411" s="45" t="n">
        <v>0.935968819599109</v>
      </c>
      <c r="Y411" s="45" t="n"/>
      <c r="Z411" s="45" t="n"/>
      <c r="AA411" s="45" t="n"/>
      <c r="AB411" s="45" t="n">
        <v>0.97397745667022</v>
      </c>
      <c r="AC411" s="45" t="n"/>
      <c r="AD411" s="45" t="n"/>
      <c r="AE411" s="45" t="n">
        <v>0.852628755364807</v>
      </c>
      <c r="AF411" s="75">
        <f>IFERROR(AVERAGE(L411:U411),"")</f>
        <v/>
      </c>
      <c r="AG411" s="75">
        <f>IFERROR(AVERAGE(V411:AE411),"")</f>
        <v/>
      </c>
      <c r="AH411" s="75">
        <f>IFERROR(AVERAGE(B411:K411),"")</f>
        <v/>
      </c>
      <c r="AI411" s="45" t="n">
        <v>0.94757080078125</v>
      </c>
      <c r="AJ411" s="47" t="n">
        <v>0</v>
      </c>
    </row>
    <row r="412" ht="15" customHeight="1" s="30">
      <c r="A412" s="73" t="inlineStr">
        <is>
          <t>9883.jpg</t>
        </is>
      </c>
      <c r="B412" s="45" t="n"/>
      <c r="C412" s="45" t="n"/>
      <c r="D412" s="45" t="n"/>
      <c r="E412" s="45" t="n"/>
      <c r="F412" s="45" t="n"/>
      <c r="G412" s="45" t="n"/>
      <c r="H412" s="45" t="n">
        <v>0.906743574873169</v>
      </c>
      <c r="I412" s="45" t="n"/>
      <c r="J412" s="45" t="n"/>
      <c r="K412" s="45" t="n">
        <v>0.798534922569868</v>
      </c>
      <c r="L412" s="45" t="n"/>
      <c r="M412" s="45" t="n"/>
      <c r="N412" s="45" t="n"/>
      <c r="O412" s="45" t="n"/>
      <c r="P412" s="45" t="n"/>
      <c r="Q412" s="45" t="n"/>
      <c r="R412" s="45" t="n">
        <v>0.9210503969770309</v>
      </c>
      <c r="S412" s="45" t="n"/>
      <c r="T412" s="45" t="n"/>
      <c r="U412" s="45" t="n">
        <v>0.959671730873576</v>
      </c>
      <c r="V412" s="45" t="n"/>
      <c r="W412" s="45" t="n"/>
      <c r="X412" s="45" t="n"/>
      <c r="Y412" s="45" t="n"/>
      <c r="Z412" s="45" t="n"/>
      <c r="AA412" s="45" t="n"/>
      <c r="AB412" s="45" t="n">
        <v>0.983157811251919</v>
      </c>
      <c r="AC412" s="45" t="n"/>
      <c r="AD412" s="45" t="n"/>
      <c r="AE412" s="45" t="n">
        <v>0.82626163530827</v>
      </c>
      <c r="AF412" s="75">
        <f>IFERROR(AVERAGE(L412:U412),"")</f>
        <v/>
      </c>
      <c r="AG412" s="75">
        <f>IFERROR(AVERAGE(V412:AE412),"")</f>
        <v/>
      </c>
      <c r="AH412" s="75">
        <f>IFERROR(AVERAGE(B412:K412),"")</f>
        <v/>
      </c>
      <c r="AI412" s="45" t="n">
        <v>0.931911468505859</v>
      </c>
      <c r="AJ412" s="47" t="n">
        <v>0</v>
      </c>
    </row>
    <row r="413" ht="15" customHeight="1" s="30">
      <c r="A413" s="73" t="inlineStr">
        <is>
          <t>9886.jpg</t>
        </is>
      </c>
      <c r="B413" s="45" t="n"/>
      <c r="C413" s="45" t="n"/>
      <c r="D413" s="45" t="n">
        <v>0</v>
      </c>
      <c r="E413" s="45" t="n"/>
      <c r="F413" s="45" t="n"/>
      <c r="G413" s="45" t="n"/>
      <c r="H413" s="45" t="n">
        <v>0.929422357667267</v>
      </c>
      <c r="I413" s="45" t="n"/>
      <c r="J413" s="45" t="n"/>
      <c r="K413" s="45" t="n">
        <v>0.80664530547403</v>
      </c>
      <c r="L413" s="45" t="n"/>
      <c r="M413" s="45" t="n"/>
      <c r="N413" s="45" t="n">
        <v>0</v>
      </c>
      <c r="O413" s="45" t="n"/>
      <c r="P413" s="45" t="n"/>
      <c r="Q413" s="45" t="n"/>
      <c r="R413" s="45" t="n">
        <v>0.951253968495086</v>
      </c>
      <c r="S413" s="45" t="n"/>
      <c r="T413" s="45" t="n"/>
      <c r="U413" s="45" t="n">
        <v>0.928138796375184</v>
      </c>
      <c r="V413" s="45" t="n"/>
      <c r="W413" s="45" t="n"/>
      <c r="X413" s="45" t="n"/>
      <c r="Y413" s="45" t="n"/>
      <c r="Z413" s="45" t="n"/>
      <c r="AA413" s="45" t="n"/>
      <c r="AB413" s="45" t="n">
        <v>0.975901924625334</v>
      </c>
      <c r="AC413" s="45" t="n"/>
      <c r="AD413" s="45" t="n"/>
      <c r="AE413" s="45" t="n">
        <v>0.86037995950545</v>
      </c>
      <c r="AF413" s="75">
        <f>IFERROR(AVERAGE(L413:U413),"")</f>
        <v/>
      </c>
      <c r="AG413" s="75">
        <f>IFERROR(AVERAGE(V413:AE413),"")</f>
        <v/>
      </c>
      <c r="AH413" s="75">
        <f>IFERROR(AVERAGE(B413:K413),"")</f>
        <v/>
      </c>
      <c r="AI413" s="45" t="n">
        <v>0.945213317871094</v>
      </c>
      <c r="AJ413" s="47" t="n">
        <v>0</v>
      </c>
    </row>
    <row r="414" ht="15" customHeight="1" s="30">
      <c r="A414" s="73" t="inlineStr">
        <is>
          <t>9889.jpg</t>
        </is>
      </c>
      <c r="B414" s="45" t="n">
        <v>0.942674210839786</v>
      </c>
      <c r="C414" s="45" t="n"/>
      <c r="D414" s="45" t="n"/>
      <c r="E414" s="45" t="n"/>
      <c r="F414" s="45" t="n"/>
      <c r="G414" s="45" t="n"/>
      <c r="H414" s="45" t="n">
        <v>0.890042063748863</v>
      </c>
      <c r="I414" s="45" t="n"/>
      <c r="J414" s="45" t="n"/>
      <c r="K414" s="45" t="n">
        <v>0.83280163599182</v>
      </c>
      <c r="L414" s="45" t="n">
        <v>0.970714504753143</v>
      </c>
      <c r="M414" s="45" t="n"/>
      <c r="N414" s="45" t="n"/>
      <c r="O414" s="45" t="n"/>
      <c r="P414" s="45" t="n"/>
      <c r="Q414" s="45" t="n"/>
      <c r="R414" s="45" t="n">
        <v>0.916784575622088</v>
      </c>
      <c r="S414" s="45" t="n"/>
      <c r="T414" s="45" t="n"/>
      <c r="U414" s="45" t="n">
        <v>0.948530553513939</v>
      </c>
      <c r="V414" s="45" t="n">
        <v>0.970268199233716</v>
      </c>
      <c r="W414" s="45" t="n"/>
      <c r="X414" s="45" t="n"/>
      <c r="Y414" s="45" t="n"/>
      <c r="Z414" s="45" t="n"/>
      <c r="AA414" s="45" t="n"/>
      <c r="AB414" s="45" t="n">
        <v>0.968266408086819</v>
      </c>
      <c r="AC414" s="45" t="n"/>
      <c r="AD414" s="45" t="n"/>
      <c r="AE414" s="45" t="n">
        <v>0.8722168810029221</v>
      </c>
      <c r="AF414" s="75">
        <f>IFERROR(AVERAGE(L414:U414),"")</f>
        <v/>
      </c>
      <c r="AG414" s="75">
        <f>IFERROR(AVERAGE(V414:AE414),"")</f>
        <v/>
      </c>
      <c r="AH414" s="75">
        <f>IFERROR(AVERAGE(B414:K414),"")</f>
        <v/>
      </c>
      <c r="AI414" s="45" t="n">
        <v>0.9298248291015631</v>
      </c>
      <c r="AJ414" s="47" t="n">
        <v>0</v>
      </c>
    </row>
    <row r="415" ht="15" customHeight="1" s="30">
      <c r="A415" s="73" t="inlineStr">
        <is>
          <t>9891.jpg</t>
        </is>
      </c>
      <c r="B415" s="45" t="n">
        <v>0.824929971988796</v>
      </c>
      <c r="C415" s="45" t="n"/>
      <c r="D415" s="45" t="n">
        <v>0.899964776329694</v>
      </c>
      <c r="E415" s="45" t="n"/>
      <c r="F415" s="45" t="n"/>
      <c r="G415" s="45" t="n"/>
      <c r="H415" s="45" t="n">
        <v>0.954097835797388</v>
      </c>
      <c r="I415" s="45" t="n"/>
      <c r="J415" s="45" t="n"/>
      <c r="K415" s="45" t="n">
        <v>0.860829070921444</v>
      </c>
      <c r="L415" s="45" t="n">
        <v>0.872592592592593</v>
      </c>
      <c r="M415" s="45" t="n"/>
      <c r="N415" s="45" t="n">
        <v>0.952055645261458</v>
      </c>
      <c r="O415" s="45" t="n"/>
      <c r="P415" s="45" t="n"/>
      <c r="Q415" s="45" t="n"/>
      <c r="R415" s="45" t="n">
        <v>0.986855247485619</v>
      </c>
      <c r="S415" s="45" t="n"/>
      <c r="T415" s="45" t="n"/>
      <c r="U415" s="45" t="n">
        <v>0.897484877427571</v>
      </c>
      <c r="V415" s="45" t="n">
        <v>0.937898089171975</v>
      </c>
      <c r="W415" s="45" t="n"/>
      <c r="X415" s="45" t="n">
        <v>0.942688476202189</v>
      </c>
      <c r="Y415" s="45" t="n"/>
      <c r="Z415" s="45" t="n"/>
      <c r="AA415" s="45" t="n"/>
      <c r="AB415" s="45" t="n">
        <v>0.966378994717297</v>
      </c>
      <c r="AC415" s="45" t="n"/>
      <c r="AD415" s="45" t="n"/>
      <c r="AE415" s="45" t="n">
        <v>0.954703242739819</v>
      </c>
      <c r="AF415" s="75">
        <f>IFERROR(AVERAGE(L415:U415),"")</f>
        <v/>
      </c>
      <c r="AG415" s="75">
        <f>IFERROR(AVERAGE(V415:AE415),"")</f>
        <v/>
      </c>
      <c r="AH415" s="75">
        <f>IFERROR(AVERAGE(B415:K415),"")</f>
        <v/>
      </c>
      <c r="AI415" s="45" t="n">
        <v>0.962604522705078</v>
      </c>
      <c r="AJ415" s="47" t="n">
        <v>0</v>
      </c>
    </row>
    <row r="416" ht="15" customHeight="1" s="30">
      <c r="A416" s="73" t="inlineStr">
        <is>
          <t>10163.jpg</t>
        </is>
      </c>
      <c r="B416" s="45" t="n"/>
      <c r="C416" s="45" t="n"/>
      <c r="D416" s="45" t="n"/>
      <c r="E416" s="45" t="n"/>
      <c r="F416" s="45" t="n"/>
      <c r="G416" s="45" t="n">
        <v>0.978652035510695</v>
      </c>
      <c r="H416" s="45" t="n"/>
      <c r="I416" s="45" t="n"/>
      <c r="J416" s="45" t="n"/>
      <c r="K416" s="45" t="n">
        <v>0.965734684070649</v>
      </c>
      <c r="L416" s="45" t="n"/>
      <c r="M416" s="45" t="n"/>
      <c r="N416" s="45" t="n"/>
      <c r="O416" s="45" t="n"/>
      <c r="P416" s="45" t="n"/>
      <c r="Q416" s="45" t="n">
        <v>0.9940237560352</v>
      </c>
      <c r="R416" s="45" t="n"/>
      <c r="S416" s="45" t="n"/>
      <c r="T416" s="45" t="n"/>
      <c r="U416" s="45" t="n">
        <v>0.974942082648556</v>
      </c>
      <c r="V416" s="45" t="n"/>
      <c r="W416" s="45" t="n"/>
      <c r="X416" s="45" t="n"/>
      <c r="Y416" s="45" t="n"/>
      <c r="Z416" s="45" t="n"/>
      <c r="AA416" s="45" t="n">
        <v>0.984444335181247</v>
      </c>
      <c r="AB416" s="45" t="n"/>
      <c r="AC416" s="45" t="n"/>
      <c r="AD416" s="45" t="n"/>
      <c r="AE416" s="45" t="n">
        <v>0.9903155735232</v>
      </c>
      <c r="AF416" s="75">
        <f>IFERROR(AVERAGE(L416:U416),"")</f>
        <v/>
      </c>
      <c r="AG416" s="75">
        <f>IFERROR(AVERAGE(V416:AE416),"")</f>
        <v/>
      </c>
      <c r="AH416" s="75">
        <f>IFERROR(AVERAGE(B416:K416),"")</f>
        <v/>
      </c>
      <c r="AI416" s="45" t="n">
        <v>0.986671447753906</v>
      </c>
      <c r="AJ416" s="47" t="n">
        <v>0</v>
      </c>
    </row>
    <row r="417" ht="15" customHeight="1" s="30">
      <c r="A417" s="73" t="inlineStr">
        <is>
          <t>10164.jpg</t>
        </is>
      </c>
      <c r="B417" s="45" t="n">
        <v>0</v>
      </c>
      <c r="C417" s="45" t="n"/>
      <c r="D417" s="45" t="n"/>
      <c r="E417" s="45" t="n"/>
      <c r="F417" s="45" t="n"/>
      <c r="G417" s="45" t="n">
        <v>0.991750703988062</v>
      </c>
      <c r="H417" s="45" t="n"/>
      <c r="I417" s="45" t="n"/>
      <c r="J417" s="45" t="n"/>
      <c r="K417" s="45" t="n">
        <v>0.9925920561182791</v>
      </c>
      <c r="L417" s="45" t="n">
        <v>0</v>
      </c>
      <c r="M417" s="45" t="n"/>
      <c r="N417" s="45" t="n"/>
      <c r="O417" s="45" t="n"/>
      <c r="P417" s="45" t="n"/>
      <c r="Q417" s="45" t="n">
        <v>0.99883648351382</v>
      </c>
      <c r="R417" s="45" t="n"/>
      <c r="S417" s="45" t="n"/>
      <c r="T417" s="45" t="n"/>
      <c r="U417" s="45" t="n">
        <v>0.994681181959565</v>
      </c>
      <c r="V417" s="45" t="n"/>
      <c r="W417" s="45" t="n"/>
      <c r="X417" s="45" t="n"/>
      <c r="Y417" s="45" t="n"/>
      <c r="Z417" s="45" t="n"/>
      <c r="AA417" s="45" t="n">
        <v>0.992897761499723</v>
      </c>
      <c r="AB417" s="45" t="n"/>
      <c r="AC417" s="45" t="n"/>
      <c r="AD417" s="45" t="n"/>
      <c r="AE417" s="45" t="n">
        <v>0.997888495943416</v>
      </c>
      <c r="AF417" s="75">
        <f>IFERROR(AVERAGE(L417:U417),"")</f>
        <v/>
      </c>
      <c r="AG417" s="75">
        <f>IFERROR(AVERAGE(V417:AE417),"")</f>
        <v/>
      </c>
      <c r="AH417" s="75">
        <f>IFERROR(AVERAGE(B417:K417),"")</f>
        <v/>
      </c>
      <c r="AI417" s="45" t="n">
        <v>0.994728088378906</v>
      </c>
      <c r="AJ417" s="47" t="n">
        <v>0</v>
      </c>
    </row>
    <row r="418" ht="15" customHeight="1" s="30">
      <c r="A418" s="73" t="inlineStr">
        <is>
          <t>10167.jpg</t>
        </is>
      </c>
      <c r="B418" s="45" t="n"/>
      <c r="C418" s="45" t="n"/>
      <c r="D418" s="45" t="n"/>
      <c r="E418" s="45" t="n"/>
      <c r="F418" s="45" t="n"/>
      <c r="G418" s="45" t="n">
        <v>0.46840670875543</v>
      </c>
      <c r="H418" s="45" t="n">
        <v>0</v>
      </c>
      <c r="I418" s="45" t="n"/>
      <c r="J418" s="45" t="n">
        <v>0.6534090909090911</v>
      </c>
      <c r="K418" s="45" t="n">
        <v>0</v>
      </c>
      <c r="L418" s="45" t="n"/>
      <c r="M418" s="45" t="n"/>
      <c r="N418" s="45" t="n"/>
      <c r="O418" s="45" t="n"/>
      <c r="P418" s="45" t="n"/>
      <c r="Q418" s="45" t="n">
        <v>1</v>
      </c>
      <c r="R418" s="45" t="n">
        <v>0</v>
      </c>
      <c r="S418" s="45" t="n"/>
      <c r="T418" s="45" t="n">
        <v>0.864661654135338</v>
      </c>
      <c r="U418" s="45" t="n">
        <v>0</v>
      </c>
      <c r="V418" s="45" t="n"/>
      <c r="W418" s="45" t="n"/>
      <c r="X418" s="45" t="n"/>
      <c r="Y418" s="45" t="n"/>
      <c r="Z418" s="45" t="n"/>
      <c r="AA418" s="45" t="n">
        <v>0.46840670875543</v>
      </c>
      <c r="AB418" s="45" t="n"/>
      <c r="AC418" s="45" t="n"/>
      <c r="AD418" s="45" t="n">
        <v>0.727848101265823</v>
      </c>
      <c r="AE418" s="45" t="n"/>
      <c r="AF418" s="75">
        <f>IFERROR(AVERAGE(L418:U418),"")</f>
        <v/>
      </c>
      <c r="AG418" s="75">
        <f>IFERROR(AVERAGE(V418:AE418),"")</f>
        <v/>
      </c>
      <c r="AH418" s="75">
        <f>IFERROR(AVERAGE(B418:K418),"")</f>
        <v/>
      </c>
      <c r="AI418" s="45" t="n">
        <v>0.468563079833984</v>
      </c>
      <c r="AJ418" s="47" t="n">
        <v>0</v>
      </c>
    </row>
    <row r="419" ht="15" customHeight="1" s="30">
      <c r="A419" s="73" t="inlineStr">
        <is>
          <t>10174.jpg</t>
        </is>
      </c>
      <c r="B419" s="45" t="n">
        <v>0</v>
      </c>
      <c r="C419" s="45" t="n"/>
      <c r="D419" s="45" t="n">
        <v>0.886847750174598</v>
      </c>
      <c r="E419" s="45" t="n"/>
      <c r="F419" s="45" t="n">
        <v>0.665095821551995</v>
      </c>
      <c r="G419" s="45" t="n"/>
      <c r="H419" s="45" t="n">
        <v>0.923177105074218</v>
      </c>
      <c r="I419" s="45" t="n">
        <v>0.689553219448095</v>
      </c>
      <c r="J419" s="45" t="n">
        <v>0.505852500613899</v>
      </c>
      <c r="K419" s="45" t="n">
        <v>0.628652155383328</v>
      </c>
      <c r="L419" s="45" t="n">
        <v>0</v>
      </c>
      <c r="M419" s="45" t="n"/>
      <c r="N419" s="45" t="n">
        <v>0.936176094998618</v>
      </c>
      <c r="O419" s="45" t="n"/>
      <c r="P419" s="45" t="n">
        <v>0.848270335247763</v>
      </c>
      <c r="Q419" s="45" t="n"/>
      <c r="R419" s="45" t="n">
        <v>0.9648372742343601</v>
      </c>
      <c r="S419" s="45" t="n">
        <v>0.76971030436377</v>
      </c>
      <c r="T419" s="45" t="n">
        <v>0.702991696052781</v>
      </c>
      <c r="U419" s="45" t="n">
        <v>0.757757948210582</v>
      </c>
      <c r="V419" s="45" t="n"/>
      <c r="W419" s="45" t="n"/>
      <c r="X419" s="45" t="n">
        <v>0.943917914410109</v>
      </c>
      <c r="Y419" s="45" t="n"/>
      <c r="Z419" s="45" t="n">
        <v>0.754903126114347</v>
      </c>
      <c r="AA419" s="45" t="n"/>
      <c r="AB419" s="45" t="n">
        <v>0.955318266639021</v>
      </c>
      <c r="AC419" s="45" t="n">
        <v>0.868791390728477</v>
      </c>
      <c r="AD419" s="45" t="n">
        <v>0.643347907557776</v>
      </c>
      <c r="AE419" s="45" t="n">
        <v>0.786768337251338</v>
      </c>
      <c r="AF419" s="75">
        <f>IFERROR(AVERAGE(L419:U419),"")</f>
        <v/>
      </c>
      <c r="AG419" s="75">
        <f>IFERROR(AVERAGE(V419:AE419),"")</f>
        <v/>
      </c>
      <c r="AH419" s="75">
        <f>IFERROR(AVERAGE(B419:K419),"")</f>
        <v/>
      </c>
      <c r="AI419" s="45" t="n">
        <v>0.9008331298828131</v>
      </c>
      <c r="AJ419" s="47" t="n">
        <v>0</v>
      </c>
    </row>
    <row r="420" ht="15" customHeight="1" s="30">
      <c r="A420" s="73" t="inlineStr">
        <is>
          <t>10183.jpg</t>
        </is>
      </c>
      <c r="B420" s="45" t="n"/>
      <c r="C420" s="45" t="n"/>
      <c r="D420" s="45" t="n"/>
      <c r="E420" s="45" t="n"/>
      <c r="F420" s="45" t="n">
        <v>0.782498235709245</v>
      </c>
      <c r="G420" s="45" t="n"/>
      <c r="H420" s="45" t="n">
        <v>0.959003664823902</v>
      </c>
      <c r="I420" s="45" t="n"/>
      <c r="J420" s="45" t="n"/>
      <c r="K420" s="45" t="n">
        <v>0.986299675911852</v>
      </c>
      <c r="L420" s="45" t="n"/>
      <c r="M420" s="45" t="n"/>
      <c r="N420" s="45" t="n"/>
      <c r="O420" s="45" t="n"/>
      <c r="P420" s="45" t="n">
        <v>0.912742838327297</v>
      </c>
      <c r="Q420" s="45" t="n"/>
      <c r="R420" s="45" t="n">
        <v>0.976240534943644</v>
      </c>
      <c r="S420" s="45" t="n"/>
      <c r="T420" s="45" t="n"/>
      <c r="U420" s="45" t="n">
        <v>0.992806427019205</v>
      </c>
      <c r="V420" s="45" t="n"/>
      <c r="W420" s="45" t="n"/>
      <c r="X420" s="45" t="n"/>
      <c r="Y420" s="45" t="n"/>
      <c r="Z420" s="45" t="n">
        <v>0.845766590389016</v>
      </c>
      <c r="AA420" s="45" t="n"/>
      <c r="AB420" s="45" t="n">
        <v>0.981921676498179</v>
      </c>
      <c r="AC420" s="45" t="n"/>
      <c r="AD420" s="45" t="n"/>
      <c r="AE420" s="45" t="n">
        <v>0.9933989288828</v>
      </c>
      <c r="AF420" s="75">
        <f>IFERROR(AVERAGE(L420:U420),"")</f>
        <v/>
      </c>
      <c r="AG420" s="75">
        <f>IFERROR(AVERAGE(V420:AE420),"")</f>
        <v/>
      </c>
      <c r="AH420" s="75">
        <f>IFERROR(AVERAGE(B420:K420),"")</f>
        <v/>
      </c>
      <c r="AI420" s="45" t="n">
        <v>0.9869537353515631</v>
      </c>
      <c r="AJ420" s="47" t="n">
        <v>0</v>
      </c>
    </row>
    <row r="421" ht="15" customHeight="1" s="30">
      <c r="A421" s="73" t="inlineStr">
        <is>
          <t>10808.jpg</t>
        </is>
      </c>
      <c r="B421" s="45" t="n"/>
      <c r="C421" s="45" t="n"/>
      <c r="D421" s="45" t="n">
        <v>0.961549090047768</v>
      </c>
      <c r="E421" s="45" t="n"/>
      <c r="F421" s="45" t="n">
        <v>0.869568064255626</v>
      </c>
      <c r="G421" s="45" t="n"/>
      <c r="H421" s="45" t="n">
        <v>0.919151341421564</v>
      </c>
      <c r="I421" s="45" t="n">
        <v>0.719339622641509</v>
      </c>
      <c r="J421" s="45" t="n"/>
      <c r="K421" s="45" t="n">
        <v>0.877375004791536</v>
      </c>
      <c r="L421" s="45" t="n"/>
      <c r="M421" s="45" t="n"/>
      <c r="N421" s="45" t="n">
        <v>0.978133847358593</v>
      </c>
      <c r="O421" s="45" t="n"/>
      <c r="P421" s="45" t="n">
        <v>0.944144272240391</v>
      </c>
      <c r="Q421" s="45" t="n"/>
      <c r="R421" s="45" t="n">
        <v>0.941122973098666</v>
      </c>
      <c r="S421" s="45" t="n">
        <v>0.806878306878307</v>
      </c>
      <c r="T421" s="45" t="n"/>
      <c r="U421" s="45" t="n">
        <v>0.950420772893367</v>
      </c>
      <c r="V421" s="45" t="n"/>
      <c r="W421" s="45" t="n"/>
      <c r="X421" s="45" t="n">
        <v>0.982672019042624</v>
      </c>
      <c r="Y421" s="45" t="n"/>
      <c r="Z421" s="45" t="n">
        <v>0.916728025770824</v>
      </c>
      <c r="AA421" s="45" t="n"/>
      <c r="AB421" s="45" t="n">
        <v>0.975229446223374</v>
      </c>
      <c r="AC421" s="45" t="n">
        <v>0.868945868945869</v>
      </c>
      <c r="AD421" s="45" t="n"/>
      <c r="AE421" s="45" t="n">
        <v>0.919457425583482</v>
      </c>
      <c r="AF421" s="75">
        <f>IFERROR(AVERAGE(L421:U421),"")</f>
        <v/>
      </c>
      <c r="AG421" s="75">
        <f>IFERROR(AVERAGE(V421:AE421),"")</f>
        <v/>
      </c>
      <c r="AH421" s="75">
        <f>IFERROR(AVERAGE(B421:K421),"")</f>
        <v/>
      </c>
      <c r="AI421" s="45" t="n">
        <v>0.95062255859375</v>
      </c>
      <c r="AJ421" s="47" t="n">
        <v>0</v>
      </c>
    </row>
    <row r="422" ht="15" customHeight="1" s="30">
      <c r="A422" s="73" t="inlineStr">
        <is>
          <t>10812.jpg</t>
        </is>
      </c>
      <c r="B422" s="45" t="n"/>
      <c r="C422" s="45" t="n"/>
      <c r="D422" s="45" t="n">
        <v>0.929183885237844</v>
      </c>
      <c r="E422" s="45" t="n"/>
      <c r="F422" s="45" t="n">
        <v>0.835095975232198</v>
      </c>
      <c r="G422" s="45" t="n"/>
      <c r="H422" s="45" t="n">
        <v>0.919281115879828</v>
      </c>
      <c r="I422" s="45" t="n">
        <v>0.725725725725726</v>
      </c>
      <c r="J422" s="45" t="n">
        <v>0.6753094227120791</v>
      </c>
      <c r="K422" s="45" t="n">
        <v>0.786137273007079</v>
      </c>
      <c r="L422" s="45" t="n"/>
      <c r="M422" s="45" t="n"/>
      <c r="N422" s="45" t="n">
        <v>0.9634558393265</v>
      </c>
      <c r="O422" s="45" t="n"/>
      <c r="P422" s="45" t="n">
        <v>0.903045236628545</v>
      </c>
      <c r="Q422" s="45" t="n"/>
      <c r="R422" s="45" t="n">
        <v>0.955523336864998</v>
      </c>
      <c r="S422" s="45" t="n">
        <v>0.905118601747815</v>
      </c>
      <c r="T422" s="45" t="n">
        <v>0.934491811476435</v>
      </c>
      <c r="U422" s="45" t="n">
        <v>0.870360526136441</v>
      </c>
      <c r="V422" s="45" t="n"/>
      <c r="W422" s="45" t="n"/>
      <c r="X422" s="45" t="n">
        <v>0.963128597037456</v>
      </c>
      <c r="Y422" s="45" t="n"/>
      <c r="Z422" s="45" t="n">
        <v>0.917344578968848</v>
      </c>
      <c r="AA422" s="45" t="n"/>
      <c r="AB422" s="45" t="n">
        <v>0.960375285835986</v>
      </c>
      <c r="AC422" s="45" t="n">
        <v>0.785482123510293</v>
      </c>
      <c r="AD422" s="45" t="n">
        <v>0.708866761498341</v>
      </c>
      <c r="AE422" s="45" t="n">
        <v>0.890397969713027</v>
      </c>
      <c r="AF422" s="75">
        <f>IFERROR(AVERAGE(L422:U422),"")</f>
        <v/>
      </c>
      <c r="AG422" s="75">
        <f>IFERROR(AVERAGE(V422:AE422),"")</f>
        <v/>
      </c>
      <c r="AH422" s="75">
        <f>IFERROR(AVERAGE(B422:K422),"")</f>
        <v/>
      </c>
      <c r="AI422" s="45" t="n">
        <v>0.925022125244141</v>
      </c>
      <c r="AJ422" s="47" t="n">
        <v>0</v>
      </c>
    </row>
    <row r="423" ht="15" customHeight="1" s="30">
      <c r="A423" s="73" t="inlineStr">
        <is>
          <t>10813.jpg</t>
        </is>
      </c>
      <c r="B423" s="45" t="n"/>
      <c r="C423" s="45" t="n"/>
      <c r="D423" s="45" t="n">
        <v>0.935987796165061</v>
      </c>
      <c r="E423" s="45" t="n"/>
      <c r="F423" s="45" t="n">
        <v>0.807720780351855</v>
      </c>
      <c r="G423" s="45" t="n"/>
      <c r="H423" s="45" t="n">
        <v>0.923678713960688</v>
      </c>
      <c r="I423" s="45" t="n">
        <v>0.861948955916473</v>
      </c>
      <c r="J423" s="45" t="n">
        <v>0.7263520356491801</v>
      </c>
      <c r="K423" s="45" t="n">
        <v>0.749743661774001</v>
      </c>
      <c r="L423" s="45" t="n"/>
      <c r="M423" s="45" t="n"/>
      <c r="N423" s="45" t="n">
        <v>0.951775054979579</v>
      </c>
      <c r="O423" s="45" t="n"/>
      <c r="P423" s="45" t="n">
        <v>0.866448674529954</v>
      </c>
      <c r="Q423" s="45" t="n"/>
      <c r="R423" s="45" t="n">
        <v>0.961924645562245</v>
      </c>
      <c r="S423" s="45" t="n">
        <v>0.909424724602203</v>
      </c>
      <c r="T423" s="45" t="n">
        <v>0.919015889287545</v>
      </c>
      <c r="U423" s="45" t="n">
        <v>0.879344996869955</v>
      </c>
      <c r="V423" s="45" t="n"/>
      <c r="W423" s="45" t="n"/>
      <c r="X423" s="45" t="n">
        <v>0.982587014250674</v>
      </c>
      <c r="Y423" s="45" t="n"/>
      <c r="Z423" s="45" t="n">
        <v>0.922581447401144</v>
      </c>
      <c r="AA423" s="45" t="n"/>
      <c r="AB423" s="45" t="n">
        <v>0.958731357006668</v>
      </c>
      <c r="AC423" s="45" t="n">
        <v>0.942893401015228</v>
      </c>
      <c r="AD423" s="45" t="n">
        <v>0.776022505951093</v>
      </c>
      <c r="AE423" s="45" t="n">
        <v>0.835715739537505</v>
      </c>
      <c r="AF423" s="75">
        <f>IFERROR(AVERAGE(L423:U423),"")</f>
        <v/>
      </c>
      <c r="AG423" s="75">
        <f>IFERROR(AVERAGE(V423:AE423),"")</f>
        <v/>
      </c>
      <c r="AH423" s="75">
        <f>IFERROR(AVERAGE(B423:K423),"")</f>
        <v/>
      </c>
      <c r="AI423" s="45" t="n">
        <v>0.924434661865234</v>
      </c>
      <c r="AJ423" s="47" t="n">
        <v>0</v>
      </c>
    </row>
    <row r="424" ht="15" customHeight="1" s="30">
      <c r="A424" s="73" t="inlineStr">
        <is>
          <t>10814.jpg</t>
        </is>
      </c>
      <c r="B424" s="45" t="n">
        <v>0</v>
      </c>
      <c r="C424" s="45" t="n"/>
      <c r="D424" s="45" t="n">
        <v>0.922175187235428</v>
      </c>
      <c r="E424" s="45" t="n"/>
      <c r="F424" s="45" t="n">
        <v>0.866116620715197</v>
      </c>
      <c r="G424" s="45" t="n"/>
      <c r="H424" s="45" t="n">
        <v>0.915294862905228</v>
      </c>
      <c r="I424" s="45" t="n">
        <v>0.839931153184165</v>
      </c>
      <c r="J424" s="45" t="n">
        <v>0.857142857142857</v>
      </c>
      <c r="K424" s="45" t="n">
        <v>0.79126489766743</v>
      </c>
      <c r="L424" s="45" t="n">
        <v>0</v>
      </c>
      <c r="M424" s="45" t="n"/>
      <c r="N424" s="45" t="n">
        <v>0.960511652696352</v>
      </c>
      <c r="O424" s="45" t="n"/>
      <c r="P424" s="45" t="n">
        <v>0.940187166372591</v>
      </c>
      <c r="Q424" s="45" t="n"/>
      <c r="R424" s="45" t="n">
        <v>0.940312552216623</v>
      </c>
      <c r="S424" s="45" t="n">
        <v>0.919886899151744</v>
      </c>
      <c r="T424" s="45" t="n">
        <v>0.857142857142857</v>
      </c>
      <c r="U424" s="45" t="n">
        <v>0.902619229873199</v>
      </c>
      <c r="V424" s="45" t="n"/>
      <c r="W424" s="45" t="n"/>
      <c r="X424" s="45" t="n">
        <v>0.958514650420656</v>
      </c>
      <c r="Y424" s="45" t="n"/>
      <c r="Z424" s="45" t="n">
        <v>0.916623116453271</v>
      </c>
      <c r="AA424" s="45" t="n"/>
      <c r="AB424" s="45" t="n">
        <v>0.971753158229574</v>
      </c>
      <c r="AC424" s="45" t="n">
        <v>0.906220984215413</v>
      </c>
      <c r="AD424" s="45" t="n">
        <v>1</v>
      </c>
      <c r="AE424" s="45" t="n">
        <v>0.865117465988293</v>
      </c>
      <c r="AF424" s="75">
        <f>IFERROR(AVERAGE(L424:U424),"")</f>
        <v/>
      </c>
      <c r="AG424" s="75">
        <f>IFERROR(AVERAGE(V424:AE424),"")</f>
        <v/>
      </c>
      <c r="AH424" s="75">
        <f>IFERROR(AVERAGE(B424:K424),"")</f>
        <v/>
      </c>
      <c r="AI424" s="45" t="n">
        <v>0.934345245361328</v>
      </c>
      <c r="AJ424" s="47" t="n">
        <v>0</v>
      </c>
    </row>
    <row r="425" ht="15" customHeight="1" s="30">
      <c r="A425" s="73" t="inlineStr">
        <is>
          <t>10823.jpg</t>
        </is>
      </c>
      <c r="B425" s="45" t="n">
        <v>0</v>
      </c>
      <c r="C425" s="45" t="n"/>
      <c r="D425" s="45" t="n"/>
      <c r="E425" s="45" t="n"/>
      <c r="F425" s="45" t="n"/>
      <c r="G425" s="45" t="n">
        <v>0.752235599740221</v>
      </c>
      <c r="H425" s="45" t="n">
        <v>0.909203147233615</v>
      </c>
      <c r="I425" s="45" t="n"/>
      <c r="J425" s="45" t="n"/>
      <c r="K425" s="45" t="n">
        <v>0.96602625218953</v>
      </c>
      <c r="L425" s="45" t="n">
        <v>0</v>
      </c>
      <c r="M425" s="45" t="n"/>
      <c r="N425" s="45" t="n"/>
      <c r="O425" s="45" t="n"/>
      <c r="P425" s="45" t="n"/>
      <c r="Q425" s="45" t="n">
        <v>0.9892582616122459</v>
      </c>
      <c r="R425" s="45" t="n">
        <v>0.930046878010146</v>
      </c>
      <c r="S425" s="45" t="n"/>
      <c r="T425" s="45" t="n"/>
      <c r="U425" s="45" t="n">
        <v>0.985930233873796</v>
      </c>
      <c r="V425" s="45" t="n"/>
      <c r="W425" s="45" t="n"/>
      <c r="X425" s="45" t="n"/>
      <c r="Y425" s="45" t="n"/>
      <c r="Z425" s="45" t="n"/>
      <c r="AA425" s="45" t="n">
        <v>0.758430503437681</v>
      </c>
      <c r="AB425" s="45" t="n">
        <v>0.975943396226415</v>
      </c>
      <c r="AC425" s="45" t="n"/>
      <c r="AD425" s="45" t="n"/>
      <c r="AE425" s="45" t="n">
        <v>0.979529780740458</v>
      </c>
      <c r="AF425" s="75">
        <f>IFERROR(AVERAGE(L425:U425),"")</f>
        <v/>
      </c>
      <c r="AG425" s="75">
        <f>IFERROR(AVERAGE(V425:AE425),"")</f>
        <v/>
      </c>
      <c r="AH425" s="75">
        <f>IFERROR(AVERAGE(B425:K425),"")</f>
        <v/>
      </c>
      <c r="AI425" s="45" t="n">
        <v>0.945430755615234</v>
      </c>
      <c r="AJ425" s="47" t="n">
        <v>0</v>
      </c>
    </row>
    <row r="426" ht="15" customHeight="1" s="30">
      <c r="A426" s="73" t="inlineStr">
        <is>
          <t>10829.jpg</t>
        </is>
      </c>
      <c r="B426" s="45" t="n"/>
      <c r="C426" s="45" t="n"/>
      <c r="D426" s="45" t="n"/>
      <c r="E426" s="45" t="n"/>
      <c r="F426" s="45" t="n">
        <v>0</v>
      </c>
      <c r="G426" s="45" t="n">
        <v>0.97516339869281</v>
      </c>
      <c r="H426" s="45" t="n"/>
      <c r="I426" s="45" t="n"/>
      <c r="J426" s="45" t="n"/>
      <c r="K426" s="45" t="n">
        <v>0.996026913343525</v>
      </c>
      <c r="L426" s="45" t="n"/>
      <c r="M426" s="45" t="n"/>
      <c r="N426" s="45" t="n"/>
      <c r="O426" s="45" t="n"/>
      <c r="P426" s="45" t="n">
        <v>0</v>
      </c>
      <c r="Q426" s="45" t="n">
        <v>0.996546331291542</v>
      </c>
      <c r="R426" s="45" t="n"/>
      <c r="S426" s="45" t="n"/>
      <c r="T426" s="45" t="n"/>
      <c r="U426" s="45" t="n">
        <v>0.997090497209385</v>
      </c>
      <c r="V426" s="45" t="n"/>
      <c r="W426" s="45" t="n"/>
      <c r="X426" s="45" t="n"/>
      <c r="Y426" s="45" t="n"/>
      <c r="Z426" s="45" t="n"/>
      <c r="AA426" s="45" t="n">
        <v>0.978470200582232</v>
      </c>
      <c r="AB426" s="45" t="n"/>
      <c r="AC426" s="45" t="n"/>
      <c r="AD426" s="45" t="n"/>
      <c r="AE426" s="45" t="n">
        <v>0.998930203347987</v>
      </c>
      <c r="AF426" s="75">
        <f>IFERROR(AVERAGE(L426:U426),"")</f>
        <v/>
      </c>
      <c r="AG426" s="75">
        <f>IFERROR(AVERAGE(V426:AE426),"")</f>
        <v/>
      </c>
      <c r="AH426" s="75">
        <f>IFERROR(AVERAGE(B426:K426),"")</f>
        <v/>
      </c>
      <c r="AI426" s="45" t="n">
        <v>0.996490478515625</v>
      </c>
      <c r="AJ426" s="47" t="n">
        <v>0</v>
      </c>
    </row>
    <row r="427" ht="15" customHeight="1" s="30">
      <c r="A427" s="73" t="inlineStr">
        <is>
          <t>10838.jpg</t>
        </is>
      </c>
      <c r="B427" s="45" t="n">
        <v>0</v>
      </c>
      <c r="C427" s="45" t="n"/>
      <c r="D427" s="45" t="n"/>
      <c r="E427" s="45" t="n"/>
      <c r="F427" s="45" t="n"/>
      <c r="G427" s="45" t="n">
        <v>0.956815088657445</v>
      </c>
      <c r="H427" s="45" t="n">
        <v>0.927204226571973</v>
      </c>
      <c r="I427" s="45" t="n"/>
      <c r="J427" s="45" t="n"/>
      <c r="K427" s="45" t="n">
        <v>0.9645010627991381</v>
      </c>
      <c r="L427" s="45" t="n">
        <v>0</v>
      </c>
      <c r="M427" s="45" t="n"/>
      <c r="N427" s="45" t="n"/>
      <c r="O427" s="45" t="n"/>
      <c r="P427" s="45" t="n"/>
      <c r="Q427" s="45" t="n">
        <v>0.997424106738577</v>
      </c>
      <c r="R427" s="45" t="n">
        <v>0.935631882538018</v>
      </c>
      <c r="S427" s="45" t="n"/>
      <c r="T427" s="45" t="n"/>
      <c r="U427" s="45" t="n">
        <v>0.991571154618026</v>
      </c>
      <c r="V427" s="45" t="n"/>
      <c r="W427" s="45" t="n"/>
      <c r="X427" s="45" t="n"/>
      <c r="Y427" s="45" t="n"/>
      <c r="Z427" s="45" t="n"/>
      <c r="AA427" s="45" t="n">
        <v>0.959185253277856</v>
      </c>
      <c r="AB427" s="45" t="n">
        <v>0.990378833433554</v>
      </c>
      <c r="AC427" s="45" t="n"/>
      <c r="AD427" s="45" t="n"/>
      <c r="AE427" s="45" t="n">
        <v>0.972474121592069</v>
      </c>
      <c r="AF427" s="75">
        <f>IFERROR(AVERAGE(L427:U427),"")</f>
        <v/>
      </c>
      <c r="AG427" s="75">
        <f>IFERROR(AVERAGE(V427:AE427),"")</f>
        <v/>
      </c>
      <c r="AH427" s="75">
        <f>IFERROR(AVERAGE(B427:K427),"")</f>
        <v/>
      </c>
      <c r="AI427" s="45" t="n">
        <v>0.968711853027344</v>
      </c>
      <c r="AJ427" s="47" t="n">
        <v>0</v>
      </c>
    </row>
    <row r="428" ht="15" customHeight="1" s="30">
      <c r="A428" s="73" t="inlineStr">
        <is>
          <t>10839.jpg</t>
        </is>
      </c>
      <c r="B428" s="45" t="n">
        <v>0</v>
      </c>
      <c r="C428" s="45" t="n"/>
      <c r="D428" s="45" t="n"/>
      <c r="E428" s="45" t="n"/>
      <c r="F428" s="45" t="n">
        <v>0.832416448906615</v>
      </c>
      <c r="G428" s="45" t="n">
        <v>0.836831505929738</v>
      </c>
      <c r="H428" s="45" t="n">
        <v>0.932997870296906</v>
      </c>
      <c r="I428" s="45" t="n">
        <v>0.0100083402835696</v>
      </c>
      <c r="J428" s="45" t="n"/>
      <c r="K428" s="45" t="n">
        <v>0.935110804815541</v>
      </c>
      <c r="L428" s="45" t="n">
        <v>0</v>
      </c>
      <c r="M428" s="45" t="n"/>
      <c r="N428" s="45" t="n"/>
      <c r="O428" s="45" t="n"/>
      <c r="P428" s="45" t="n">
        <v>0.902953901238252</v>
      </c>
      <c r="Q428" s="45" t="n">
        <v>0.988685031459842</v>
      </c>
      <c r="R428" s="45" t="n">
        <v>0.944854418201425</v>
      </c>
      <c r="S428" s="45" t="n">
        <v>0.0154838709677419</v>
      </c>
      <c r="T428" s="45" t="n"/>
      <c r="U428" s="45" t="n">
        <v>0.973750014016439</v>
      </c>
      <c r="V428" s="45" t="n"/>
      <c r="W428" s="45" t="n"/>
      <c r="X428" s="45" t="n"/>
      <c r="Y428" s="45" t="n"/>
      <c r="Z428" s="45" t="n">
        <v>0.914205875689147</v>
      </c>
      <c r="AA428" s="45" t="n">
        <v>0.844923410600515</v>
      </c>
      <c r="AB428" s="45" t="n">
        <v>0.986728790354635</v>
      </c>
      <c r="AC428" s="45" t="n">
        <v>0.0275229357798165</v>
      </c>
      <c r="AD428" s="45" t="n"/>
      <c r="AE428" s="45" t="n">
        <v>0.95929301297984</v>
      </c>
      <c r="AF428" s="75">
        <f>IFERROR(AVERAGE(L428:U428),"")</f>
        <v/>
      </c>
      <c r="AG428" s="75">
        <f>IFERROR(AVERAGE(V428:AE428),"")</f>
        <v/>
      </c>
      <c r="AH428" s="75">
        <f>IFERROR(AVERAGE(B428:K428),"")</f>
        <v/>
      </c>
      <c r="AI428" s="45" t="n">
        <v>0.950550079345703</v>
      </c>
      <c r="AJ428" s="47" t="n">
        <v>0</v>
      </c>
    </row>
    <row r="429" ht="15" customHeight="1" s="30">
      <c r="A429" s="73" t="inlineStr">
        <is>
          <t>10843.jpg</t>
        </is>
      </c>
      <c r="B429" s="45" t="n">
        <v>0</v>
      </c>
      <c r="C429" s="45" t="n"/>
      <c r="D429" s="45" t="n"/>
      <c r="E429" s="45" t="n"/>
      <c r="F429" s="45" t="n">
        <v>0.7660405011203339</v>
      </c>
      <c r="G429" s="45" t="n"/>
      <c r="H429" s="45" t="n">
        <v>0.796846846846847</v>
      </c>
      <c r="I429" s="45" t="n">
        <v>0.41598868058012</v>
      </c>
      <c r="J429" s="45" t="n"/>
      <c r="K429" s="45" t="n">
        <v>0.766938047917415</v>
      </c>
      <c r="L429" s="45" t="n">
        <v>0</v>
      </c>
      <c r="M429" s="45" t="n"/>
      <c r="N429" s="45" t="n"/>
      <c r="O429" s="45" t="n"/>
      <c r="P429" s="45" t="n">
        <v>0.776124730507289</v>
      </c>
      <c r="Q429" s="45" t="n"/>
      <c r="R429" s="45" t="n">
        <v>0.938461538461539</v>
      </c>
      <c r="S429" s="45" t="n">
        <v>0.49</v>
      </c>
      <c r="T429" s="45" t="n"/>
      <c r="U429" s="45" t="n">
        <v>0.979052390252187</v>
      </c>
      <c r="V429" s="45" t="n"/>
      <c r="W429" s="45" t="n"/>
      <c r="X429" s="45" t="n"/>
      <c r="Y429" s="45" t="n"/>
      <c r="Z429" s="45" t="n">
        <v>0.983321575224761</v>
      </c>
      <c r="AA429" s="45" t="n"/>
      <c r="AB429" s="45" t="n">
        <v>0.840779467680608</v>
      </c>
      <c r="AC429" s="45" t="n">
        <v>0.733624454148472</v>
      </c>
      <c r="AD429" s="45" t="n"/>
      <c r="AE429" s="45" t="n">
        <v>0.779732882502113</v>
      </c>
      <c r="AF429" s="75">
        <f>IFERROR(AVERAGE(L429:U429),"")</f>
        <v/>
      </c>
      <c r="AG429" s="75">
        <f>IFERROR(AVERAGE(V429:AE429),"")</f>
        <v/>
      </c>
      <c r="AH429" s="75">
        <f>IFERROR(AVERAGE(B429:K429),"")</f>
        <v/>
      </c>
      <c r="AI429" s="45" t="n">
        <v>0.865806579589844</v>
      </c>
      <c r="AJ429" s="47" t="n">
        <v>0</v>
      </c>
    </row>
    <row r="430" ht="15" customHeight="1" s="30">
      <c r="A430" s="73" t="inlineStr">
        <is>
          <t>11483.jpg</t>
        </is>
      </c>
      <c r="B430" s="45" t="n"/>
      <c r="C430" s="45" t="n">
        <v>0</v>
      </c>
      <c r="D430" s="45" t="n">
        <v>0.662683660824925</v>
      </c>
      <c r="E430" s="45" t="n"/>
      <c r="F430" s="45" t="n">
        <v>0.622691998929623</v>
      </c>
      <c r="G430" s="45" t="n">
        <v>0.968874069478908</v>
      </c>
      <c r="H430" s="45" t="n">
        <v>0.749141742522757</v>
      </c>
      <c r="I430" s="45" t="n">
        <v>0.37037037037037</v>
      </c>
      <c r="J430" s="45" t="n">
        <v>0.496794871794872</v>
      </c>
      <c r="K430" s="45" t="n">
        <v>0.777998696487943</v>
      </c>
      <c r="L430" s="45" t="n"/>
      <c r="M430" s="45" t="n">
        <v>0</v>
      </c>
      <c r="N430" s="45" t="n">
        <v>0.725098058205414</v>
      </c>
      <c r="O430" s="45" t="n"/>
      <c r="P430" s="45" t="n">
        <v>0.758969341161122</v>
      </c>
      <c r="Q430" s="45" t="n">
        <v>0.982789812324005</v>
      </c>
      <c r="R430" s="45" t="n">
        <v>0.780165759323962</v>
      </c>
      <c r="S430" s="45" t="n">
        <v>0.714285714285714</v>
      </c>
      <c r="T430" s="45" t="n">
        <v>0.954265611257696</v>
      </c>
      <c r="U430" s="45" t="n">
        <v>0.9456299386306209</v>
      </c>
      <c r="V430" s="45" t="n"/>
      <c r="W430" s="45" t="n"/>
      <c r="X430" s="45" t="n">
        <v>0.88504048702642</v>
      </c>
      <c r="Y430" s="45" t="n"/>
      <c r="Z430" s="45" t="n">
        <v>0.776184122748499</v>
      </c>
      <c r="AA430" s="45" t="n">
        <v>0.985596188432777</v>
      </c>
      <c r="AB430" s="45" t="n">
        <v>0.949593683551189</v>
      </c>
      <c r="AC430" s="45" t="n">
        <v>0.434782608695652</v>
      </c>
      <c r="AD430" s="45" t="n">
        <v>0.50891181988743</v>
      </c>
      <c r="AE430" s="45" t="n">
        <v>0.814429695394208</v>
      </c>
      <c r="AF430" s="75">
        <f>IFERROR(AVERAGE(L430:U430),"")</f>
        <v/>
      </c>
      <c r="AG430" s="75">
        <f>IFERROR(AVERAGE(V430:AE430),"")</f>
        <v/>
      </c>
      <c r="AH430" s="75">
        <f>IFERROR(AVERAGE(B430:K430),"")</f>
        <v/>
      </c>
      <c r="AI430" s="45" t="n">
        <v>0.88836669921875</v>
      </c>
      <c r="AJ430" s="47" t="n">
        <v>0</v>
      </c>
    </row>
  </sheetData>
  <autoFilter ref="A4:AJ430"/>
  <mergeCells count="4">
    <mergeCell ref="V3:AE3"/>
    <mergeCell ref="L3:U3"/>
    <mergeCell ref="B3:K3"/>
    <mergeCell ref="AF3:AJ3"/>
  </mergeCells>
  <conditionalFormatting sqref="B5:AH430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833C0B"/>
    <outlinePr summaryBelow="1" summaryRight="1"/>
    <pageSetUpPr fitToPage="0"/>
  </sheetPr>
  <dimension ref="A1:AJ4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9" min="1" max="1"/>
    <col outlineLevel="1" width="12" customWidth="1" style="29" min="2" max="31"/>
    <col width="13" customWidth="1" style="29" min="32" max="35"/>
    <col width="15" customWidth="1" style="29" min="36" max="36"/>
  </cols>
  <sheetData>
    <row r="1" ht="17.35" customHeight="1" s="30">
      <c r="A1" s="31" t="inlineStr">
        <is>
          <t>DeepLabV3+ — métricas por imagen de test (426 imágenes)</t>
        </is>
      </c>
    </row>
    <row r="2" ht="15" customHeight="1" s="30">
      <c r="A2" s="32" t="inlineStr">
        <is>
          <t>Celdas vacías: la clase no aparece ni en la referencia ni en la predicción (IoU), no se predice (precisión) o no está en la referencia (recall). Ver la hoja Léeme.</t>
        </is>
      </c>
    </row>
    <row r="3" ht="15" customHeight="1" s="30">
      <c r="A3" s="38" t="n"/>
      <c r="B3" s="42" t="inlineStr">
        <is>
          <t>IoU por clase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40" t="n"/>
      <c r="L3" s="42" t="inlineStr">
        <is>
          <t>Precisión por clase</t>
        </is>
      </c>
      <c r="M3" s="39" t="n"/>
      <c r="N3" s="39" t="n"/>
      <c r="O3" s="39" t="n"/>
      <c r="P3" s="39" t="n"/>
      <c r="Q3" s="39" t="n"/>
      <c r="R3" s="39" t="n"/>
      <c r="S3" s="39" t="n"/>
      <c r="T3" s="39" t="n"/>
      <c r="U3" s="40" t="n"/>
      <c r="V3" s="42" t="inlineStr">
        <is>
          <t>Recall por clase</t>
        </is>
      </c>
      <c r="W3" s="39" t="n"/>
      <c r="X3" s="39" t="n"/>
      <c r="Y3" s="39" t="n"/>
      <c r="Z3" s="39" t="n"/>
      <c r="AA3" s="39" t="n"/>
      <c r="AB3" s="39" t="n"/>
      <c r="AC3" s="39" t="n"/>
      <c r="AD3" s="39" t="n"/>
      <c r="AE3" s="40" t="n"/>
      <c r="AF3" s="38" t="inlineStr">
        <is>
          <t>Resumen de la imagen</t>
        </is>
      </c>
      <c r="AG3" s="39" t="n"/>
      <c r="AH3" s="39" t="n"/>
      <c r="AI3" s="39" t="n"/>
      <c r="AJ3" s="40" t="n"/>
    </row>
    <row r="4" ht="42" customHeight="1" s="30">
      <c r="A4" s="38" t="inlineStr">
        <is>
          <t>Imagen</t>
        </is>
      </c>
      <c r="B4" s="76" t="inlineStr">
        <is>
          <t>IoU
Background</t>
        </is>
      </c>
      <c r="C4" s="76" t="inlineStr">
        <is>
          <t>IoU
Building-flooded</t>
        </is>
      </c>
      <c r="D4" s="76" t="inlineStr">
        <is>
          <t>IoU
Building-non-flooded</t>
        </is>
      </c>
      <c r="E4" s="76" t="inlineStr">
        <is>
          <t>IoU
Road-flooded</t>
        </is>
      </c>
      <c r="F4" s="76" t="inlineStr">
        <is>
          <t>IoU
Road-non-flooded</t>
        </is>
      </c>
      <c r="G4" s="76" t="inlineStr">
        <is>
          <t>IoU
Water</t>
        </is>
      </c>
      <c r="H4" s="76" t="inlineStr">
        <is>
          <t>IoU
Tree</t>
        </is>
      </c>
      <c r="I4" s="76" t="inlineStr">
        <is>
          <t>IoU
Vehicle</t>
        </is>
      </c>
      <c r="J4" s="76" t="inlineStr">
        <is>
          <t>IoU
Pool</t>
        </is>
      </c>
      <c r="K4" s="76" t="inlineStr">
        <is>
          <t>IoU
Grass</t>
        </is>
      </c>
      <c r="L4" s="76" t="inlineStr">
        <is>
          <t>Precisión
Background</t>
        </is>
      </c>
      <c r="M4" s="76" t="inlineStr">
        <is>
          <t>Precisión
Building-flooded</t>
        </is>
      </c>
      <c r="N4" s="76" t="inlineStr">
        <is>
          <t>Precisión
Building-non-flooded</t>
        </is>
      </c>
      <c r="O4" s="76" t="inlineStr">
        <is>
          <t>Precisión
Road-flooded</t>
        </is>
      </c>
      <c r="P4" s="76" t="inlineStr">
        <is>
          <t>Precisión
Road-non-flooded</t>
        </is>
      </c>
      <c r="Q4" s="76" t="inlineStr">
        <is>
          <t>Precisión
Water</t>
        </is>
      </c>
      <c r="R4" s="76" t="inlineStr">
        <is>
          <t>Precisión
Tree</t>
        </is>
      </c>
      <c r="S4" s="76" t="inlineStr">
        <is>
          <t>Precisión
Vehicle</t>
        </is>
      </c>
      <c r="T4" s="76" t="inlineStr">
        <is>
          <t>Precisión
Pool</t>
        </is>
      </c>
      <c r="U4" s="76" t="inlineStr">
        <is>
          <t>Precisión
Grass</t>
        </is>
      </c>
      <c r="V4" s="76" t="inlineStr">
        <is>
          <t>Recall
Background</t>
        </is>
      </c>
      <c r="W4" s="76" t="inlineStr">
        <is>
          <t>Recall
Building-flooded</t>
        </is>
      </c>
      <c r="X4" s="76" t="inlineStr">
        <is>
          <t>Recall
Building-non-flooded</t>
        </is>
      </c>
      <c r="Y4" s="76" t="inlineStr">
        <is>
          <t>Recall
Road-flooded</t>
        </is>
      </c>
      <c r="Z4" s="76" t="inlineStr">
        <is>
          <t>Recall
Road-non-flooded</t>
        </is>
      </c>
      <c r="AA4" s="76" t="inlineStr">
        <is>
          <t>Recall
Water</t>
        </is>
      </c>
      <c r="AB4" s="76" t="inlineStr">
        <is>
          <t>Recall
Tree</t>
        </is>
      </c>
      <c r="AC4" s="76" t="inlineStr">
        <is>
          <t>Recall
Vehicle</t>
        </is>
      </c>
      <c r="AD4" s="76" t="inlineStr">
        <is>
          <t>Recall
Pool</t>
        </is>
      </c>
      <c r="AE4" s="76" t="inlineStr">
        <is>
          <t>Recall
Grass</t>
        </is>
      </c>
      <c r="AF4" s="38" t="inlineStr">
        <is>
          <t>Precisión</t>
        </is>
      </c>
      <c r="AG4" s="38" t="inlineStr">
        <is>
          <t>Recall</t>
        </is>
      </c>
      <c r="AH4" s="38" t="inlineStr">
        <is>
          <t>Mean_IoU</t>
        </is>
      </c>
      <c r="AI4" s="38" t="inlineStr">
        <is>
          <t>Pixel accuracy</t>
        </is>
      </c>
      <c r="AJ4" s="38" t="inlineStr">
        <is>
          <t>% píxeles sin predicción</t>
        </is>
      </c>
    </row>
    <row r="5" ht="15" customHeight="1" s="30">
      <c r="A5" s="73" t="inlineStr">
        <is>
          <t>6336.jpg</t>
        </is>
      </c>
      <c r="B5" s="45" t="n"/>
      <c r="C5" s="45" t="n"/>
      <c r="D5" s="45" t="n"/>
      <c r="E5" s="45" t="n"/>
      <c r="F5" s="45" t="n">
        <v>0.9441400349495011</v>
      </c>
      <c r="G5" s="45" t="n">
        <v>0.856869916480157</v>
      </c>
      <c r="H5" s="45" t="n"/>
      <c r="I5" s="45" t="n">
        <v>0.7693498452012379</v>
      </c>
      <c r="J5" s="45" t="n"/>
      <c r="K5" s="45" t="n">
        <v>0.965695671996792</v>
      </c>
      <c r="L5" s="45" t="n"/>
      <c r="M5" s="45" t="n"/>
      <c r="N5" s="45" t="n"/>
      <c r="O5" s="45" t="n"/>
      <c r="P5" s="45" t="n">
        <v>0.970159020010652</v>
      </c>
      <c r="Q5" s="45" t="n">
        <v>0.859497344357444</v>
      </c>
      <c r="R5" s="45" t="n"/>
      <c r="S5" s="45" t="n">
        <v>0.824212271973466</v>
      </c>
      <c r="T5" s="45" t="n"/>
      <c r="U5" s="45" t="n">
        <v>0.990082393291395</v>
      </c>
      <c r="V5" s="45" t="n"/>
      <c r="W5" s="45" t="n"/>
      <c r="X5" s="45" t="n"/>
      <c r="Y5" s="45" t="n"/>
      <c r="Z5" s="45" t="n">
        <v>0.972378555631816</v>
      </c>
      <c r="AA5" s="45" t="n">
        <v>0.996445121564147</v>
      </c>
      <c r="AB5" s="45" t="n"/>
      <c r="AC5" s="45" t="n">
        <v>0.92037037037037</v>
      </c>
      <c r="AD5" s="45" t="n"/>
      <c r="AE5" s="45" t="n">
        <v>0.975128407086518</v>
      </c>
      <c r="AF5" s="75">
        <f>IFERROR(AVERAGE(L5:U5),"")</f>
        <v/>
      </c>
      <c r="AG5" s="75">
        <f>IFERROR(AVERAGE(V5:AE5),"")</f>
        <v/>
      </c>
      <c r="AH5" s="75">
        <f>IFERROR(AVERAGE(B5:K5),"")</f>
        <v/>
      </c>
      <c r="AI5" s="45" t="n">
        <v>0.975608825683594</v>
      </c>
      <c r="AJ5" s="47" t="n">
        <v>0</v>
      </c>
    </row>
    <row r="6" ht="15" customHeight="1" s="30">
      <c r="A6" s="73" t="inlineStr">
        <is>
          <t>6342.jpg</t>
        </is>
      </c>
      <c r="B6" s="45" t="n"/>
      <c r="C6" s="45" t="n"/>
      <c r="D6" s="45" t="n"/>
      <c r="E6" s="45" t="n"/>
      <c r="F6" s="45" t="n">
        <v>0.930901694915254</v>
      </c>
      <c r="G6" s="45" t="n">
        <v>0.931237203860778</v>
      </c>
      <c r="H6" s="45" t="n"/>
      <c r="I6" s="45" t="n"/>
      <c r="J6" s="45" t="n"/>
      <c r="K6" s="45" t="n">
        <v>0.975002296176101</v>
      </c>
      <c r="L6" s="45" t="n"/>
      <c r="M6" s="45" t="n"/>
      <c r="N6" s="45" t="n"/>
      <c r="O6" s="45" t="n"/>
      <c r="P6" s="45" t="n">
        <v>0.967421018515909</v>
      </c>
      <c r="Q6" s="45" t="n">
        <v>0.992363795038025</v>
      </c>
      <c r="R6" s="45" t="n"/>
      <c r="S6" s="45" t="n"/>
      <c r="T6" s="45" t="n"/>
      <c r="U6" s="45" t="n">
        <v>0.982022541204767</v>
      </c>
      <c r="V6" s="45" t="n"/>
      <c r="W6" s="45" t="n"/>
      <c r="X6" s="45" t="n"/>
      <c r="Y6" s="45" t="n"/>
      <c r="Z6" s="45" t="n">
        <v>0.961029144152972</v>
      </c>
      <c r="AA6" s="45" t="n">
        <v>0.937958462218294</v>
      </c>
      <c r="AB6" s="45" t="n"/>
      <c r="AC6" s="45" t="n"/>
      <c r="AD6" s="45" t="n"/>
      <c r="AE6" s="45" t="n">
        <v>0.992721321695761</v>
      </c>
      <c r="AF6" s="75">
        <f>IFERROR(AVERAGE(L6:U6),"")</f>
        <v/>
      </c>
      <c r="AG6" s="75">
        <f>IFERROR(AVERAGE(V6:AE6),"")</f>
        <v/>
      </c>
      <c r="AH6" s="75">
        <f>IFERROR(AVERAGE(B6:K6),"")</f>
        <v/>
      </c>
      <c r="AI6" s="45" t="n">
        <v>0.981311798095703</v>
      </c>
      <c r="AJ6" s="47" t="n">
        <v>0</v>
      </c>
    </row>
    <row r="7" ht="15" customHeight="1" s="30">
      <c r="A7" s="73" t="inlineStr">
        <is>
          <t>6353.jpg</t>
        </is>
      </c>
      <c r="B7" s="45" t="n"/>
      <c r="C7" s="45" t="n"/>
      <c r="D7" s="45" t="n"/>
      <c r="E7" s="45" t="n"/>
      <c r="F7" s="45" t="n">
        <v>0.901423042935064</v>
      </c>
      <c r="G7" s="45" t="n">
        <v>0.925106575377858</v>
      </c>
      <c r="H7" s="45" t="n">
        <v>0.714019851116625</v>
      </c>
      <c r="I7" s="45" t="n"/>
      <c r="J7" s="45" t="n"/>
      <c r="K7" s="45" t="n">
        <v>0.971210207424658</v>
      </c>
      <c r="L7" s="45" t="n"/>
      <c r="M7" s="45" t="n"/>
      <c r="N7" s="45" t="n"/>
      <c r="O7" s="45" t="n"/>
      <c r="P7" s="45" t="n">
        <v>0.937711985291787</v>
      </c>
      <c r="Q7" s="45" t="n">
        <v>0.977811913295784</v>
      </c>
      <c r="R7" s="45" t="n">
        <v>0.9156722354813051</v>
      </c>
      <c r="S7" s="45" t="n"/>
      <c r="T7" s="45" t="n"/>
      <c r="U7" s="45" t="n">
        <v>0.98398360368917</v>
      </c>
      <c r="V7" s="45" t="n"/>
      <c r="W7" s="45" t="n"/>
      <c r="X7" s="45" t="n"/>
      <c r="Y7" s="45" t="n"/>
      <c r="Z7" s="45" t="n">
        <v>0.95883573188124</v>
      </c>
      <c r="AA7" s="45" t="n">
        <v>0.944942930659101</v>
      </c>
      <c r="AB7" s="45" t="n">
        <v>0.764276228419655</v>
      </c>
      <c r="AC7" s="45" t="n"/>
      <c r="AD7" s="45" t="n"/>
      <c r="AE7" s="45" t="n">
        <v>0.986810178872223</v>
      </c>
      <c r="AF7" s="75">
        <f>IFERROR(AVERAGE(L7:U7),"")</f>
        <v/>
      </c>
      <c r="AG7" s="75">
        <f>IFERROR(AVERAGE(V7:AE7),"")</f>
        <v/>
      </c>
      <c r="AH7" s="75">
        <f>IFERROR(AVERAGE(B7:K7),"")</f>
        <v/>
      </c>
      <c r="AI7" s="45" t="n">
        <v>0.977397918701172</v>
      </c>
      <c r="AJ7" s="47" t="n">
        <v>0</v>
      </c>
    </row>
    <row r="8" ht="15" customHeight="1" s="30">
      <c r="A8" s="73" t="inlineStr">
        <is>
          <t>6362.jpg</t>
        </is>
      </c>
      <c r="B8" s="45" t="n"/>
      <c r="C8" s="45" t="n"/>
      <c r="D8" s="45" t="n"/>
      <c r="E8" s="45" t="n"/>
      <c r="F8" s="45" t="n">
        <v>0.935191507852753</v>
      </c>
      <c r="G8" s="45" t="n">
        <v>0.976063640883585</v>
      </c>
      <c r="H8" s="45" t="n">
        <v>0.678113787801128</v>
      </c>
      <c r="I8" s="45" t="n">
        <v>0.6587301587301591</v>
      </c>
      <c r="J8" s="45" t="n"/>
      <c r="K8" s="45" t="n">
        <v>0.985275843705004</v>
      </c>
      <c r="L8" s="45" t="n"/>
      <c r="M8" s="45" t="n"/>
      <c r="N8" s="45" t="n"/>
      <c r="O8" s="45" t="n"/>
      <c r="P8" s="45" t="n">
        <v>0.955204007228228</v>
      </c>
      <c r="Q8" s="45" t="n">
        <v>0.981431224110841</v>
      </c>
      <c r="R8" s="45" t="n">
        <v>0.7301324503311259</v>
      </c>
      <c r="S8" s="45" t="n">
        <v>0.7155172413793101</v>
      </c>
      <c r="T8" s="45" t="n"/>
      <c r="U8" s="45" t="n">
        <v>0.996295243651304</v>
      </c>
      <c r="V8" s="45" t="n"/>
      <c r="W8" s="45" t="n"/>
      <c r="X8" s="45" t="n"/>
      <c r="Y8" s="45" t="n"/>
      <c r="Z8" s="45" t="n">
        <v>0.9780879727317</v>
      </c>
      <c r="AA8" s="45" t="n">
        <v>0.99442796150228</v>
      </c>
      <c r="AB8" s="45" t="n">
        <v>0.904924760601915</v>
      </c>
      <c r="AC8" s="45" t="n">
        <v>0.89247311827957</v>
      </c>
      <c r="AD8" s="45" t="n"/>
      <c r="AE8" s="45" t="n">
        <v>0.988898952255101</v>
      </c>
      <c r="AF8" s="75">
        <f>IFERROR(AVERAGE(L8:U8),"")</f>
        <v/>
      </c>
      <c r="AG8" s="75">
        <f>IFERROR(AVERAGE(V8:AE8),"")</f>
        <v/>
      </c>
      <c r="AH8" s="75">
        <f>IFERROR(AVERAGE(B8:K8),"")</f>
        <v/>
      </c>
      <c r="AI8" s="45" t="n">
        <v>0.987674713134766</v>
      </c>
      <c r="AJ8" s="47" t="n">
        <v>0</v>
      </c>
    </row>
    <row r="9" ht="15" customHeight="1" s="30">
      <c r="A9" s="73" t="inlineStr">
        <is>
          <t>6371.jpg</t>
        </is>
      </c>
      <c r="B9" s="45" t="n"/>
      <c r="C9" s="45" t="n"/>
      <c r="D9" s="45" t="n"/>
      <c r="E9" s="45" t="n"/>
      <c r="F9" s="45" t="n">
        <v>0.949058389036413</v>
      </c>
      <c r="G9" s="45" t="n">
        <v>0.961619883957974</v>
      </c>
      <c r="H9" s="45" t="n">
        <v>0</v>
      </c>
      <c r="I9" s="45" t="n"/>
      <c r="J9" s="45" t="n"/>
      <c r="K9" s="45" t="n">
        <v>0.97978413817481</v>
      </c>
      <c r="L9" s="45" t="n"/>
      <c r="M9" s="45" t="n"/>
      <c r="N9" s="45" t="n"/>
      <c r="O9" s="45" t="n"/>
      <c r="P9" s="45" t="n">
        <v>0.99360899853007</v>
      </c>
      <c r="Q9" s="45" t="n">
        <v>0.976395191465648</v>
      </c>
      <c r="R9" s="45" t="n">
        <v>0</v>
      </c>
      <c r="S9" s="45" t="n"/>
      <c r="T9" s="45" t="n"/>
      <c r="U9" s="45" t="n">
        <v>0.9909158133407771</v>
      </c>
      <c r="V9" s="45" t="n"/>
      <c r="W9" s="45" t="n"/>
      <c r="X9" s="45" t="n"/>
      <c r="Y9" s="45" t="n"/>
      <c r="Z9" s="45" t="n">
        <v>0.954887448945122</v>
      </c>
      <c r="AA9" s="45" t="n">
        <v>0.984507324904676</v>
      </c>
      <c r="AB9" s="45" t="n"/>
      <c r="AC9" s="45" t="n"/>
      <c r="AD9" s="45" t="n"/>
      <c r="AE9" s="45" t="n">
        <v>0.988664458190418</v>
      </c>
      <c r="AF9" s="75">
        <f>IFERROR(AVERAGE(L9:U9),"")</f>
        <v/>
      </c>
      <c r="AG9" s="75">
        <f>IFERROR(AVERAGE(V9:AE9),"")</f>
        <v/>
      </c>
      <c r="AH9" s="75">
        <f>IFERROR(AVERAGE(B9:K9),"")</f>
        <v/>
      </c>
      <c r="AI9" s="45" t="n">
        <v>0.984073638916016</v>
      </c>
      <c r="AJ9" s="47" t="n">
        <v>0</v>
      </c>
    </row>
    <row r="10" ht="15" customHeight="1" s="30">
      <c r="A10" s="73" t="inlineStr">
        <is>
          <t>6377.jpg</t>
        </is>
      </c>
      <c r="B10" s="45" t="n"/>
      <c r="C10" s="45" t="n"/>
      <c r="D10" s="45" t="n"/>
      <c r="E10" s="45" t="n"/>
      <c r="F10" s="45" t="n">
        <v>0.952564809707667</v>
      </c>
      <c r="G10" s="45" t="n">
        <v>0.956678404717058</v>
      </c>
      <c r="H10" s="45" t="n"/>
      <c r="I10" s="45" t="n">
        <v>0.715789473684211</v>
      </c>
      <c r="J10" s="45" t="n"/>
      <c r="K10" s="45" t="n">
        <v>0.985133870626943</v>
      </c>
      <c r="L10" s="45" t="n"/>
      <c r="M10" s="45" t="n"/>
      <c r="N10" s="45" t="n"/>
      <c r="O10" s="45" t="n"/>
      <c r="P10" s="45" t="n">
        <v>0.96614209617396</v>
      </c>
      <c r="Q10" s="45" t="n">
        <v>0.989036108876942</v>
      </c>
      <c r="R10" s="45" t="n"/>
      <c r="S10" s="45" t="n">
        <v>0.758364312267658</v>
      </c>
      <c r="T10" s="45" t="n"/>
      <c r="U10" s="45" t="n">
        <v>0.9933042168216339</v>
      </c>
      <c r="V10" s="45" t="n"/>
      <c r="W10" s="45" t="n"/>
      <c r="X10" s="45" t="n"/>
      <c r="Y10" s="45" t="n"/>
      <c r="Z10" s="45" t="n">
        <v>0.985461582355422</v>
      </c>
      <c r="AA10" s="45" t="n">
        <v>0.966932913959359</v>
      </c>
      <c r="AB10" s="45" t="n"/>
      <c r="AC10" s="45" t="n">
        <v>0.927272727272727</v>
      </c>
      <c r="AD10" s="45" t="n"/>
      <c r="AE10" s="45" t="n">
        <v>0.991719590385609</v>
      </c>
      <c r="AF10" s="75">
        <f>IFERROR(AVERAGE(L10:U10),"")</f>
        <v/>
      </c>
      <c r="AG10" s="75">
        <f>IFERROR(AVERAGE(V10:AE10),"")</f>
        <v/>
      </c>
      <c r="AH10" s="75">
        <f>IFERROR(AVERAGE(B10:K10),"")</f>
        <v/>
      </c>
      <c r="AI10" s="45" t="n">
        <v>0.9884185791015631</v>
      </c>
      <c r="AJ10" s="47" t="n">
        <v>0</v>
      </c>
    </row>
    <row r="11" ht="15" customHeight="1" s="30">
      <c r="A11" s="73" t="inlineStr">
        <is>
          <t>6383.jpg</t>
        </is>
      </c>
      <c r="B11" s="45" t="n"/>
      <c r="C11" s="45" t="n"/>
      <c r="D11" s="45" t="n"/>
      <c r="E11" s="45" t="n"/>
      <c r="F11" s="45" t="n">
        <v>0.935227553796686</v>
      </c>
      <c r="G11" s="45" t="n">
        <v>0.956400483406154</v>
      </c>
      <c r="H11" s="45" t="n"/>
      <c r="I11" s="45" t="n">
        <v>0.569672131147541</v>
      </c>
      <c r="J11" s="45" t="n"/>
      <c r="K11" s="45" t="n">
        <v>0.986128153499941</v>
      </c>
      <c r="L11" s="45" t="n"/>
      <c r="M11" s="45" t="n"/>
      <c r="N11" s="45" t="n"/>
      <c r="O11" s="45" t="n"/>
      <c r="P11" s="45" t="n">
        <v>0.953114661121089</v>
      </c>
      <c r="Q11" s="45" t="n">
        <v>0.994826669245274</v>
      </c>
      <c r="R11" s="45" t="n"/>
      <c r="S11" s="45" t="n">
        <v>0.763736263736264</v>
      </c>
      <c r="T11" s="45" t="n"/>
      <c r="U11" s="45" t="n">
        <v>0.993342623435874</v>
      </c>
      <c r="V11" s="45" t="n"/>
      <c r="W11" s="45" t="n"/>
      <c r="X11" s="45" t="n"/>
      <c r="Y11" s="45" t="n"/>
      <c r="Z11" s="45" t="n">
        <v>0.980327975110189</v>
      </c>
      <c r="AA11" s="45" t="n">
        <v>0.961180922128276</v>
      </c>
      <c r="AB11" s="45" t="n"/>
      <c r="AC11" s="45" t="n">
        <v>0.691542288557214</v>
      </c>
      <c r="AD11" s="45" t="n"/>
      <c r="AE11" s="45" t="n">
        <v>0.992688859214041</v>
      </c>
      <c r="AF11" s="75">
        <f>IFERROR(AVERAGE(L11:U11),"")</f>
        <v/>
      </c>
      <c r="AG11" s="75">
        <f>IFERROR(AVERAGE(V11:AE11),"")</f>
        <v/>
      </c>
      <c r="AH11" s="75">
        <f>IFERROR(AVERAGE(B11:K11),"")</f>
        <v/>
      </c>
      <c r="AI11" s="45" t="n">
        <v>0.988430023193359</v>
      </c>
      <c r="AJ11" s="47" t="n">
        <v>0</v>
      </c>
    </row>
    <row r="12" ht="15" customHeight="1" s="30">
      <c r="A12" s="73" t="inlineStr">
        <is>
          <t>6389.jpg</t>
        </is>
      </c>
      <c r="B12" s="45" t="n"/>
      <c r="C12" s="45" t="n"/>
      <c r="D12" s="45" t="n"/>
      <c r="E12" s="45" t="n"/>
      <c r="F12" s="45" t="n">
        <v>0.928601427971441</v>
      </c>
      <c r="G12" s="45" t="n">
        <v>0.943558569090484</v>
      </c>
      <c r="H12" s="45" t="n"/>
      <c r="I12" s="45" t="n">
        <v>0</v>
      </c>
      <c r="J12" s="45" t="n"/>
      <c r="K12" s="45" t="n">
        <v>0.97964487433977</v>
      </c>
      <c r="L12" s="45" t="n"/>
      <c r="M12" s="45" t="n"/>
      <c r="N12" s="45" t="n"/>
      <c r="O12" s="45" t="n"/>
      <c r="P12" s="45" t="n">
        <v>0.979522520305193</v>
      </c>
      <c r="Q12" s="45" t="n">
        <v>0.994774206270953</v>
      </c>
      <c r="R12" s="45" t="n"/>
      <c r="S12" s="45" t="n">
        <v>0</v>
      </c>
      <c r="T12" s="45" t="n"/>
      <c r="U12" s="45" t="n">
        <v>0.984214845207012</v>
      </c>
      <c r="V12" s="45" t="n"/>
      <c r="W12" s="45" t="n"/>
      <c r="X12" s="45" t="n"/>
      <c r="Y12" s="45" t="n"/>
      <c r="Z12" s="45" t="n">
        <v>0.946985199638319</v>
      </c>
      <c r="AA12" s="45" t="n">
        <v>0.948258846750317</v>
      </c>
      <c r="AB12" s="45" t="n"/>
      <c r="AC12" s="45" t="n"/>
      <c r="AD12" s="45" t="n"/>
      <c r="AE12" s="45" t="n">
        <v>0.995282615583462</v>
      </c>
      <c r="AF12" s="75">
        <f>IFERROR(AVERAGE(L12:U12),"")</f>
        <v/>
      </c>
      <c r="AG12" s="75">
        <f>IFERROR(AVERAGE(V12:AE12),"")</f>
        <v/>
      </c>
      <c r="AH12" s="75">
        <f>IFERROR(AVERAGE(B12:K12),"")</f>
        <v/>
      </c>
      <c r="AI12" s="45" t="n">
        <v>0.983722686767578</v>
      </c>
      <c r="AJ12" s="47" t="n">
        <v>0</v>
      </c>
    </row>
    <row r="13" ht="15" customHeight="1" s="30">
      <c r="A13" s="73" t="inlineStr">
        <is>
          <t>6391.jpg</t>
        </is>
      </c>
      <c r="B13" s="45" t="n"/>
      <c r="C13" s="45" t="n"/>
      <c r="D13" s="45" t="n"/>
      <c r="E13" s="45" t="n"/>
      <c r="F13" s="45" t="n">
        <v>0.936590505037203</v>
      </c>
      <c r="G13" s="45" t="n">
        <v>0.946669895858561</v>
      </c>
      <c r="H13" s="45" t="n"/>
      <c r="I13" s="45" t="n"/>
      <c r="J13" s="45" t="n"/>
      <c r="K13" s="45" t="n">
        <v>0.980042815413549</v>
      </c>
      <c r="L13" s="45" t="n"/>
      <c r="M13" s="45" t="n"/>
      <c r="N13" s="45" t="n"/>
      <c r="O13" s="45" t="n"/>
      <c r="P13" s="45" t="n">
        <v>0.960605105578317</v>
      </c>
      <c r="Q13" s="45" t="n">
        <v>0.988018805924878</v>
      </c>
      <c r="R13" s="45" t="n"/>
      <c r="S13" s="45" t="n"/>
      <c r="T13" s="45" t="n"/>
      <c r="U13" s="45" t="n">
        <v>0.989880823073542</v>
      </c>
      <c r="V13" s="45" t="n"/>
      <c r="W13" s="45" t="n"/>
      <c r="X13" s="45" t="n"/>
      <c r="Y13" s="45" t="n"/>
      <c r="Z13" s="45" t="n">
        <v>0.974001962977334</v>
      </c>
      <c r="AA13" s="45" t="n">
        <v>0.957663661309291</v>
      </c>
      <c r="AB13" s="45" t="n"/>
      <c r="AC13" s="45" t="n"/>
      <c r="AD13" s="45" t="n"/>
      <c r="AE13" s="45" t="n">
        <v>0.989960843753947</v>
      </c>
      <c r="AF13" s="75">
        <f>IFERROR(AVERAGE(L13:U13),"")</f>
        <v/>
      </c>
      <c r="AG13" s="75">
        <f>IFERROR(AVERAGE(V13:AE13),"")</f>
        <v/>
      </c>
      <c r="AH13" s="75">
        <f>IFERROR(AVERAGE(B13:K13),"")</f>
        <v/>
      </c>
      <c r="AI13" s="45" t="n">
        <v>0.984779357910156</v>
      </c>
      <c r="AJ13" s="47" t="n">
        <v>0</v>
      </c>
    </row>
    <row r="14" ht="15" customHeight="1" s="30">
      <c r="A14" s="73" t="inlineStr">
        <is>
          <t>6394.jpg</t>
        </is>
      </c>
      <c r="B14" s="45" t="n"/>
      <c r="C14" s="45" t="n"/>
      <c r="D14" s="45" t="n"/>
      <c r="E14" s="45" t="n"/>
      <c r="F14" s="45" t="n">
        <v>0.786903812410273</v>
      </c>
      <c r="G14" s="45" t="n">
        <v>0.95507382972039</v>
      </c>
      <c r="H14" s="45" t="n"/>
      <c r="I14" s="45" t="n">
        <v>0</v>
      </c>
      <c r="J14" s="45" t="n"/>
      <c r="K14" s="45" t="n">
        <v>0.9323968695071539</v>
      </c>
      <c r="L14" s="45" t="n"/>
      <c r="M14" s="45" t="n"/>
      <c r="N14" s="45" t="n"/>
      <c r="O14" s="45" t="n"/>
      <c r="P14" s="45" t="n">
        <v>0.971943650871835</v>
      </c>
      <c r="Q14" s="45" t="n">
        <v>0.984137261249595</v>
      </c>
      <c r="R14" s="45" t="n"/>
      <c r="S14" s="45" t="n">
        <v>0</v>
      </c>
      <c r="T14" s="45" t="n"/>
      <c r="U14" s="45" t="n">
        <v>0.939644636645671</v>
      </c>
      <c r="V14" s="45" t="n"/>
      <c r="W14" s="45" t="n"/>
      <c r="X14" s="45" t="n"/>
      <c r="Y14" s="45" t="n"/>
      <c r="Z14" s="45" t="n">
        <v>0.805193745307348</v>
      </c>
      <c r="AA14" s="45" t="n">
        <v>0.970006381620932</v>
      </c>
      <c r="AB14" s="45" t="n"/>
      <c r="AC14" s="45" t="n"/>
      <c r="AD14" s="45" t="n"/>
      <c r="AE14" s="45" t="n">
        <v>0.991795316384299</v>
      </c>
      <c r="AF14" s="75">
        <f>IFERROR(AVERAGE(L14:U14),"")</f>
        <v/>
      </c>
      <c r="AG14" s="75">
        <f>IFERROR(AVERAGE(V14:AE14),"")</f>
        <v/>
      </c>
      <c r="AH14" s="75">
        <f>IFERROR(AVERAGE(B14:K14),"")</f>
        <v/>
      </c>
      <c r="AI14" s="45" t="n">
        <v>0.9474029541015631</v>
      </c>
      <c r="AJ14" s="47" t="n">
        <v>0</v>
      </c>
    </row>
    <row r="15" ht="15" customHeight="1" s="30">
      <c r="A15" s="73" t="inlineStr">
        <is>
          <t>6405.jpg</t>
        </is>
      </c>
      <c r="B15" s="45" t="n"/>
      <c r="C15" s="45" t="n"/>
      <c r="D15" s="45" t="n"/>
      <c r="E15" s="45" t="n"/>
      <c r="F15" s="45" t="n">
        <v>0.923210197388775</v>
      </c>
      <c r="G15" s="45" t="n">
        <v>0.93094944512947</v>
      </c>
      <c r="H15" s="45" t="n"/>
      <c r="I15" s="45" t="n"/>
      <c r="J15" s="45" t="n"/>
      <c r="K15" s="45" t="n">
        <v>0.987285258444319</v>
      </c>
      <c r="L15" s="45" t="n"/>
      <c r="M15" s="45" t="n"/>
      <c r="N15" s="45" t="n"/>
      <c r="O15" s="45" t="n"/>
      <c r="P15" s="45" t="n">
        <v>0.923896216483993</v>
      </c>
      <c r="Q15" s="45" t="n">
        <v>0.9510881369184661</v>
      </c>
      <c r="R15" s="45" t="n"/>
      <c r="S15" s="45" t="n"/>
      <c r="T15" s="45" t="n"/>
      <c r="U15" s="45" t="n">
        <v>0.997712737807996</v>
      </c>
      <c r="V15" s="45" t="n"/>
      <c r="W15" s="45" t="n"/>
      <c r="X15" s="45" t="n"/>
      <c r="Y15" s="45" t="n"/>
      <c r="Z15" s="45" t="n">
        <v>0.999196356817573</v>
      </c>
      <c r="AA15" s="45" t="n">
        <v>0.977760907426428</v>
      </c>
      <c r="AB15" s="45" t="n"/>
      <c r="AC15" s="45" t="n"/>
      <c r="AD15" s="45" t="n"/>
      <c r="AE15" s="45" t="n">
        <v>0.989524906702725</v>
      </c>
      <c r="AF15" s="75">
        <f>IFERROR(AVERAGE(L15:U15),"")</f>
        <v/>
      </c>
      <c r="AG15" s="75">
        <f>IFERROR(AVERAGE(V15:AE15),"")</f>
        <v/>
      </c>
      <c r="AH15" s="75">
        <f>IFERROR(AVERAGE(B15:K15),"")</f>
        <v/>
      </c>
      <c r="AI15" s="45" t="n">
        <v>0.989070892333984</v>
      </c>
      <c r="AJ15" s="47" t="n">
        <v>0</v>
      </c>
    </row>
    <row r="16" ht="15" customHeight="1" s="30">
      <c r="A16" s="73" t="inlineStr">
        <is>
          <t>6412.jpg</t>
        </is>
      </c>
      <c r="B16" s="45" t="n"/>
      <c r="C16" s="45" t="n">
        <v>0</v>
      </c>
      <c r="D16" s="45" t="n">
        <v>0</v>
      </c>
      <c r="E16" s="45" t="n"/>
      <c r="F16" s="45" t="n">
        <v>0.889906634601782</v>
      </c>
      <c r="G16" s="45" t="n">
        <v>0</v>
      </c>
      <c r="H16" s="45" t="n">
        <v>0.76455651352309</v>
      </c>
      <c r="I16" s="45" t="n">
        <v>0.7350901525658809</v>
      </c>
      <c r="J16" s="45" t="n">
        <v>0.864146485528647</v>
      </c>
      <c r="K16" s="45" t="n">
        <v>0.9022903608802501</v>
      </c>
      <c r="L16" s="45" t="n"/>
      <c r="M16" s="45" t="n"/>
      <c r="N16" s="45" t="n">
        <v>0</v>
      </c>
      <c r="O16" s="45" t="n"/>
      <c r="P16" s="45" t="n">
        <v>0.898710668238151</v>
      </c>
      <c r="Q16" s="45" t="n">
        <v>0</v>
      </c>
      <c r="R16" s="45" t="n">
        <v>0.864689774928204</v>
      </c>
      <c r="S16" s="45" t="n">
        <v>0.87171052631579</v>
      </c>
      <c r="T16" s="45" t="n">
        <v>0.905321782178218</v>
      </c>
      <c r="U16" s="45" t="n">
        <v>0.954374205984142</v>
      </c>
      <c r="V16" s="45" t="n"/>
      <c r="W16" s="45" t="n">
        <v>0</v>
      </c>
      <c r="X16" s="45" t="n"/>
      <c r="Y16" s="45" t="n"/>
      <c r="Z16" s="45" t="n">
        <v>0.989111635220126</v>
      </c>
      <c r="AA16" s="45" t="n"/>
      <c r="AB16" s="45" t="n">
        <v>0.8684598873088279</v>
      </c>
      <c r="AC16" s="45" t="n">
        <v>0.824261275272162</v>
      </c>
      <c r="AD16" s="45" t="n">
        <v>0.95</v>
      </c>
      <c r="AE16" s="45" t="n">
        <v>0.942965971475772</v>
      </c>
      <c r="AF16" s="75">
        <f>IFERROR(AVERAGE(L16:U16),"")</f>
        <v/>
      </c>
      <c r="AG16" s="75">
        <f>IFERROR(AVERAGE(V16:AE16),"")</f>
        <v/>
      </c>
      <c r="AH16" s="75">
        <f>IFERROR(AVERAGE(B16:K16),"")</f>
        <v/>
      </c>
      <c r="AI16" s="45" t="n">
        <v>0.701000213623047</v>
      </c>
      <c r="AJ16" s="47" t="n">
        <v>0</v>
      </c>
    </row>
    <row r="17" ht="15" customHeight="1" s="30">
      <c r="A17" s="73" t="inlineStr">
        <is>
          <t>6417.jpg</t>
        </is>
      </c>
      <c r="B17" s="45" t="n"/>
      <c r="C17" s="45" t="n"/>
      <c r="D17" s="45" t="n">
        <v>0.875278293135436</v>
      </c>
      <c r="E17" s="45" t="n"/>
      <c r="F17" s="45" t="n">
        <v>0.891282200553049</v>
      </c>
      <c r="G17" s="45" t="n">
        <v>0.8960396039603959</v>
      </c>
      <c r="H17" s="45" t="n">
        <v>0.920816856154226</v>
      </c>
      <c r="I17" s="45" t="n">
        <v>0.7824361200694619</v>
      </c>
      <c r="J17" s="45" t="n">
        <v>0.888586956521739</v>
      </c>
      <c r="K17" s="45" t="n">
        <v>0.903081129747574</v>
      </c>
      <c r="L17" s="45" t="n"/>
      <c r="M17" s="45" t="n"/>
      <c r="N17" s="45" t="n">
        <v>0.892034979910187</v>
      </c>
      <c r="O17" s="45" t="n"/>
      <c r="P17" s="45" t="n">
        <v>0.920037558685446</v>
      </c>
      <c r="Q17" s="45" t="n">
        <v>0.95117144733961</v>
      </c>
      <c r="R17" s="45" t="n">
        <v>0.964282247888964</v>
      </c>
      <c r="S17" s="45" t="n">
        <v>0.8001014713343479</v>
      </c>
      <c r="T17" s="45" t="n">
        <v>0.961764705882353</v>
      </c>
      <c r="U17" s="45" t="n">
        <v>0.960474518565805</v>
      </c>
      <c r="V17" s="45" t="n"/>
      <c r="W17" s="45" t="n"/>
      <c r="X17" s="45" t="n">
        <v>0.978989416891471</v>
      </c>
      <c r="Y17" s="45" t="n"/>
      <c r="Z17" s="45" t="n">
        <v>0.966121080654703</v>
      </c>
      <c r="AA17" s="45" t="n">
        <v>0.939243243243243</v>
      </c>
      <c r="AB17" s="45" t="n">
        <v>0.953332906857728</v>
      </c>
      <c r="AC17" s="45" t="n">
        <v>0.972556275053962</v>
      </c>
      <c r="AD17" s="45" t="n">
        <v>0.9211267605633801</v>
      </c>
      <c r="AE17" s="45" t="n">
        <v>0.937938319278256</v>
      </c>
      <c r="AF17" s="75">
        <f>IFERROR(AVERAGE(L17:U17),"")</f>
        <v/>
      </c>
      <c r="AG17" s="75">
        <f>IFERROR(AVERAGE(V17:AE17),"")</f>
        <v/>
      </c>
      <c r="AH17" s="75">
        <f>IFERROR(AVERAGE(B17:K17),"")</f>
        <v/>
      </c>
      <c r="AI17" s="45" t="n">
        <v>0.949619293212891</v>
      </c>
      <c r="AJ17" s="47" t="n">
        <v>0</v>
      </c>
    </row>
    <row r="18" ht="15" customHeight="1" s="30">
      <c r="A18" s="73" t="inlineStr">
        <is>
          <t>6419.jpg</t>
        </is>
      </c>
      <c r="B18" s="45" t="n"/>
      <c r="C18" s="45" t="n"/>
      <c r="D18" s="45" t="n">
        <v>0.885510089686099</v>
      </c>
      <c r="E18" s="45" t="n"/>
      <c r="F18" s="45" t="n">
        <v>0.875576036866359</v>
      </c>
      <c r="G18" s="45" t="n">
        <v>0.53276740237691</v>
      </c>
      <c r="H18" s="45" t="n">
        <v>0.878148679090723</v>
      </c>
      <c r="I18" s="45" t="n">
        <v>0.828730822873082</v>
      </c>
      <c r="J18" s="45" t="n"/>
      <c r="K18" s="45" t="n">
        <v>0.918670470159508</v>
      </c>
      <c r="L18" s="45" t="n"/>
      <c r="M18" s="45" t="n"/>
      <c r="N18" s="45" t="n">
        <v>0.945080912925129</v>
      </c>
      <c r="O18" s="45" t="n"/>
      <c r="P18" s="45" t="n">
        <v>0.899177908423389</v>
      </c>
      <c r="Q18" s="45" t="n">
        <v>1</v>
      </c>
      <c r="R18" s="45" t="n">
        <v>0.9410904036432139</v>
      </c>
      <c r="S18" s="45" t="n">
        <v>0.8624092888243829</v>
      </c>
      <c r="T18" s="45" t="n"/>
      <c r="U18" s="45" t="n">
        <v>0.960883862249959</v>
      </c>
      <c r="V18" s="45" t="n"/>
      <c r="W18" s="45" t="n"/>
      <c r="X18" s="45" t="n">
        <v>0.933548043966434</v>
      </c>
      <c r="Y18" s="45" t="n"/>
      <c r="Z18" s="45" t="n">
        <v>0.970894244699065</v>
      </c>
      <c r="AA18" s="45" t="n">
        <v>0.53276740237691</v>
      </c>
      <c r="AB18" s="45" t="n">
        <v>0.929227990970655</v>
      </c>
      <c r="AC18" s="45" t="n">
        <v>0.954998392799743</v>
      </c>
      <c r="AD18" s="45" t="n"/>
      <c r="AE18" s="45" t="n">
        <v>0.9543613852169061</v>
      </c>
      <c r="AF18" s="75">
        <f>IFERROR(AVERAGE(L18:U18),"")</f>
        <v/>
      </c>
      <c r="AG18" s="75">
        <f>IFERROR(AVERAGE(V18:AE18),"")</f>
        <v/>
      </c>
      <c r="AH18" s="75">
        <f>IFERROR(AVERAGE(B18:K18),"")</f>
        <v/>
      </c>
      <c r="AI18" s="45" t="n">
        <v>0.94403076171875</v>
      </c>
      <c r="AJ18" s="47" t="n">
        <v>0</v>
      </c>
    </row>
    <row r="19" ht="15" customHeight="1" s="30">
      <c r="A19" s="73" t="inlineStr">
        <is>
          <t>6420.jpg</t>
        </is>
      </c>
      <c r="B19" s="45" t="n"/>
      <c r="C19" s="45" t="n"/>
      <c r="D19" s="45" t="n">
        <v>0.842059860475583</v>
      </c>
      <c r="E19" s="45" t="n"/>
      <c r="F19" s="45" t="n">
        <v>0.919409272601068</v>
      </c>
      <c r="G19" s="45" t="n">
        <v>0.337267362687245</v>
      </c>
      <c r="H19" s="45" t="n">
        <v>0.871514799307913</v>
      </c>
      <c r="I19" s="45" t="n">
        <v>0.851756640959726</v>
      </c>
      <c r="J19" s="45" t="n"/>
      <c r="K19" s="45" t="n">
        <v>0.921901620047703</v>
      </c>
      <c r="L19" s="45" t="n"/>
      <c r="M19" s="45" t="n"/>
      <c r="N19" s="45" t="n">
        <v>0.901501766784452</v>
      </c>
      <c r="O19" s="45" t="n"/>
      <c r="P19" s="45" t="n">
        <v>0.936878048780488</v>
      </c>
      <c r="Q19" s="45" t="n">
        <v>1</v>
      </c>
      <c r="R19" s="45" t="n">
        <v>0.950710313229404</v>
      </c>
      <c r="S19" s="45" t="n">
        <v>0.866608544027899</v>
      </c>
      <c r="T19" s="45" t="n"/>
      <c r="U19" s="45" t="n">
        <v>0.952802855679344</v>
      </c>
      <c r="V19" s="45" t="n"/>
      <c r="W19" s="45" t="n"/>
      <c r="X19" s="45" t="n">
        <v>0.9273823784542941</v>
      </c>
      <c r="Y19" s="45" t="n"/>
      <c r="Z19" s="45" t="n">
        <v>0.980122987420581</v>
      </c>
      <c r="AA19" s="45" t="n">
        <v>0.337267362687245</v>
      </c>
      <c r="AB19" s="45" t="n">
        <v>0.912756598240469</v>
      </c>
      <c r="AC19" s="45" t="n">
        <v>0.980276134122288</v>
      </c>
      <c r="AD19" s="45" t="n"/>
      <c r="AE19" s="45" t="n">
        <v>0.9660161480099</v>
      </c>
      <c r="AF19" s="75">
        <f>IFERROR(AVERAGE(L19:U19),"")</f>
        <v/>
      </c>
      <c r="AG19" s="75">
        <f>IFERROR(AVERAGE(V19:AE19),"")</f>
        <v/>
      </c>
      <c r="AH19" s="75">
        <f>IFERROR(AVERAGE(B19:K19),"")</f>
        <v/>
      </c>
      <c r="AI19" s="45" t="n">
        <v>0.94464111328125</v>
      </c>
      <c r="AJ19" s="47" t="n">
        <v>0</v>
      </c>
    </row>
    <row r="20" ht="15" customHeight="1" s="30">
      <c r="A20" s="73" t="inlineStr">
        <is>
          <t>6445.jpg</t>
        </is>
      </c>
      <c r="B20" s="45" t="n"/>
      <c r="C20" s="45" t="n"/>
      <c r="D20" s="45" t="n">
        <v>0.853265366919334</v>
      </c>
      <c r="E20" s="45" t="n"/>
      <c r="F20" s="45" t="n">
        <v>0.220915366913833</v>
      </c>
      <c r="G20" s="45" t="n">
        <v>0.9915357777134</v>
      </c>
      <c r="H20" s="45" t="n">
        <v>0.658475324146358</v>
      </c>
      <c r="I20" s="45" t="n">
        <v>0.703497615262321</v>
      </c>
      <c r="J20" s="45" t="n">
        <v>0.862053959965187</v>
      </c>
      <c r="K20" s="45" t="n">
        <v>0.919232909912005</v>
      </c>
      <c r="L20" s="45" t="n"/>
      <c r="M20" s="45" t="n"/>
      <c r="N20" s="45" t="n">
        <v>0.878505946903861</v>
      </c>
      <c r="O20" s="45" t="n"/>
      <c r="P20" s="45" t="n">
        <v>0.669767441860465</v>
      </c>
      <c r="Q20" s="45" t="n">
        <v>0.9928488548077889</v>
      </c>
      <c r="R20" s="45" t="n">
        <v>0.802315963606286</v>
      </c>
      <c r="S20" s="45" t="n">
        <v>0.738115095913261</v>
      </c>
      <c r="T20" s="45" t="n">
        <v>0.920111472364143</v>
      </c>
      <c r="U20" s="45" t="n">
        <v>0.962332758035728</v>
      </c>
      <c r="V20" s="45" t="n"/>
      <c r="W20" s="45" t="n"/>
      <c r="X20" s="45" t="n">
        <v>0.967424754184493</v>
      </c>
      <c r="Y20" s="45" t="n"/>
      <c r="Z20" s="45" t="n">
        <v>0.247919655667145</v>
      </c>
      <c r="AA20" s="45" t="n">
        <v>0.998667952198513</v>
      </c>
      <c r="AB20" s="45" t="n">
        <v>0.785997893201523</v>
      </c>
      <c r="AC20" s="45" t="n">
        <v>0.9375</v>
      </c>
      <c r="AD20" s="45" t="n">
        <v>0.931796801505174</v>
      </c>
      <c r="AE20" s="45" t="n">
        <v>0.953541569223574</v>
      </c>
      <c r="AF20" s="75">
        <f>IFERROR(AVERAGE(L20:U20),"")</f>
        <v/>
      </c>
      <c r="AG20" s="75">
        <f>IFERROR(AVERAGE(V20:AE20),"")</f>
        <v/>
      </c>
      <c r="AH20" s="75">
        <f>IFERROR(AVERAGE(B20:K20),"")</f>
        <v/>
      </c>
      <c r="AI20" s="45" t="n">
        <v>0.950962066650391</v>
      </c>
      <c r="AJ20" s="47" t="n">
        <v>0</v>
      </c>
    </row>
    <row r="21" ht="15" customHeight="1" s="30">
      <c r="A21" s="73" t="inlineStr">
        <is>
          <t>6449.jpg</t>
        </is>
      </c>
      <c r="B21" s="45" t="n"/>
      <c r="C21" s="45" t="n"/>
      <c r="D21" s="45" t="n">
        <v>0.842422980849292</v>
      </c>
      <c r="E21" s="45" t="n"/>
      <c r="F21" s="45" t="n"/>
      <c r="G21" s="45" t="n">
        <v>0.996555696088174</v>
      </c>
      <c r="H21" s="45" t="n">
        <v>0.878085625021458</v>
      </c>
      <c r="I21" s="45" t="n"/>
      <c r="J21" s="45" t="n">
        <v>0.661312371838688</v>
      </c>
      <c r="K21" s="45" t="n">
        <v>0.959387145426069</v>
      </c>
      <c r="L21" s="45" t="n"/>
      <c r="M21" s="45" t="n"/>
      <c r="N21" s="45" t="n">
        <v>0.985630784218217</v>
      </c>
      <c r="O21" s="45" t="n"/>
      <c r="P21" s="45" t="n"/>
      <c r="Q21" s="45" t="n">
        <v>0.99776132059472</v>
      </c>
      <c r="R21" s="45" t="n">
        <v>0.926431702104539</v>
      </c>
      <c r="S21" s="45" t="n"/>
      <c r="T21" s="45" t="n">
        <v>0.829048843187661</v>
      </c>
      <c r="U21" s="45" t="n">
        <v>0.976133563513494</v>
      </c>
      <c r="V21" s="45" t="n"/>
      <c r="W21" s="45" t="n"/>
      <c r="X21" s="45" t="n">
        <v>0.852897787144363</v>
      </c>
      <c r="Y21" s="45" t="n"/>
      <c r="Z21" s="45" t="n"/>
      <c r="AA21" s="45" t="n">
        <v>0.998788962582339</v>
      </c>
      <c r="AB21" s="45" t="n">
        <v>0.94390315913788</v>
      </c>
      <c r="AC21" s="45" t="n"/>
      <c r="AD21" s="45" t="n">
        <v>0.7657301147605859</v>
      </c>
      <c r="AE21" s="45" t="n">
        <v>0.982432041105757</v>
      </c>
      <c r="AF21" s="75">
        <f>IFERROR(AVERAGE(L21:U21),"")</f>
        <v/>
      </c>
      <c r="AG21" s="75">
        <f>IFERROR(AVERAGE(V21:AE21),"")</f>
        <v/>
      </c>
      <c r="AH21" s="75">
        <f>IFERROR(AVERAGE(B21:K21),"")</f>
        <v/>
      </c>
      <c r="AI21" s="45" t="n">
        <v>0.977184295654297</v>
      </c>
      <c r="AJ21" s="47" t="n">
        <v>0</v>
      </c>
    </row>
    <row r="22" ht="15" customHeight="1" s="30">
      <c r="A22" s="73" t="inlineStr">
        <is>
          <t>6452.jpg</t>
        </is>
      </c>
      <c r="B22" s="45" t="n"/>
      <c r="C22" s="45" t="n"/>
      <c r="D22" s="45" t="n">
        <v>0.783711062816931</v>
      </c>
      <c r="E22" s="45" t="n"/>
      <c r="F22" s="45" t="n"/>
      <c r="G22" s="45" t="n">
        <v>0.995711343708202</v>
      </c>
      <c r="H22" s="45" t="n">
        <v>0.855813953488372</v>
      </c>
      <c r="I22" s="45" t="n">
        <v>0</v>
      </c>
      <c r="J22" s="45" t="n">
        <v>0.835796387520525</v>
      </c>
      <c r="K22" s="45" t="n">
        <v>0.937712412858689</v>
      </c>
      <c r="L22" s="45" t="n"/>
      <c r="M22" s="45" t="n"/>
      <c r="N22" s="45" t="n">
        <v>0.991360125670899</v>
      </c>
      <c r="O22" s="45" t="n"/>
      <c r="P22" s="45" t="n"/>
      <c r="Q22" s="45" t="n">
        <v>0.999850765360508</v>
      </c>
      <c r="R22" s="45" t="n">
        <v>0.908193484698914</v>
      </c>
      <c r="S22" s="45" t="n"/>
      <c r="T22" s="45" t="n">
        <v>0.852239430724152</v>
      </c>
      <c r="U22" s="45" t="n">
        <v>0.946618781997402</v>
      </c>
      <c r="V22" s="45" t="n"/>
      <c r="W22" s="45" t="n"/>
      <c r="X22" s="45" t="n">
        <v>0.789100760654371</v>
      </c>
      <c r="Y22" s="45" t="n"/>
      <c r="Z22" s="45" t="n"/>
      <c r="AA22" s="45" t="n">
        <v>0.995859345139508</v>
      </c>
      <c r="AB22" s="45" t="n">
        <v>0.936863543788187</v>
      </c>
      <c r="AC22" s="45" t="n">
        <v>0</v>
      </c>
      <c r="AD22" s="45" t="n">
        <v>0.977436389822372</v>
      </c>
      <c r="AE22" s="45" t="n">
        <v>0.990066092849665</v>
      </c>
      <c r="AF22" s="75">
        <f>IFERROR(AVERAGE(L22:U22),"")</f>
        <v/>
      </c>
      <c r="AG22" s="75">
        <f>IFERROR(AVERAGE(V22:AE22),"")</f>
        <v/>
      </c>
      <c r="AH22" s="75">
        <f>IFERROR(AVERAGE(B22:K22),"")</f>
        <v/>
      </c>
      <c r="AI22" s="45" t="n">
        <v>0.966938018798828</v>
      </c>
      <c r="AJ22" s="47" t="n">
        <v>0</v>
      </c>
    </row>
    <row r="23" ht="15" customHeight="1" s="30">
      <c r="A23" s="73" t="inlineStr">
        <is>
          <t>6467.jpg</t>
        </is>
      </c>
      <c r="B23" s="45" t="n"/>
      <c r="C23" s="45" t="n"/>
      <c r="D23" s="45" t="n">
        <v>0.873357752618514</v>
      </c>
      <c r="E23" s="45" t="n"/>
      <c r="F23" s="45" t="n">
        <v>0.803682420546499</v>
      </c>
      <c r="G23" s="45" t="n">
        <v>0.915807953591329</v>
      </c>
      <c r="H23" s="45" t="n">
        <v>0.817235303539965</v>
      </c>
      <c r="I23" s="45" t="n">
        <v>0.787014563106796</v>
      </c>
      <c r="J23" s="45" t="n">
        <v>0.683327507864383</v>
      </c>
      <c r="K23" s="45" t="n">
        <v>0.845447380946807</v>
      </c>
      <c r="L23" s="45" t="n"/>
      <c r="M23" s="45" t="n"/>
      <c r="N23" s="45" t="n">
        <v>0.931217016606685</v>
      </c>
      <c r="O23" s="45" t="n"/>
      <c r="P23" s="45" t="n">
        <v>0.846938144966941</v>
      </c>
      <c r="Q23" s="45" t="n">
        <v>0.984007217255803</v>
      </c>
      <c r="R23" s="45" t="n">
        <v>0.908394907860767</v>
      </c>
      <c r="S23" s="45" t="n">
        <v>0.817265280403277</v>
      </c>
      <c r="T23" s="45" t="n">
        <v>0.743251805854771</v>
      </c>
      <c r="U23" s="45" t="n">
        <v>0.922952425571788</v>
      </c>
      <c r="V23" s="45" t="n"/>
      <c r="W23" s="45" t="n"/>
      <c r="X23" s="45" t="n">
        <v>0.933582500080898</v>
      </c>
      <c r="Y23" s="45" t="n"/>
      <c r="Z23" s="45" t="n">
        <v>0.940248336420388</v>
      </c>
      <c r="AA23" s="45" t="n">
        <v>0.929645126297846</v>
      </c>
      <c r="AB23" s="45" t="n">
        <v>0.890634546565419</v>
      </c>
      <c r="AC23" s="45" t="n">
        <v>0.955081001472754</v>
      </c>
      <c r="AD23" s="45" t="n">
        <v>0.894463931676071</v>
      </c>
      <c r="AE23" s="45" t="n">
        <v>0.909648062327893</v>
      </c>
      <c r="AF23" s="75">
        <f>IFERROR(AVERAGE(L23:U23),"")</f>
        <v/>
      </c>
      <c r="AG23" s="75">
        <f>IFERROR(AVERAGE(V23:AE23),"")</f>
        <v/>
      </c>
      <c r="AH23" s="75">
        <f>IFERROR(AVERAGE(B23:K23),"")</f>
        <v/>
      </c>
      <c r="AI23" s="45" t="n">
        <v>0.914508819580078</v>
      </c>
      <c r="AJ23" s="47" t="n">
        <v>0</v>
      </c>
    </row>
    <row r="24" ht="15" customHeight="1" s="30">
      <c r="A24" s="73" t="inlineStr">
        <is>
          <t>6468.jpg</t>
        </is>
      </c>
      <c r="B24" s="45" t="n"/>
      <c r="C24" s="45" t="n"/>
      <c r="D24" s="45" t="n">
        <v>0.849958668623581</v>
      </c>
      <c r="E24" s="45" t="n"/>
      <c r="F24" s="45" t="n">
        <v>0.7457376829104581</v>
      </c>
      <c r="G24" s="45" t="n">
        <v>0.9737058581585289</v>
      </c>
      <c r="H24" s="45" t="n">
        <v>0.7568516421291051</v>
      </c>
      <c r="I24" s="45" t="n">
        <v>0.7624066754501539</v>
      </c>
      <c r="J24" s="45" t="n">
        <v>0.673731308136112</v>
      </c>
      <c r="K24" s="45" t="n">
        <v>0.8715153197543291</v>
      </c>
      <c r="L24" s="45" t="n"/>
      <c r="M24" s="45" t="n"/>
      <c r="N24" s="45" t="n">
        <v>0.890048933877436</v>
      </c>
      <c r="O24" s="45" t="n"/>
      <c r="P24" s="45" t="n">
        <v>0.790859908883827</v>
      </c>
      <c r="Q24" s="45" t="n">
        <v>0.98178209609574</v>
      </c>
      <c r="R24" s="45" t="n">
        <v>0.856099748067808</v>
      </c>
      <c r="S24" s="45" t="n">
        <v>0.786231884057971</v>
      </c>
      <c r="T24" s="45" t="n">
        <v>0.70641975308642</v>
      </c>
      <c r="U24" s="45" t="n">
        <v>0.958428732789938</v>
      </c>
      <c r="V24" s="45" t="n"/>
      <c r="W24" s="45" t="n"/>
      <c r="X24" s="45" t="n">
        <v>0.949672968540893</v>
      </c>
      <c r="Y24" s="45" t="n"/>
      <c r="Z24" s="45" t="n">
        <v>0.928929765886288</v>
      </c>
      <c r="AA24" s="45" t="n">
        <v>0.991622535379828</v>
      </c>
      <c r="AB24" s="45" t="n">
        <v>0.867171280276817</v>
      </c>
      <c r="AC24" s="45" t="n">
        <v>0.961772853185596</v>
      </c>
      <c r="AD24" s="45" t="n">
        <v>0.935731807031889</v>
      </c>
      <c r="AE24" s="45" t="n">
        <v>0.905754139980382</v>
      </c>
      <c r="AF24" s="75">
        <f>IFERROR(AVERAGE(L24:U24),"")</f>
        <v/>
      </c>
      <c r="AG24" s="75">
        <f>IFERROR(AVERAGE(V24:AE24),"")</f>
        <v/>
      </c>
      <c r="AH24" s="75">
        <f>IFERROR(AVERAGE(B24:K24),"")</f>
        <v/>
      </c>
      <c r="AI24" s="45" t="n">
        <v>0.923801422119141</v>
      </c>
      <c r="AJ24" s="47" t="n">
        <v>0</v>
      </c>
    </row>
    <row r="25" ht="15" customHeight="1" s="30">
      <c r="A25" s="73" t="inlineStr">
        <is>
          <t>6476.jpg</t>
        </is>
      </c>
      <c r="B25" s="45" t="n"/>
      <c r="C25" s="45" t="n"/>
      <c r="D25" s="45" t="n">
        <v>0.7101590765520009</v>
      </c>
      <c r="E25" s="45" t="n"/>
      <c r="F25" s="45" t="n">
        <v>0</v>
      </c>
      <c r="G25" s="45" t="n">
        <v>0.948213268792711</v>
      </c>
      <c r="H25" s="45" t="n">
        <v>0.9047323313874051</v>
      </c>
      <c r="I25" s="45" t="n">
        <v>0</v>
      </c>
      <c r="J25" s="45" t="n">
        <v>0.428870292887029</v>
      </c>
      <c r="K25" s="45" t="n">
        <v>0.897179838847934</v>
      </c>
      <c r="L25" s="45" t="n"/>
      <c r="M25" s="45" t="n"/>
      <c r="N25" s="45" t="n">
        <v>0.793099025141098</v>
      </c>
      <c r="O25" s="45" t="n"/>
      <c r="P25" s="45" t="n">
        <v>0</v>
      </c>
      <c r="Q25" s="45" t="n">
        <v>0.97499176558135</v>
      </c>
      <c r="R25" s="45" t="n">
        <v>0.941450174486235</v>
      </c>
      <c r="S25" s="45" t="n">
        <v>0</v>
      </c>
      <c r="T25" s="45" t="n">
        <v>0.532467532467532</v>
      </c>
      <c r="U25" s="45" t="n">
        <v>0.9597964221031799</v>
      </c>
      <c r="V25" s="45" t="n"/>
      <c r="W25" s="45" t="n"/>
      <c r="X25" s="45" t="n">
        <v>0.871643053499683</v>
      </c>
      <c r="Y25" s="45" t="n"/>
      <c r="Z25" s="45" t="n"/>
      <c r="AA25" s="45" t="n">
        <v>0.971849996352051</v>
      </c>
      <c r="AB25" s="45" t="n">
        <v>0.958673335088181</v>
      </c>
      <c r="AC25" s="45" t="n"/>
      <c r="AD25" s="45" t="n">
        <v>0.6879194630872481</v>
      </c>
      <c r="AE25" s="45" t="n">
        <v>0.932213076426361</v>
      </c>
      <c r="AF25" s="75">
        <f>IFERROR(AVERAGE(L25:U25),"")</f>
        <v/>
      </c>
      <c r="AG25" s="75">
        <f>IFERROR(AVERAGE(V25:AE25),"")</f>
        <v/>
      </c>
      <c r="AH25" s="75">
        <f>IFERROR(AVERAGE(B25:K25),"")</f>
        <v/>
      </c>
      <c r="AI25" s="45" t="n">
        <v>0.943881988525391</v>
      </c>
      <c r="AJ25" s="47" t="n">
        <v>0</v>
      </c>
    </row>
    <row r="26" ht="15" customHeight="1" s="30">
      <c r="A26" s="73" t="inlineStr">
        <is>
          <t>6488.jpg</t>
        </is>
      </c>
      <c r="B26" s="45" t="n"/>
      <c r="C26" s="45" t="n"/>
      <c r="D26" s="45" t="n">
        <v>0.681302704274498</v>
      </c>
      <c r="E26" s="45" t="n"/>
      <c r="F26" s="45" t="n">
        <v>0</v>
      </c>
      <c r="G26" s="45" t="n">
        <v>0.984606984606985</v>
      </c>
      <c r="H26" s="45" t="n">
        <v>0.898226745477979</v>
      </c>
      <c r="I26" s="45" t="n"/>
      <c r="J26" s="45" t="n"/>
      <c r="K26" s="45" t="n">
        <v>0.967570795184692</v>
      </c>
      <c r="L26" s="45" t="n"/>
      <c r="M26" s="45" t="n"/>
      <c r="N26" s="45" t="n">
        <v>0.811288088642659</v>
      </c>
      <c r="O26" s="45" t="n"/>
      <c r="P26" s="45" t="n">
        <v>0</v>
      </c>
      <c r="Q26" s="45" t="n">
        <v>0.99078652635138</v>
      </c>
      <c r="R26" s="45" t="n">
        <v>0.9404839460214049</v>
      </c>
      <c r="S26" s="45" t="n"/>
      <c r="T26" s="45" t="n"/>
      <c r="U26" s="45" t="n">
        <v>0.985735961459127</v>
      </c>
      <c r="V26" s="45" t="n"/>
      <c r="W26" s="45" t="n"/>
      <c r="X26" s="45" t="n">
        <v>0.80960608154803</v>
      </c>
      <c r="Y26" s="45" t="n"/>
      <c r="Z26" s="45" t="n"/>
      <c r="AA26" s="45" t="n">
        <v>0.993705359981349</v>
      </c>
      <c r="AB26" s="45" t="n">
        <v>0.952360757704269</v>
      </c>
      <c r="AC26" s="45" t="n"/>
      <c r="AD26" s="45" t="n"/>
      <c r="AE26" s="45" t="n">
        <v>0.9813102977822949</v>
      </c>
      <c r="AF26" s="75">
        <f>IFERROR(AVERAGE(L26:U26),"")</f>
        <v/>
      </c>
      <c r="AG26" s="75">
        <f>IFERROR(AVERAGE(V26:AE26),"")</f>
        <v/>
      </c>
      <c r="AH26" s="75">
        <f>IFERROR(AVERAGE(B26:K26),"")</f>
        <v/>
      </c>
      <c r="AI26" s="45" t="n">
        <v>0.981533050537109</v>
      </c>
      <c r="AJ26" s="47" t="n">
        <v>0</v>
      </c>
    </row>
    <row r="27" ht="15" customHeight="1" s="30">
      <c r="A27" s="73" t="inlineStr">
        <is>
          <t>6514.jpg</t>
        </is>
      </c>
      <c r="B27" s="45" t="n"/>
      <c r="C27" s="45" t="n"/>
      <c r="D27" s="45" t="n">
        <v>0.773794496339308</v>
      </c>
      <c r="E27" s="45" t="n"/>
      <c r="F27" s="45" t="n"/>
      <c r="G27" s="45" t="n">
        <v>0</v>
      </c>
      <c r="H27" s="45" t="n">
        <v>0.976685352358765</v>
      </c>
      <c r="I27" s="45" t="n"/>
      <c r="J27" s="45" t="n"/>
      <c r="K27" s="45" t="n">
        <v>0.916429486670673</v>
      </c>
      <c r="L27" s="45" t="n"/>
      <c r="M27" s="45" t="n"/>
      <c r="N27" s="45" t="n">
        <v>0.828434353672546</v>
      </c>
      <c r="O27" s="45" t="n"/>
      <c r="P27" s="45" t="n"/>
      <c r="Q27" s="45" t="n">
        <v>0</v>
      </c>
      <c r="R27" s="45" t="n">
        <v>0.9890338751889119</v>
      </c>
      <c r="S27" s="45" t="n"/>
      <c r="T27" s="45" t="n"/>
      <c r="U27" s="45" t="n">
        <v>0.971195443184003</v>
      </c>
      <c r="V27" s="45" t="n"/>
      <c r="W27" s="45" t="n"/>
      <c r="X27" s="45" t="n">
        <v>0.921458098459226</v>
      </c>
      <c r="Y27" s="45" t="n"/>
      <c r="Z27" s="45" t="n"/>
      <c r="AA27" s="45" t="n"/>
      <c r="AB27" s="45" t="n">
        <v>0.987377872637951</v>
      </c>
      <c r="AC27" s="45" t="n"/>
      <c r="AD27" s="45" t="n"/>
      <c r="AE27" s="45" t="n">
        <v>0.94203422230511</v>
      </c>
      <c r="AF27" s="75">
        <f>IFERROR(AVERAGE(L27:U27),"")</f>
        <v/>
      </c>
      <c r="AG27" s="75">
        <f>IFERROR(AVERAGE(V27:AE27),"")</f>
        <v/>
      </c>
      <c r="AH27" s="75">
        <f>IFERROR(AVERAGE(B27:K27),"")</f>
        <v/>
      </c>
      <c r="AI27" s="45" t="n">
        <v>0.9691925048828131</v>
      </c>
      <c r="AJ27" s="47" t="n">
        <v>0</v>
      </c>
    </row>
    <row r="28" ht="15" customHeight="1" s="30">
      <c r="A28" s="73" t="inlineStr">
        <is>
          <t>6517.jpg</t>
        </is>
      </c>
      <c r="B28" s="45" t="n"/>
      <c r="C28" s="45" t="n"/>
      <c r="D28" s="45" t="n">
        <v>0.782154190778421</v>
      </c>
      <c r="E28" s="45" t="n"/>
      <c r="F28" s="45" t="n"/>
      <c r="G28" s="45" t="n">
        <v>0.552981764415969</v>
      </c>
      <c r="H28" s="45" t="n">
        <v>0.973942053564244</v>
      </c>
      <c r="I28" s="45" t="n"/>
      <c r="J28" s="45" t="n"/>
      <c r="K28" s="45" t="n">
        <v>0.894885118637701</v>
      </c>
      <c r="L28" s="45" t="n"/>
      <c r="M28" s="45" t="n"/>
      <c r="N28" s="45" t="n">
        <v>0.889974511469839</v>
      </c>
      <c r="O28" s="45" t="n"/>
      <c r="P28" s="45" t="n"/>
      <c r="Q28" s="45" t="n">
        <v>0.674278846153846</v>
      </c>
      <c r="R28" s="45" t="n">
        <v>0.984828855216959</v>
      </c>
      <c r="S28" s="45" t="n"/>
      <c r="T28" s="45" t="n"/>
      <c r="U28" s="45" t="n">
        <v>0.9466350547689369</v>
      </c>
      <c r="V28" s="45" t="n"/>
      <c r="W28" s="45" t="n"/>
      <c r="X28" s="45" t="n">
        <v>0.865881380450506</v>
      </c>
      <c r="Y28" s="45" t="n"/>
      <c r="Z28" s="45" t="n"/>
      <c r="AA28" s="45" t="n">
        <v>0.754539340954943</v>
      </c>
      <c r="AB28" s="45" t="n">
        <v>0.988777106806</v>
      </c>
      <c r="AC28" s="45" t="n"/>
      <c r="AD28" s="45" t="n"/>
      <c r="AE28" s="45" t="n">
        <v>0.942428398122264</v>
      </c>
      <c r="AF28" s="75">
        <f>IFERROR(AVERAGE(L28:U28),"")</f>
        <v/>
      </c>
      <c r="AG28" s="75">
        <f>IFERROR(AVERAGE(V28:AE28),"")</f>
        <v/>
      </c>
      <c r="AH28" s="75">
        <f>IFERROR(AVERAGE(B28:K28),"")</f>
        <v/>
      </c>
      <c r="AI28" s="45" t="n">
        <v>0.961368560791016</v>
      </c>
      <c r="AJ28" s="47" t="n">
        <v>0</v>
      </c>
    </row>
    <row r="29" ht="15" customHeight="1" s="30">
      <c r="A29" s="73" t="inlineStr">
        <is>
          <t>6536.jpg</t>
        </is>
      </c>
      <c r="B29" s="45" t="n"/>
      <c r="C29" s="45" t="n"/>
      <c r="D29" s="45" t="n">
        <v>0</v>
      </c>
      <c r="E29" s="45" t="n"/>
      <c r="F29" s="45" t="n">
        <v>0.891361652478285</v>
      </c>
      <c r="G29" s="45" t="n">
        <v>0.332708436112482</v>
      </c>
      <c r="H29" s="45" t="n">
        <v>0.87217568413628</v>
      </c>
      <c r="I29" s="45" t="n">
        <v>0.828025477707006</v>
      </c>
      <c r="J29" s="45" t="n"/>
      <c r="K29" s="45" t="n">
        <v>0.810449832120577</v>
      </c>
      <c r="L29" s="45" t="n"/>
      <c r="M29" s="45" t="n"/>
      <c r="N29" s="45" t="n">
        <v>0</v>
      </c>
      <c r="O29" s="45" t="n"/>
      <c r="P29" s="45" t="n">
        <v>0.9306743068558671</v>
      </c>
      <c r="Q29" s="45" t="n">
        <v>0.646224607129168</v>
      </c>
      <c r="R29" s="45" t="n">
        <v>0.901415372518184</v>
      </c>
      <c r="S29" s="45" t="n">
        <v>0.859977949283352</v>
      </c>
      <c r="T29" s="45" t="n"/>
      <c r="U29" s="45" t="n">
        <v>0.916009241856512</v>
      </c>
      <c r="V29" s="45" t="n"/>
      <c r="W29" s="45" t="n"/>
      <c r="X29" s="45" t="n"/>
      <c r="Y29" s="45" t="n"/>
      <c r="Z29" s="45" t="n">
        <v>0.9547547964544419</v>
      </c>
      <c r="AA29" s="45" t="n">
        <v>0.406804198335143</v>
      </c>
      <c r="AB29" s="45" t="n">
        <v>0.964142099960576</v>
      </c>
      <c r="AC29" s="45" t="n">
        <v>0.957055214723926</v>
      </c>
      <c r="AD29" s="45" t="n"/>
      <c r="AE29" s="45" t="n">
        <v>0.875510601050379</v>
      </c>
      <c r="AF29" s="75">
        <f>IFERROR(AVERAGE(L29:U29),"")</f>
        <v/>
      </c>
      <c r="AG29" s="75">
        <f>IFERROR(AVERAGE(V29:AE29),"")</f>
        <v/>
      </c>
      <c r="AH29" s="75">
        <f>IFERROR(AVERAGE(B29:K29),"")</f>
        <v/>
      </c>
      <c r="AI29" s="45" t="n">
        <v>0.897777557373047</v>
      </c>
      <c r="AJ29" s="47" t="n">
        <v>0</v>
      </c>
    </row>
    <row r="30" ht="15" customHeight="1" s="30">
      <c r="A30" s="73" t="inlineStr">
        <is>
          <t>6545.jpg</t>
        </is>
      </c>
      <c r="B30" s="45" t="n"/>
      <c r="C30" s="45" t="n"/>
      <c r="D30" s="45" t="n">
        <v>0.936763994192612</v>
      </c>
      <c r="E30" s="45" t="n"/>
      <c r="F30" s="45" t="n"/>
      <c r="G30" s="45" t="n">
        <v>0.771802869619464</v>
      </c>
      <c r="H30" s="45" t="n">
        <v>0.971787006190146</v>
      </c>
      <c r="I30" s="45" t="n"/>
      <c r="J30" s="45" t="n"/>
      <c r="K30" s="45" t="n">
        <v>0.951113350407972</v>
      </c>
      <c r="L30" s="45" t="n"/>
      <c r="M30" s="45" t="n"/>
      <c r="N30" s="45" t="n">
        <v>0.950098167539267</v>
      </c>
      <c r="O30" s="45" t="n"/>
      <c r="P30" s="45" t="n"/>
      <c r="Q30" s="45" t="n">
        <v>0.8000517330574241</v>
      </c>
      <c r="R30" s="45" t="n">
        <v>0.9961847762994021</v>
      </c>
      <c r="S30" s="45" t="n"/>
      <c r="T30" s="45" t="n"/>
      <c r="U30" s="45" t="n">
        <v>0.959140756213569</v>
      </c>
      <c r="V30" s="45" t="n"/>
      <c r="W30" s="45" t="n"/>
      <c r="X30" s="45" t="n">
        <v>0.985239226331863</v>
      </c>
      <c r="Y30" s="45" t="n"/>
      <c r="Z30" s="45" t="n"/>
      <c r="AA30" s="45" t="n">
        <v>0.956252898438708</v>
      </c>
      <c r="AB30" s="45" t="n">
        <v>0.9754172989377849</v>
      </c>
      <c r="AC30" s="45" t="n"/>
      <c r="AD30" s="45" t="n"/>
      <c r="AE30" s="45" t="n">
        <v>0.991277204037575</v>
      </c>
      <c r="AF30" s="75">
        <f>IFERROR(AVERAGE(L30:U30),"")</f>
        <v/>
      </c>
      <c r="AG30" s="75">
        <f>IFERROR(AVERAGE(V30:AE30),"")</f>
        <v/>
      </c>
      <c r="AH30" s="75">
        <f>IFERROR(AVERAGE(B30:K30),"")</f>
        <v/>
      </c>
      <c r="AI30" s="45" t="n">
        <v>0.979312896728516</v>
      </c>
      <c r="AJ30" s="47" t="n">
        <v>0</v>
      </c>
    </row>
    <row r="31" ht="15" customHeight="1" s="30">
      <c r="A31" s="73" t="inlineStr">
        <is>
          <t>6550.jpg</t>
        </is>
      </c>
      <c r="B31" s="45" t="n"/>
      <c r="C31" s="45" t="n"/>
      <c r="D31" s="45" t="n"/>
      <c r="E31" s="45" t="n"/>
      <c r="F31" s="45" t="n">
        <v>0.716269200608884</v>
      </c>
      <c r="G31" s="45" t="n">
        <v>0.78763146140415</v>
      </c>
      <c r="H31" s="45" t="n">
        <v>0.79159781683441</v>
      </c>
      <c r="I31" s="45" t="n"/>
      <c r="J31" s="45" t="n"/>
      <c r="K31" s="45" t="n">
        <v>0.799115960388487</v>
      </c>
      <c r="L31" s="45" t="n"/>
      <c r="M31" s="45" t="n"/>
      <c r="N31" s="45" t="n"/>
      <c r="O31" s="45" t="n"/>
      <c r="P31" s="45" t="n">
        <v>0.943721891333414</v>
      </c>
      <c r="Q31" s="45" t="n">
        <v>0.958870927875822</v>
      </c>
      <c r="R31" s="45" t="n">
        <v>0.8205647254230251</v>
      </c>
      <c r="S31" s="45" t="n"/>
      <c r="T31" s="45" t="n"/>
      <c r="U31" s="45" t="n">
        <v>0.908619928599639</v>
      </c>
      <c r="V31" s="45" t="n"/>
      <c r="W31" s="45" t="n"/>
      <c r="X31" s="45" t="n"/>
      <c r="Y31" s="45" t="n"/>
      <c r="Z31" s="45" t="n">
        <v>0.748229171686021</v>
      </c>
      <c r="AA31" s="45" t="n">
        <v>0.815171254465224</v>
      </c>
      <c r="AB31" s="45" t="n">
        <v>0.957308949981834</v>
      </c>
      <c r="AC31" s="45" t="n"/>
      <c r="AD31" s="45" t="n"/>
      <c r="AE31" s="45" t="n">
        <v>0.868951164960822</v>
      </c>
      <c r="AF31" s="75">
        <f>IFERROR(AVERAGE(L31:U31),"")</f>
        <v/>
      </c>
      <c r="AG31" s="75">
        <f>IFERROR(AVERAGE(V31:AE31),"")</f>
        <v/>
      </c>
      <c r="AH31" s="75">
        <f>IFERROR(AVERAGE(B31:K31),"")</f>
        <v/>
      </c>
      <c r="AI31" s="45" t="n">
        <v>0.882343292236328</v>
      </c>
      <c r="AJ31" s="47" t="n">
        <v>0</v>
      </c>
    </row>
    <row r="32" ht="15" customHeight="1" s="30">
      <c r="A32" s="73" t="inlineStr">
        <is>
          <t>6553.jpg</t>
        </is>
      </c>
      <c r="B32" s="45" t="n"/>
      <c r="C32" s="45" t="n"/>
      <c r="D32" s="45" t="n">
        <v>0.718777679362267</v>
      </c>
      <c r="E32" s="45" t="n"/>
      <c r="F32" s="45" t="n"/>
      <c r="G32" s="45" t="n">
        <v>0.845177911724674</v>
      </c>
      <c r="H32" s="45" t="n">
        <v>0.901004575510471</v>
      </c>
      <c r="I32" s="45" t="n"/>
      <c r="J32" s="45" t="n">
        <v>0.681206496519722</v>
      </c>
      <c r="K32" s="45" t="n">
        <v>0.863791433632025</v>
      </c>
      <c r="L32" s="45" t="n"/>
      <c r="M32" s="45" t="n"/>
      <c r="N32" s="45" t="n">
        <v>0.809072781655035</v>
      </c>
      <c r="O32" s="45" t="n"/>
      <c r="P32" s="45" t="n"/>
      <c r="Q32" s="45" t="n">
        <v>0.965837129207866</v>
      </c>
      <c r="R32" s="45" t="n">
        <v>0.960684397080609</v>
      </c>
      <c r="S32" s="45" t="n"/>
      <c r="T32" s="45" t="n">
        <v>0.687910028116214</v>
      </c>
      <c r="U32" s="45" t="n">
        <v>0.9077155824508319</v>
      </c>
      <c r="V32" s="45" t="n"/>
      <c r="W32" s="45" t="n"/>
      <c r="X32" s="45" t="n">
        <v>0.8656</v>
      </c>
      <c r="Y32" s="45" t="n"/>
      <c r="Z32" s="45" t="n"/>
      <c r="AA32" s="45" t="n">
        <v>0.871223129728917</v>
      </c>
      <c r="AB32" s="45" t="n">
        <v>0.935499463754324</v>
      </c>
      <c r="AC32" s="45" t="n"/>
      <c r="AD32" s="45" t="n">
        <v>0.985896574882472</v>
      </c>
      <c r="AE32" s="45" t="n">
        <v>0.946951581122186</v>
      </c>
      <c r="AF32" s="75">
        <f>IFERROR(AVERAGE(L32:U32),"")</f>
        <v/>
      </c>
      <c r="AG32" s="75">
        <f>IFERROR(AVERAGE(V32:AE32),"")</f>
        <v/>
      </c>
      <c r="AH32" s="75">
        <f>IFERROR(AVERAGE(B32:K32),"")</f>
        <v/>
      </c>
      <c r="AI32" s="45" t="n">
        <v>0.934459686279297</v>
      </c>
      <c r="AJ32" s="47" t="n">
        <v>0</v>
      </c>
    </row>
    <row r="33" ht="15" customHeight="1" s="30">
      <c r="A33" s="73" t="inlineStr">
        <is>
          <t>6557.jpg</t>
        </is>
      </c>
      <c r="B33" s="45" t="n"/>
      <c r="C33" s="45" t="n"/>
      <c r="D33" s="45" t="n">
        <v>0.874071453837991</v>
      </c>
      <c r="E33" s="45" t="n"/>
      <c r="F33" s="45" t="n">
        <v>0</v>
      </c>
      <c r="G33" s="45" t="n">
        <v>0.904089581304771</v>
      </c>
      <c r="H33" s="45" t="n">
        <v>0.910768632029578</v>
      </c>
      <c r="I33" s="45" t="n">
        <v>0.516962843295638</v>
      </c>
      <c r="J33" s="45" t="n">
        <v>0.855958549222798</v>
      </c>
      <c r="K33" s="45" t="n">
        <v>0.876706158317894</v>
      </c>
      <c r="L33" s="45" t="n"/>
      <c r="M33" s="45" t="n"/>
      <c r="N33" s="45" t="n">
        <v>0.9179049034175329</v>
      </c>
      <c r="O33" s="45" t="n"/>
      <c r="P33" s="45" t="n">
        <v>0</v>
      </c>
      <c r="Q33" s="45" t="n">
        <v>0.951722017220172</v>
      </c>
      <c r="R33" s="45" t="n">
        <v>0.945803291409357</v>
      </c>
      <c r="S33" s="45" t="n">
        <v>0.92485549132948</v>
      </c>
      <c r="T33" s="45" t="n">
        <v>0.922389726409827</v>
      </c>
      <c r="U33" s="45" t="n">
        <v>0.952827400195821</v>
      </c>
      <c r="V33" s="45" t="n"/>
      <c r="W33" s="45" t="n"/>
      <c r="X33" s="45" t="n">
        <v>0.948196469685342</v>
      </c>
      <c r="Y33" s="45" t="n"/>
      <c r="Z33" s="45" t="n"/>
      <c r="AA33" s="45" t="n">
        <v>0.947545667925299</v>
      </c>
      <c r="AB33" s="45" t="n">
        <v>0.960918124332759</v>
      </c>
      <c r="AC33" s="45" t="n">
        <v>0.539629005059022</v>
      </c>
      <c r="AD33" s="45" t="n">
        <v>0.922389726409827</v>
      </c>
      <c r="AE33" s="45" t="n">
        <v>0.91648527386611</v>
      </c>
      <c r="AF33" s="75">
        <f>IFERROR(AVERAGE(L33:U33),"")</f>
        <v/>
      </c>
      <c r="AG33" s="75">
        <f>IFERROR(AVERAGE(V33:AE33),"")</f>
        <v/>
      </c>
      <c r="AH33" s="75">
        <f>IFERROR(AVERAGE(B33:K33),"")</f>
        <v/>
      </c>
      <c r="AI33" s="45" t="n">
        <v>0.939365386962891</v>
      </c>
      <c r="AJ33" s="47" t="n">
        <v>0</v>
      </c>
    </row>
    <row r="34" ht="15" customHeight="1" s="30">
      <c r="A34" s="73" t="inlineStr">
        <is>
          <t>6558.jpg</t>
        </is>
      </c>
      <c r="B34" s="45" t="n"/>
      <c r="C34" s="45" t="n"/>
      <c r="D34" s="45" t="n">
        <v>0.890722103063301</v>
      </c>
      <c r="E34" s="45" t="n"/>
      <c r="F34" s="45" t="n">
        <v>0</v>
      </c>
      <c r="G34" s="45" t="n">
        <v>0.853288364249578</v>
      </c>
      <c r="H34" s="45" t="n">
        <v>0.9087028279429969</v>
      </c>
      <c r="I34" s="45" t="n">
        <v>0.65123010130246</v>
      </c>
      <c r="J34" s="45" t="n">
        <v>0.626227614095898</v>
      </c>
      <c r="K34" s="45" t="n">
        <v>0.8507473916532911</v>
      </c>
      <c r="L34" s="45" t="n"/>
      <c r="M34" s="45" t="n"/>
      <c r="N34" s="45" t="n">
        <v>0.927924830984302</v>
      </c>
      <c r="O34" s="45" t="n"/>
      <c r="P34" s="45" t="n">
        <v>0</v>
      </c>
      <c r="Q34" s="45" t="n">
        <v>0.923357664233577</v>
      </c>
      <c r="R34" s="45" t="n">
        <v>0.93436243034422</v>
      </c>
      <c r="S34" s="45" t="n">
        <v>0.963597430406852</v>
      </c>
      <c r="T34" s="45" t="n">
        <v>0.746042670337233</v>
      </c>
      <c r="U34" s="45" t="n">
        <v>0.964157807969985</v>
      </c>
      <c r="V34" s="45" t="n"/>
      <c r="W34" s="45" t="n"/>
      <c r="X34" s="45" t="n">
        <v>0.956927621861152</v>
      </c>
      <c r="Y34" s="45" t="n"/>
      <c r="Z34" s="45" t="n"/>
      <c r="AA34" s="45" t="n">
        <v>0.918330308529946</v>
      </c>
      <c r="AB34" s="45" t="n">
        <v>0.970665265334836</v>
      </c>
      <c r="AC34" s="45" t="n">
        <v>0.667655786350148</v>
      </c>
      <c r="AD34" s="45" t="n">
        <v>0.795888399412629</v>
      </c>
      <c r="AE34" s="45" t="n">
        <v>0.8785320245525891</v>
      </c>
      <c r="AF34" s="75">
        <f>IFERROR(AVERAGE(L34:U34),"")</f>
        <v/>
      </c>
      <c r="AG34" s="75">
        <f>IFERROR(AVERAGE(V34:AE34),"")</f>
        <v/>
      </c>
      <c r="AH34" s="75">
        <f>IFERROR(AVERAGE(B34:K34),"")</f>
        <v/>
      </c>
      <c r="AI34" s="45" t="n">
        <v>0.925510406494141</v>
      </c>
      <c r="AJ34" s="47" t="n">
        <v>0</v>
      </c>
    </row>
    <row r="35" ht="15" customHeight="1" s="30">
      <c r="A35" s="73" t="inlineStr">
        <is>
          <t>6561.jpg</t>
        </is>
      </c>
      <c r="B35" s="45" t="n"/>
      <c r="C35" s="45" t="n"/>
      <c r="D35" s="45" t="n">
        <v>0.847014138003798</v>
      </c>
      <c r="E35" s="45" t="n"/>
      <c r="F35" s="45" t="n">
        <v>0.864728617039153</v>
      </c>
      <c r="G35" s="45" t="n">
        <v>0.627961346633416</v>
      </c>
      <c r="H35" s="45" t="n">
        <v>0.912283165952665</v>
      </c>
      <c r="I35" s="45" t="n">
        <v>0.641409691629956</v>
      </c>
      <c r="J35" s="45" t="n">
        <v>0.625786163522013</v>
      </c>
      <c r="K35" s="45" t="n">
        <v>0.784003693951155</v>
      </c>
      <c r="L35" s="45" t="n"/>
      <c r="M35" s="45" t="n"/>
      <c r="N35" s="45" t="n">
        <v>0.926272066458982</v>
      </c>
      <c r="O35" s="45" t="n"/>
      <c r="P35" s="45" t="n">
        <v>0.913290401095279</v>
      </c>
      <c r="Q35" s="45" t="n">
        <v>0.885689162453286</v>
      </c>
      <c r="R35" s="45" t="n">
        <v>0.953786510418961</v>
      </c>
      <c r="S35" s="45" t="n">
        <v>0.927388535031847</v>
      </c>
      <c r="T35" s="45" t="n">
        <v>0.973898858075041</v>
      </c>
      <c r="U35" s="45" t="n">
        <v>0.8738281358666929</v>
      </c>
      <c r="V35" s="45" t="n"/>
      <c r="W35" s="45" t="n"/>
      <c r="X35" s="45" t="n">
        <v>0.9082475393144021</v>
      </c>
      <c r="Y35" s="45" t="n"/>
      <c r="Z35" s="45" t="n">
        <v>0.942071815257473</v>
      </c>
      <c r="AA35" s="45" t="n">
        <v>0.683344640434193</v>
      </c>
      <c r="AB35" s="45" t="n">
        <v>0.954473312955561</v>
      </c>
      <c r="AC35" s="45" t="n">
        <v>0.675324675324675</v>
      </c>
      <c r="AD35" s="45" t="n">
        <v>0.636460554371002</v>
      </c>
      <c r="AE35" s="45" t="n">
        <v>0.884083872783563</v>
      </c>
      <c r="AF35" s="75">
        <f>IFERROR(AVERAGE(L35:U35),"")</f>
        <v/>
      </c>
      <c r="AG35" s="75">
        <f>IFERROR(AVERAGE(V35:AE35),"")</f>
        <v/>
      </c>
      <c r="AH35" s="75">
        <f>IFERROR(AVERAGE(B35:K35),"")</f>
        <v/>
      </c>
      <c r="AI35" s="45" t="n">
        <v>0.923641204833984</v>
      </c>
      <c r="AJ35" s="47" t="n">
        <v>0</v>
      </c>
    </row>
    <row r="36" ht="15" customHeight="1" s="30">
      <c r="A36" s="73" t="inlineStr">
        <is>
          <t>6562.jpg</t>
        </is>
      </c>
      <c r="B36" s="45" t="n"/>
      <c r="C36" s="45" t="n"/>
      <c r="D36" s="45" t="n">
        <v>0.855551394869875</v>
      </c>
      <c r="E36" s="45" t="n"/>
      <c r="F36" s="45" t="n">
        <v>0.8886879730866269</v>
      </c>
      <c r="G36" s="45" t="n">
        <v>0.592460033404915</v>
      </c>
      <c r="H36" s="45" t="n">
        <v>0.9048810524463911</v>
      </c>
      <c r="I36" s="45" t="n">
        <v>0.612551159618008</v>
      </c>
      <c r="J36" s="45" t="n">
        <v>0.859712230215827</v>
      </c>
      <c r="K36" s="45" t="n">
        <v>0.807282629927955</v>
      </c>
      <c r="L36" s="45" t="n"/>
      <c r="M36" s="45" t="n"/>
      <c r="N36" s="45" t="n">
        <v>0.968422168061884</v>
      </c>
      <c r="O36" s="45" t="n"/>
      <c r="P36" s="45" t="n">
        <v>0.9194657152801951</v>
      </c>
      <c r="Q36" s="45" t="n">
        <v>0.995988768551945</v>
      </c>
      <c r="R36" s="45" t="n">
        <v>0.919475618234184</v>
      </c>
      <c r="S36" s="45" t="n">
        <v>0.739703459637562</v>
      </c>
      <c r="T36" s="45" t="n">
        <v>0.952191235059761</v>
      </c>
      <c r="U36" s="45" t="n">
        <v>0.941984876112839</v>
      </c>
      <c r="V36" s="45" t="n"/>
      <c r="W36" s="45" t="n"/>
      <c r="X36" s="45" t="n">
        <v>0.880104006163328</v>
      </c>
      <c r="Y36" s="45" t="n"/>
      <c r="Z36" s="45" t="n">
        <v>0.963701035158922</v>
      </c>
      <c r="AA36" s="45" t="n">
        <v>0.593877062903612</v>
      </c>
      <c r="AB36" s="45" t="n">
        <v>0.982761182939516</v>
      </c>
      <c r="AC36" s="45" t="n">
        <v>0.780869565217391</v>
      </c>
      <c r="AD36" s="45" t="n">
        <v>0.898496240601504</v>
      </c>
      <c r="AE36" s="45" t="n">
        <v>0.849519963241518</v>
      </c>
      <c r="AF36" s="75">
        <f>IFERROR(AVERAGE(L36:U36),"")</f>
        <v/>
      </c>
      <c r="AG36" s="75">
        <f>IFERROR(AVERAGE(V36:AE36),"")</f>
        <v/>
      </c>
      <c r="AH36" s="75">
        <f>IFERROR(AVERAGE(B36:K36),"")</f>
        <v/>
      </c>
      <c r="AI36" s="45" t="n">
        <v>0.928077697753906</v>
      </c>
      <c r="AJ36" s="47" t="n">
        <v>0</v>
      </c>
    </row>
    <row r="37" ht="15" customHeight="1" s="30">
      <c r="A37" s="73" t="inlineStr">
        <is>
          <t>6567.jpg</t>
        </is>
      </c>
      <c r="B37" s="45" t="n"/>
      <c r="C37" s="45" t="n"/>
      <c r="D37" s="45" t="n">
        <v>0.879460400348129</v>
      </c>
      <c r="E37" s="45" t="n"/>
      <c r="F37" s="45" t="n">
        <v>0.90056338028169</v>
      </c>
      <c r="G37" s="45" t="n"/>
      <c r="H37" s="45" t="n">
        <v>0.960095919417002</v>
      </c>
      <c r="I37" s="45" t="n">
        <v>0</v>
      </c>
      <c r="J37" s="45" t="n"/>
      <c r="K37" s="45" t="n">
        <v>0.922689397160106</v>
      </c>
      <c r="L37" s="45" t="n"/>
      <c r="M37" s="45" t="n"/>
      <c r="N37" s="45" t="n">
        <v>0.898821436513231</v>
      </c>
      <c r="O37" s="45" t="n"/>
      <c r="P37" s="45" t="n">
        <v>0.9910105393676381</v>
      </c>
      <c r="Q37" s="45" t="n"/>
      <c r="R37" s="45" t="n">
        <v>0.9860599449806881</v>
      </c>
      <c r="S37" s="45" t="n">
        <v>0</v>
      </c>
      <c r="T37" s="45" t="n"/>
      <c r="U37" s="45" t="n">
        <v>0.957567200891232</v>
      </c>
      <c r="V37" s="45" t="n"/>
      <c r="W37" s="45" t="n"/>
      <c r="X37" s="45" t="n">
        <v>0.976092731224342</v>
      </c>
      <c r="Y37" s="45" t="n"/>
      <c r="Z37" s="45" t="n">
        <v>0.907980687304743</v>
      </c>
      <c r="AA37" s="45" t="n"/>
      <c r="AB37" s="45" t="n">
        <v>0.973306608341177</v>
      </c>
      <c r="AC37" s="45" t="n"/>
      <c r="AD37" s="45" t="n"/>
      <c r="AE37" s="45" t="n">
        <v>0.962023913742091</v>
      </c>
      <c r="AF37" s="75">
        <f>IFERROR(AVERAGE(L37:U37),"")</f>
        <v/>
      </c>
      <c r="AG37" s="75">
        <f>IFERROR(AVERAGE(V37:AE37),"")</f>
        <v/>
      </c>
      <c r="AH37" s="75">
        <f>IFERROR(AVERAGE(B37:K37),"")</f>
        <v/>
      </c>
      <c r="AI37" s="45" t="n">
        <v>0.9687652587890631</v>
      </c>
      <c r="AJ37" s="47" t="n">
        <v>0</v>
      </c>
    </row>
    <row r="38" ht="15" customHeight="1" s="30">
      <c r="A38" s="73" t="inlineStr">
        <is>
          <t>6568.jpg</t>
        </is>
      </c>
      <c r="B38" s="45" t="n"/>
      <c r="C38" s="45" t="n"/>
      <c r="D38" s="45" t="n">
        <v>0.891083405340905</v>
      </c>
      <c r="E38" s="45" t="n"/>
      <c r="F38" s="45" t="n">
        <v>0.931446377564269</v>
      </c>
      <c r="G38" s="45" t="n"/>
      <c r="H38" s="45" t="n">
        <v>0.927130442835754</v>
      </c>
      <c r="I38" s="45" t="n">
        <v>0.742021276595745</v>
      </c>
      <c r="J38" s="45" t="n">
        <v>0.880232558139535</v>
      </c>
      <c r="K38" s="45" t="n">
        <v>0.908240241107361</v>
      </c>
      <c r="L38" s="45" t="n"/>
      <c r="M38" s="45" t="n"/>
      <c r="N38" s="45" t="n">
        <v>0.914874741244561</v>
      </c>
      <c r="O38" s="45" t="n"/>
      <c r="P38" s="45" t="n">
        <v>0.979519388312398</v>
      </c>
      <c r="Q38" s="45" t="n"/>
      <c r="R38" s="45" t="n">
        <v>0.968158410096468</v>
      </c>
      <c r="S38" s="45" t="n">
        <v>0.779329608938548</v>
      </c>
      <c r="T38" s="45" t="n">
        <v>0.92204628501827</v>
      </c>
      <c r="U38" s="45" t="n">
        <v>0.950569947207873</v>
      </c>
      <c r="V38" s="45" t="n"/>
      <c r="W38" s="45" t="n"/>
      <c r="X38" s="45" t="n">
        <v>0.971643933955492</v>
      </c>
      <c r="Y38" s="45" t="n"/>
      <c r="Z38" s="45" t="n">
        <v>0.949947033898305</v>
      </c>
      <c r="AA38" s="45" t="n"/>
      <c r="AB38" s="45" t="n">
        <v>0.956289851380719</v>
      </c>
      <c r="AC38" s="45" t="n">
        <v>0.939393939393939</v>
      </c>
      <c r="AD38" s="45" t="n">
        <v>0.951005025125628</v>
      </c>
      <c r="AE38" s="45" t="n">
        <v>0.953261734287987</v>
      </c>
      <c r="AF38" s="75">
        <f>IFERROR(AVERAGE(L38:U38),"")</f>
        <v/>
      </c>
      <c r="AG38" s="75">
        <f>IFERROR(AVERAGE(V38:AE38),"")</f>
        <v/>
      </c>
      <c r="AH38" s="75">
        <f>IFERROR(AVERAGE(B38:K38),"")</f>
        <v/>
      </c>
      <c r="AI38" s="45" t="n">
        <v>0.956157684326172</v>
      </c>
      <c r="AJ38" s="47" t="n">
        <v>0</v>
      </c>
    </row>
    <row r="39" ht="15" customHeight="1" s="30">
      <c r="A39" s="73" t="inlineStr">
        <is>
          <t>6583.jpg</t>
        </is>
      </c>
      <c r="B39" s="45" t="n">
        <v>0</v>
      </c>
      <c r="C39" s="45" t="n"/>
      <c r="D39" s="45" t="n"/>
      <c r="E39" s="45" t="n"/>
      <c r="F39" s="45" t="n"/>
      <c r="G39" s="45" t="n">
        <v>0.912691821628453</v>
      </c>
      <c r="H39" s="45" t="n">
        <v>0.955318322494957</v>
      </c>
      <c r="I39" s="45" t="n"/>
      <c r="J39" s="45" t="n"/>
      <c r="K39" s="45" t="n">
        <v>0.971128509889004</v>
      </c>
      <c r="L39" s="45" t="n">
        <v>0</v>
      </c>
      <c r="M39" s="45" t="n"/>
      <c r="N39" s="45" t="n"/>
      <c r="O39" s="45" t="n"/>
      <c r="P39" s="45" t="n"/>
      <c r="Q39" s="45" t="n">
        <v>0.971109147489339</v>
      </c>
      <c r="R39" s="45" t="n">
        <v>0.994845898901328</v>
      </c>
      <c r="S39" s="45" t="n"/>
      <c r="T39" s="45" t="n"/>
      <c r="U39" s="45" t="n">
        <v>0.979524522365717</v>
      </c>
      <c r="V39" s="45" t="n"/>
      <c r="W39" s="45" t="n"/>
      <c r="X39" s="45" t="n"/>
      <c r="Y39" s="45" t="n"/>
      <c r="Z39" s="45" t="n"/>
      <c r="AA39" s="45" t="n">
        <v>0.938165757339569</v>
      </c>
      <c r="AB39" s="45" t="n">
        <v>0.960070012844083</v>
      </c>
      <c r="AC39" s="45" t="n"/>
      <c r="AD39" s="45" t="n"/>
      <c r="AE39" s="45" t="n">
        <v>0.99125087459159</v>
      </c>
      <c r="AF39" s="75">
        <f>IFERROR(AVERAGE(L39:U39),"")</f>
        <v/>
      </c>
      <c r="AG39" s="75">
        <f>IFERROR(AVERAGE(V39:AE39),"")</f>
        <v/>
      </c>
      <c r="AH39" s="75">
        <f>IFERROR(AVERAGE(B39:K39),"")</f>
        <v/>
      </c>
      <c r="AI39" s="45" t="n">
        <v>0.976348876953125</v>
      </c>
      <c r="AJ39" s="47" t="n">
        <v>0</v>
      </c>
    </row>
    <row r="40" ht="15" customHeight="1" s="30">
      <c r="A40" s="73" t="inlineStr">
        <is>
          <t>6590.jpg</t>
        </is>
      </c>
      <c r="B40" s="45" t="n"/>
      <c r="C40" s="45" t="n"/>
      <c r="D40" s="45" t="n"/>
      <c r="E40" s="45" t="n"/>
      <c r="F40" s="45" t="n"/>
      <c r="G40" s="45" t="n">
        <v>0.85808160307823</v>
      </c>
      <c r="H40" s="45" t="n"/>
      <c r="I40" s="45" t="n">
        <v>0</v>
      </c>
      <c r="J40" s="45" t="n"/>
      <c r="K40" s="45" t="n">
        <v>0.974640146443607</v>
      </c>
      <c r="L40" s="45" t="n"/>
      <c r="M40" s="45" t="n"/>
      <c r="N40" s="45" t="n"/>
      <c r="O40" s="45" t="n"/>
      <c r="P40" s="45" t="n"/>
      <c r="Q40" s="45" t="n">
        <v>0.910592602412833</v>
      </c>
      <c r="R40" s="45" t="n"/>
      <c r="S40" s="45" t="n">
        <v>0</v>
      </c>
      <c r="T40" s="45" t="n"/>
      <c r="U40" s="45" t="n">
        <v>0.989711677335378</v>
      </c>
      <c r="V40" s="45" t="n"/>
      <c r="W40" s="45" t="n"/>
      <c r="X40" s="45" t="n"/>
      <c r="Y40" s="45" t="n"/>
      <c r="Z40" s="45" t="n"/>
      <c r="AA40" s="45" t="n">
        <v>0.937027639082153</v>
      </c>
      <c r="AB40" s="45" t="n"/>
      <c r="AC40" s="45" t="n"/>
      <c r="AD40" s="45" t="n"/>
      <c r="AE40" s="45" t="n">
        <v>0.984615930427996</v>
      </c>
      <c r="AF40" s="75">
        <f>IFERROR(AVERAGE(L40:U40),"")</f>
        <v/>
      </c>
      <c r="AG40" s="75">
        <f>IFERROR(AVERAGE(V40:AE40),"")</f>
        <v/>
      </c>
      <c r="AH40" s="75">
        <f>IFERROR(AVERAGE(B40:K40),"")</f>
        <v/>
      </c>
      <c r="AI40" s="45" t="n">
        <v>0.977962493896484</v>
      </c>
      <c r="AJ40" s="47" t="n">
        <v>0</v>
      </c>
    </row>
    <row r="41" ht="15" customHeight="1" s="30">
      <c r="A41" s="73" t="inlineStr">
        <is>
          <t>6593.jpg</t>
        </is>
      </c>
      <c r="B41" s="45" t="n"/>
      <c r="C41" s="45" t="n"/>
      <c r="D41" s="45" t="n"/>
      <c r="E41" s="45" t="n">
        <v>0</v>
      </c>
      <c r="F41" s="45" t="n"/>
      <c r="G41" s="45" t="n">
        <v>0.201520102287257</v>
      </c>
      <c r="H41" s="45" t="n">
        <v>0.7170993733213969</v>
      </c>
      <c r="I41" s="45" t="n"/>
      <c r="J41" s="45" t="n"/>
      <c r="K41" s="45" t="n">
        <v>0.976729847547024</v>
      </c>
      <c r="L41" s="45" t="n"/>
      <c r="M41" s="45" t="n"/>
      <c r="N41" s="45" t="n"/>
      <c r="O41" s="45" t="n">
        <v>0</v>
      </c>
      <c r="P41" s="45" t="n"/>
      <c r="Q41" s="45" t="n">
        <v>0.886216321749317</v>
      </c>
      <c r="R41" s="45" t="n">
        <v>0.86221743810549</v>
      </c>
      <c r="S41" s="45" t="n"/>
      <c r="T41" s="45" t="n"/>
      <c r="U41" s="45" t="n">
        <v>0.988813466752492</v>
      </c>
      <c r="V41" s="45" t="n"/>
      <c r="W41" s="45" t="n"/>
      <c r="X41" s="45" t="n"/>
      <c r="Y41" s="45" t="n"/>
      <c r="Z41" s="45" t="n"/>
      <c r="AA41" s="45" t="n">
        <v>0.206872664296782</v>
      </c>
      <c r="AB41" s="45" t="n">
        <v>0.809908998988878</v>
      </c>
      <c r="AC41" s="45" t="n"/>
      <c r="AD41" s="45" t="n"/>
      <c r="AE41" s="45" t="n">
        <v>0.987643136509978</v>
      </c>
      <c r="AF41" s="75">
        <f>IFERROR(AVERAGE(L41:U41),"")</f>
        <v/>
      </c>
      <c r="AG41" s="75">
        <f>IFERROR(AVERAGE(V41:AE41),"")</f>
        <v/>
      </c>
      <c r="AH41" s="75">
        <f>IFERROR(AVERAGE(B41:K41),"")</f>
        <v/>
      </c>
      <c r="AI41" s="45" t="n">
        <v>0.8229217529296881</v>
      </c>
      <c r="AJ41" s="47" t="n">
        <v>0</v>
      </c>
    </row>
    <row r="42" ht="15" customHeight="1" s="30">
      <c r="A42" s="73" t="inlineStr">
        <is>
          <t>6594.jpg</t>
        </is>
      </c>
      <c r="B42" s="45" t="n"/>
      <c r="C42" s="45" t="n"/>
      <c r="D42" s="45" t="n">
        <v>0</v>
      </c>
      <c r="E42" s="45" t="n"/>
      <c r="F42" s="45" t="n">
        <v>0.184047560069358</v>
      </c>
      <c r="G42" s="45" t="n"/>
      <c r="H42" s="45" t="n">
        <v>0</v>
      </c>
      <c r="I42" s="45" t="n"/>
      <c r="J42" s="45" t="n"/>
      <c r="K42" s="45" t="n">
        <v>0.965826399336793</v>
      </c>
      <c r="L42" s="45" t="n"/>
      <c r="M42" s="45" t="n"/>
      <c r="N42" s="45" t="n">
        <v>0</v>
      </c>
      <c r="O42" s="45" t="n"/>
      <c r="P42" s="45" t="n">
        <v>1</v>
      </c>
      <c r="Q42" s="45" t="n"/>
      <c r="R42" s="45" t="n"/>
      <c r="S42" s="45" t="n"/>
      <c r="T42" s="45" t="n"/>
      <c r="U42" s="45" t="n">
        <v>0.965833813087699</v>
      </c>
      <c r="V42" s="45" t="n"/>
      <c r="W42" s="45" t="n"/>
      <c r="X42" s="45" t="n"/>
      <c r="Y42" s="45" t="n"/>
      <c r="Z42" s="45" t="n">
        <v>0.184047560069358</v>
      </c>
      <c r="AA42" s="45" t="n"/>
      <c r="AB42" s="45" t="n">
        <v>0</v>
      </c>
      <c r="AC42" s="45" t="n"/>
      <c r="AD42" s="45" t="n"/>
      <c r="AE42" s="45" t="n">
        <v>0.999992052453805</v>
      </c>
      <c r="AF42" s="75">
        <f>IFERROR(AVERAGE(L42:U42),"")</f>
        <v/>
      </c>
      <c r="AG42" s="75">
        <f>IFERROR(AVERAGE(V42:AE42),"")</f>
        <v/>
      </c>
      <c r="AH42" s="75">
        <f>IFERROR(AVERAGE(B42:K42),"")</f>
        <v/>
      </c>
      <c r="AI42" s="45" t="n">
        <v>0.965629577636719</v>
      </c>
      <c r="AJ42" s="47" t="n">
        <v>0</v>
      </c>
    </row>
    <row r="43" ht="15" customHeight="1" s="30">
      <c r="A43" s="73" t="inlineStr">
        <is>
          <t>6602.jpg</t>
        </is>
      </c>
      <c r="B43" s="45" t="n"/>
      <c r="C43" s="45" t="n"/>
      <c r="D43" s="45" t="n"/>
      <c r="E43" s="45" t="n">
        <v>0.96374955416491</v>
      </c>
      <c r="F43" s="45" t="n"/>
      <c r="G43" s="45" t="n"/>
      <c r="H43" s="45" t="n">
        <v>0.19743088522759</v>
      </c>
      <c r="I43" s="45" t="n">
        <v>0</v>
      </c>
      <c r="J43" s="45" t="n"/>
      <c r="K43" s="45" t="n">
        <v>0.946951503847051</v>
      </c>
      <c r="L43" s="45" t="n"/>
      <c r="M43" s="45" t="n"/>
      <c r="N43" s="45" t="n"/>
      <c r="O43" s="45" t="n">
        <v>0.964854950928942</v>
      </c>
      <c r="P43" s="45" t="n"/>
      <c r="Q43" s="45" t="n"/>
      <c r="R43" s="45" t="n">
        <v>0.345975042818693</v>
      </c>
      <c r="S43" s="45" t="n">
        <v>0</v>
      </c>
      <c r="T43" s="45" t="n"/>
      <c r="U43" s="45" t="n">
        <v>0.980801622806223</v>
      </c>
      <c r="V43" s="45" t="n"/>
      <c r="W43" s="45" t="n"/>
      <c r="X43" s="45" t="n"/>
      <c r="Y43" s="45" t="n">
        <v>0.998812657518902</v>
      </c>
      <c r="Z43" s="45" t="n"/>
      <c r="AA43" s="45" t="n"/>
      <c r="AB43" s="45" t="n">
        <v>0.314992203163288</v>
      </c>
      <c r="AC43" s="45" t="n"/>
      <c r="AD43" s="45" t="n"/>
      <c r="AE43" s="45" t="n">
        <v>0.964835491150968</v>
      </c>
      <c r="AF43" s="75">
        <f>IFERROR(AVERAGE(L43:U43),"")</f>
        <v/>
      </c>
      <c r="AG43" s="75">
        <f>IFERROR(AVERAGE(V43:AE43),"")</f>
        <v/>
      </c>
      <c r="AH43" s="75">
        <f>IFERROR(AVERAGE(B43:K43),"")</f>
        <v/>
      </c>
      <c r="AI43" s="45" t="n">
        <v>0.965278625488281</v>
      </c>
      <c r="AJ43" s="47" t="n">
        <v>0</v>
      </c>
    </row>
    <row r="44" ht="15" customHeight="1" s="30">
      <c r="A44" s="73" t="inlineStr">
        <is>
          <t>6619.jpg</t>
        </is>
      </c>
      <c r="B44" s="45" t="n"/>
      <c r="C44" s="45" t="n"/>
      <c r="D44" s="45" t="n"/>
      <c r="E44" s="45" t="n"/>
      <c r="F44" s="45" t="n">
        <v>0.907348703170029</v>
      </c>
      <c r="G44" s="45" t="n">
        <v>0.854209263045604</v>
      </c>
      <c r="H44" s="45" t="n">
        <v>0.862092645773505</v>
      </c>
      <c r="I44" s="45" t="n"/>
      <c r="J44" s="45" t="n"/>
      <c r="K44" s="45" t="n">
        <v>0.978009289980093</v>
      </c>
      <c r="L44" s="45" t="n"/>
      <c r="M44" s="45" t="n"/>
      <c r="N44" s="45" t="n"/>
      <c r="O44" s="45" t="n"/>
      <c r="P44" s="45" t="n">
        <v>0.915394679459224</v>
      </c>
      <c r="Q44" s="45" t="n">
        <v>0.912535612535613</v>
      </c>
      <c r="R44" s="45" t="n">
        <v>0.972259381820742</v>
      </c>
      <c r="S44" s="45" t="n"/>
      <c r="T44" s="45" t="n"/>
      <c r="U44" s="45" t="n">
        <v>0.988491100052313</v>
      </c>
      <c r="V44" s="45" t="n"/>
      <c r="W44" s="45" t="n"/>
      <c r="X44" s="45" t="n"/>
      <c r="Y44" s="45" t="n"/>
      <c r="Z44" s="45" t="n">
        <v>0.990405787983643</v>
      </c>
      <c r="AA44" s="45" t="n">
        <v>0.930383423702556</v>
      </c>
      <c r="AB44" s="45" t="n">
        <v>0.883832565284178</v>
      </c>
      <c r="AC44" s="45" t="n"/>
      <c r="AD44" s="45" t="n"/>
      <c r="AE44" s="45" t="n">
        <v>0.989274016001718</v>
      </c>
      <c r="AF44" s="75">
        <f>IFERROR(AVERAGE(L44:U44),"")</f>
        <v/>
      </c>
      <c r="AG44" s="75">
        <f>IFERROR(AVERAGE(V44:AE44),"")</f>
        <v/>
      </c>
      <c r="AH44" s="75">
        <f>IFERROR(AVERAGE(B44:K44),"")</f>
        <v/>
      </c>
      <c r="AI44" s="45" t="n">
        <v>0.980724334716797</v>
      </c>
      <c r="AJ44" s="47" t="n">
        <v>0</v>
      </c>
    </row>
    <row r="45" ht="15" customHeight="1" s="30">
      <c r="A45" s="73" t="inlineStr">
        <is>
          <t>6624.jpg</t>
        </is>
      </c>
      <c r="B45" s="45" t="n">
        <v>0.837606837606838</v>
      </c>
      <c r="C45" s="45" t="n"/>
      <c r="D45" s="45" t="n"/>
      <c r="E45" s="45" t="n"/>
      <c r="F45" s="45" t="n">
        <v>0.916400576450309</v>
      </c>
      <c r="G45" s="45" t="n">
        <v>0</v>
      </c>
      <c r="H45" s="45" t="n">
        <v>0.912177555669876</v>
      </c>
      <c r="I45" s="45" t="n"/>
      <c r="J45" s="45" t="n"/>
      <c r="K45" s="45" t="n">
        <v>0.901996609945627</v>
      </c>
      <c r="L45" s="45" t="n">
        <v>0.841141549245405</v>
      </c>
      <c r="M45" s="45" t="n"/>
      <c r="N45" s="45" t="n"/>
      <c r="O45" s="45" t="n"/>
      <c r="P45" s="45" t="n">
        <v>0.926321051128249</v>
      </c>
      <c r="Q45" s="45" t="n">
        <v>0</v>
      </c>
      <c r="R45" s="45" t="n">
        <v>0.940659340659341</v>
      </c>
      <c r="S45" s="45" t="n"/>
      <c r="T45" s="45" t="n"/>
      <c r="U45" s="45" t="n">
        <v>0.993044447675828</v>
      </c>
      <c r="V45" s="45" t="n">
        <v>0.995008037905068</v>
      </c>
      <c r="W45" s="45" t="n"/>
      <c r="X45" s="45" t="n"/>
      <c r="Y45" s="45" t="n"/>
      <c r="Z45" s="45" t="n">
        <v>0.988448467669425</v>
      </c>
      <c r="AA45" s="45" t="n"/>
      <c r="AB45" s="45" t="n">
        <v>0.967872738615097</v>
      </c>
      <c r="AC45" s="45" t="n"/>
      <c r="AD45" s="45" t="n"/>
      <c r="AE45" s="45" t="n">
        <v>0.907731501993797</v>
      </c>
      <c r="AF45" s="75">
        <f>IFERROR(AVERAGE(L45:U45),"")</f>
        <v/>
      </c>
      <c r="AG45" s="75">
        <f>IFERROR(AVERAGE(V45:AE45),"")</f>
        <v/>
      </c>
      <c r="AH45" s="75">
        <f>IFERROR(AVERAGE(B45:K45),"")</f>
        <v/>
      </c>
      <c r="AI45" s="45" t="n">
        <v>0.945625305175781</v>
      </c>
      <c r="AJ45" s="47" t="n">
        <v>0</v>
      </c>
    </row>
    <row r="46" ht="15" customHeight="1" s="30">
      <c r="A46" s="73" t="inlineStr">
        <is>
          <t>6632.jpg</t>
        </is>
      </c>
      <c r="B46" s="45" t="n">
        <v>0.741892597692417</v>
      </c>
      <c r="C46" s="45" t="n"/>
      <c r="D46" s="45" t="n"/>
      <c r="E46" s="45" t="n"/>
      <c r="F46" s="45" t="n">
        <v>0.886345613149737</v>
      </c>
      <c r="G46" s="45" t="n">
        <v>0</v>
      </c>
      <c r="H46" s="45" t="n">
        <v>0.897541881947706</v>
      </c>
      <c r="I46" s="45" t="n"/>
      <c r="J46" s="45" t="n"/>
      <c r="K46" s="45" t="n">
        <v>0.944650040225261</v>
      </c>
      <c r="L46" s="45" t="n">
        <v>0.7467144563918759</v>
      </c>
      <c r="M46" s="45" t="n"/>
      <c r="N46" s="45" t="n"/>
      <c r="O46" s="45" t="n"/>
      <c r="P46" s="45" t="n">
        <v>0.933913175585856</v>
      </c>
      <c r="Q46" s="45" t="n">
        <v>0</v>
      </c>
      <c r="R46" s="45" t="n">
        <v>0.921106754932836</v>
      </c>
      <c r="S46" s="45" t="n"/>
      <c r="T46" s="45" t="n"/>
      <c r="U46" s="45" t="n">
        <v>0.990400783609501</v>
      </c>
      <c r="V46" s="45" t="n">
        <v>0.991371105894296</v>
      </c>
      <c r="W46" s="45" t="n"/>
      <c r="X46" s="45" t="n"/>
      <c r="Y46" s="45" t="n"/>
      <c r="Z46" s="45" t="n">
        <v>0.945658026305669</v>
      </c>
      <c r="AA46" s="45" t="n"/>
      <c r="AB46" s="45" t="n">
        <v>0.972286295793759</v>
      </c>
      <c r="AC46" s="45" t="n"/>
      <c r="AD46" s="45" t="n"/>
      <c r="AE46" s="45" t="n">
        <v>0.953378976537577</v>
      </c>
      <c r="AF46" s="75">
        <f>IFERROR(AVERAGE(L46:U46),"")</f>
        <v/>
      </c>
      <c r="AG46" s="75">
        <f>IFERROR(AVERAGE(V46:AE46),"")</f>
        <v/>
      </c>
      <c r="AH46" s="75">
        <f>IFERROR(AVERAGE(B46:K46),"")</f>
        <v/>
      </c>
      <c r="AI46" s="45" t="n">
        <v>0.957023620605469</v>
      </c>
      <c r="AJ46" s="47" t="n">
        <v>0</v>
      </c>
    </row>
    <row r="47" ht="15" customHeight="1" s="30">
      <c r="A47" s="73" t="inlineStr">
        <is>
          <t>6638.jpg</t>
        </is>
      </c>
      <c r="B47" s="45" t="n"/>
      <c r="C47" s="45" t="n"/>
      <c r="D47" s="45" t="n">
        <v>0.802252290108413</v>
      </c>
      <c r="E47" s="45" t="n"/>
      <c r="F47" s="45" t="n">
        <v>0.605575326215896</v>
      </c>
      <c r="G47" s="45" t="n"/>
      <c r="H47" s="45" t="n">
        <v>0.775454999852989</v>
      </c>
      <c r="I47" s="45" t="n"/>
      <c r="J47" s="45" t="n"/>
      <c r="K47" s="45" t="n">
        <v>0.96638704311509</v>
      </c>
      <c r="L47" s="45" t="n"/>
      <c r="M47" s="45" t="n"/>
      <c r="N47" s="45" t="n">
        <v>0.882826227688893</v>
      </c>
      <c r="O47" s="45" t="n"/>
      <c r="P47" s="45" t="n">
        <v>0.663849154746424</v>
      </c>
      <c r="Q47" s="45" t="n"/>
      <c r="R47" s="45" t="n">
        <v>0.844454405737705</v>
      </c>
      <c r="S47" s="45" t="n"/>
      <c r="T47" s="45" t="n"/>
      <c r="U47" s="45" t="n">
        <v>0.988817767122222</v>
      </c>
      <c r="V47" s="45" t="n"/>
      <c r="W47" s="45" t="n"/>
      <c r="X47" s="45" t="n">
        <v>0.897855530474041</v>
      </c>
      <c r="Y47" s="45" t="n"/>
      <c r="Z47" s="45" t="n">
        <v>0.873396065012832</v>
      </c>
      <c r="AA47" s="45" t="n"/>
      <c r="AB47" s="45" t="n">
        <v>0.9046753335848799</v>
      </c>
      <c r="AC47" s="45" t="n"/>
      <c r="AD47" s="45" t="n"/>
      <c r="AE47" s="45" t="n">
        <v>0.97706496677065</v>
      </c>
      <c r="AF47" s="75">
        <f>IFERROR(AVERAGE(L47:U47),"")</f>
        <v/>
      </c>
      <c r="AG47" s="75">
        <f>IFERROR(AVERAGE(V47:AE47),"")</f>
        <v/>
      </c>
      <c r="AH47" s="75">
        <f>IFERROR(AVERAGE(B47:K47),"")</f>
        <v/>
      </c>
      <c r="AI47" s="45" t="n">
        <v>0.965339660644531</v>
      </c>
      <c r="AJ47" s="47" t="n">
        <v>0</v>
      </c>
    </row>
    <row r="48" ht="15" customHeight="1" s="30">
      <c r="A48" s="73" t="inlineStr">
        <is>
          <t>6659.jpg</t>
        </is>
      </c>
      <c r="B48" s="45" t="n"/>
      <c r="C48" s="45" t="n"/>
      <c r="D48" s="45" t="n">
        <v>0.871582778444104</v>
      </c>
      <c r="E48" s="45" t="n"/>
      <c r="F48" s="45" t="n">
        <v>0.744697288945077</v>
      </c>
      <c r="G48" s="45" t="n"/>
      <c r="H48" s="45" t="n">
        <v>0.816580913220383</v>
      </c>
      <c r="I48" s="45" t="n">
        <v>0.380658436213992</v>
      </c>
      <c r="J48" s="45" t="n"/>
      <c r="K48" s="45" t="n">
        <v>0.905558372342558</v>
      </c>
      <c r="L48" s="45" t="n"/>
      <c r="M48" s="45" t="n"/>
      <c r="N48" s="45" t="n">
        <v>0.922881541493322</v>
      </c>
      <c r="O48" s="45" t="n"/>
      <c r="P48" s="45" t="n">
        <v>0.822894838960031</v>
      </c>
      <c r="Q48" s="45" t="n"/>
      <c r="R48" s="45" t="n">
        <v>0.8977114051073301</v>
      </c>
      <c r="S48" s="45" t="n">
        <v>0.41019955654102</v>
      </c>
      <c r="T48" s="45" t="n"/>
      <c r="U48" s="45" t="n">
        <v>0.9573968111497561</v>
      </c>
      <c r="V48" s="45" t="n"/>
      <c r="W48" s="45" t="n"/>
      <c r="X48" s="45" t="n">
        <v>0.9400481755732</v>
      </c>
      <c r="Y48" s="45" t="n"/>
      <c r="Z48" s="45" t="n">
        <v>0.8868350618936101</v>
      </c>
      <c r="AA48" s="45" t="n"/>
      <c r="AB48" s="45" t="n">
        <v>0.9003536756153721</v>
      </c>
      <c r="AC48" s="45" t="n">
        <v>0.8409090909090911</v>
      </c>
      <c r="AD48" s="45" t="n"/>
      <c r="AE48" s="45" t="n">
        <v>0.943581332202994</v>
      </c>
      <c r="AF48" s="75">
        <f>IFERROR(AVERAGE(L48:U48),"")</f>
        <v/>
      </c>
      <c r="AG48" s="75">
        <f>IFERROR(AVERAGE(V48:AE48),"")</f>
        <v/>
      </c>
      <c r="AH48" s="75">
        <f>IFERROR(AVERAGE(B48:K48),"")</f>
        <v/>
      </c>
      <c r="AI48" s="45" t="n">
        <v>0.933269500732422</v>
      </c>
      <c r="AJ48" s="47" t="n">
        <v>0</v>
      </c>
    </row>
    <row r="49" ht="15" customHeight="1" s="30">
      <c r="A49" s="73" t="inlineStr">
        <is>
          <t>6663.jpg</t>
        </is>
      </c>
      <c r="B49" s="45" t="n"/>
      <c r="C49" s="45" t="n"/>
      <c r="D49" s="45" t="n">
        <v>0.797347994825356</v>
      </c>
      <c r="E49" s="45" t="n"/>
      <c r="F49" s="45" t="n">
        <v>0.7631766381766379</v>
      </c>
      <c r="G49" s="45" t="n"/>
      <c r="H49" s="45" t="n">
        <v>0.8044096235179919</v>
      </c>
      <c r="I49" s="45" t="n"/>
      <c r="J49" s="45" t="n"/>
      <c r="K49" s="45" t="n">
        <v>0.8917196374486041</v>
      </c>
      <c r="L49" s="45" t="n"/>
      <c r="M49" s="45" t="n"/>
      <c r="N49" s="45" t="n">
        <v>0.962670831706365</v>
      </c>
      <c r="O49" s="45" t="n"/>
      <c r="P49" s="45" t="n">
        <v>0.811435062476335</v>
      </c>
      <c r="Q49" s="45" t="n"/>
      <c r="R49" s="45" t="n">
        <v>0.908357799960853</v>
      </c>
      <c r="S49" s="45" t="n"/>
      <c r="T49" s="45" t="n"/>
      <c r="U49" s="45" t="n">
        <v>0.929661360789825</v>
      </c>
      <c r="V49" s="45" t="n"/>
      <c r="W49" s="45" t="n"/>
      <c r="X49" s="45" t="n">
        <v>0.822787344813777</v>
      </c>
      <c r="Y49" s="45" t="n"/>
      <c r="Z49" s="45" t="n">
        <v>0.927705627705628</v>
      </c>
      <c r="AA49" s="45" t="n"/>
      <c r="AB49" s="45" t="n">
        <v>0.875457460856442</v>
      </c>
      <c r="AC49" s="45" t="n"/>
      <c r="AD49" s="45" t="n"/>
      <c r="AE49" s="45" t="n">
        <v>0.956234841566014</v>
      </c>
      <c r="AF49" s="75">
        <f>IFERROR(AVERAGE(L49:U49),"")</f>
        <v/>
      </c>
      <c r="AG49" s="75">
        <f>IFERROR(AVERAGE(V49:AE49),"")</f>
        <v/>
      </c>
      <c r="AH49" s="75">
        <f>IFERROR(AVERAGE(B49:K49),"")</f>
        <v/>
      </c>
      <c r="AI49" s="45" t="n">
        <v>0.923854827880859</v>
      </c>
      <c r="AJ49" s="47" t="n">
        <v>0</v>
      </c>
    </row>
    <row r="50" ht="15" customHeight="1" s="30">
      <c r="A50" s="73" t="inlineStr">
        <is>
          <t>6671.jpg</t>
        </is>
      </c>
      <c r="B50" s="45" t="n"/>
      <c r="C50" s="45" t="n"/>
      <c r="D50" s="45" t="n"/>
      <c r="E50" s="45" t="n"/>
      <c r="F50" s="45" t="n">
        <v>0</v>
      </c>
      <c r="G50" s="45" t="n"/>
      <c r="H50" s="45" t="n">
        <v>0.874885325448273</v>
      </c>
      <c r="I50" s="45" t="n"/>
      <c r="J50" s="45" t="n"/>
      <c r="K50" s="45" t="n">
        <v>0.892862062315766</v>
      </c>
      <c r="L50" s="45" t="n"/>
      <c r="M50" s="45" t="n"/>
      <c r="N50" s="45" t="n"/>
      <c r="O50" s="45" t="n"/>
      <c r="P50" s="45" t="n">
        <v>0</v>
      </c>
      <c r="Q50" s="45" t="n"/>
      <c r="R50" s="45" t="n">
        <v>0.9563246396989959</v>
      </c>
      <c r="S50" s="45" t="n"/>
      <c r="T50" s="45" t="n"/>
      <c r="U50" s="45" t="n">
        <v>0.923987028259863</v>
      </c>
      <c r="V50" s="45" t="n"/>
      <c r="W50" s="45" t="n"/>
      <c r="X50" s="45" t="n"/>
      <c r="Y50" s="45" t="n"/>
      <c r="Z50" s="45" t="n">
        <v>0</v>
      </c>
      <c r="AA50" s="45" t="n"/>
      <c r="AB50" s="45" t="n">
        <v>0.91129713721619</v>
      </c>
      <c r="AC50" s="45" t="n"/>
      <c r="AD50" s="45" t="n"/>
      <c r="AE50" s="45" t="n">
        <v>0.9636440671666749</v>
      </c>
      <c r="AF50" s="75">
        <f>IFERROR(AVERAGE(L50:U50),"")</f>
        <v/>
      </c>
      <c r="AG50" s="75">
        <f>IFERROR(AVERAGE(V50:AE50),"")</f>
        <v/>
      </c>
      <c r="AH50" s="75">
        <f>IFERROR(AVERAGE(B50:K50),"")</f>
        <v/>
      </c>
      <c r="AI50" s="45" t="n">
        <v>0.934726715087891</v>
      </c>
      <c r="AJ50" s="47" t="n">
        <v>0</v>
      </c>
    </row>
    <row r="51" ht="15" customHeight="1" s="30">
      <c r="A51" s="73" t="inlineStr">
        <is>
          <t>6672.jpg</t>
        </is>
      </c>
      <c r="B51" s="45" t="n"/>
      <c r="C51" s="45" t="n"/>
      <c r="D51" s="45" t="n"/>
      <c r="E51" s="45" t="n"/>
      <c r="F51" s="45" t="n">
        <v>0.09453302961275629</v>
      </c>
      <c r="G51" s="45" t="n"/>
      <c r="H51" s="45" t="n">
        <v>0.834826701240576</v>
      </c>
      <c r="I51" s="45" t="n"/>
      <c r="J51" s="45" t="n"/>
      <c r="K51" s="45" t="n">
        <v>0.882679832093112</v>
      </c>
      <c r="L51" s="45" t="n"/>
      <c r="M51" s="45" t="n"/>
      <c r="N51" s="45" t="n"/>
      <c r="O51" s="45" t="n"/>
      <c r="P51" s="45" t="n">
        <v>0.34297520661157</v>
      </c>
      <c r="Q51" s="45" t="n"/>
      <c r="R51" s="45" t="n">
        <v>0.868917007884205</v>
      </c>
      <c r="S51" s="45" t="n"/>
      <c r="T51" s="45" t="n"/>
      <c r="U51" s="45" t="n">
        <v>0.96459871374675</v>
      </c>
      <c r="V51" s="45" t="n"/>
      <c r="W51" s="45" t="n"/>
      <c r="X51" s="45" t="n"/>
      <c r="Y51" s="45" t="n"/>
      <c r="Z51" s="45" t="n">
        <v>0.115438108484006</v>
      </c>
      <c r="AA51" s="45" t="n"/>
      <c r="AB51" s="45" t="n">
        <v>0.955113942312577</v>
      </c>
      <c r="AC51" s="45" t="n"/>
      <c r="AD51" s="45" t="n"/>
      <c r="AE51" s="45" t="n">
        <v>0.912231403940128</v>
      </c>
      <c r="AF51" s="75">
        <f>IFERROR(AVERAGE(L51:U51),"")</f>
        <v/>
      </c>
      <c r="AG51" s="75">
        <f>IFERROR(AVERAGE(V51:AE51),"")</f>
        <v/>
      </c>
      <c r="AH51" s="75">
        <f>IFERROR(AVERAGE(B51:K51),"")</f>
        <v/>
      </c>
      <c r="AI51" s="45" t="n">
        <v>0.923961639404297</v>
      </c>
      <c r="AJ51" s="47" t="n">
        <v>0</v>
      </c>
    </row>
    <row r="52" ht="15" customHeight="1" s="30">
      <c r="A52" s="73" t="inlineStr">
        <is>
          <t>6677.jpg</t>
        </is>
      </c>
      <c r="B52" s="45" t="n"/>
      <c r="C52" s="45" t="n"/>
      <c r="D52" s="45" t="n"/>
      <c r="E52" s="45" t="n"/>
      <c r="F52" s="45" t="n">
        <v>0</v>
      </c>
      <c r="G52" s="45" t="n"/>
      <c r="H52" s="45" t="n">
        <v>0.798826611885342</v>
      </c>
      <c r="I52" s="45" t="n"/>
      <c r="J52" s="45" t="n"/>
      <c r="K52" s="45" t="n">
        <v>0.864034418397173</v>
      </c>
      <c r="L52" s="45" t="n"/>
      <c r="M52" s="45" t="n"/>
      <c r="N52" s="45" t="n"/>
      <c r="O52" s="45" t="n"/>
      <c r="P52" s="45" t="n">
        <v>0</v>
      </c>
      <c r="Q52" s="45" t="n"/>
      <c r="R52" s="45" t="n">
        <v>0.910344417109753</v>
      </c>
      <c r="S52" s="45" t="n"/>
      <c r="T52" s="45" t="n"/>
      <c r="U52" s="45" t="n">
        <v>0.912742897533513</v>
      </c>
      <c r="V52" s="45" t="n"/>
      <c r="W52" s="45" t="n"/>
      <c r="X52" s="45" t="n"/>
      <c r="Y52" s="45" t="n"/>
      <c r="Z52" s="45" t="n"/>
      <c r="AA52" s="45" t="n"/>
      <c r="AB52" s="45" t="n">
        <v>0.867038916130495</v>
      </c>
      <c r="AC52" s="45" t="n"/>
      <c r="AD52" s="45" t="n"/>
      <c r="AE52" s="45" t="n">
        <v>0.941830186627085</v>
      </c>
      <c r="AF52" s="75">
        <f>IFERROR(AVERAGE(L52:U52),"")</f>
        <v/>
      </c>
      <c r="AG52" s="75">
        <f>IFERROR(AVERAGE(V52:AE52),"")</f>
        <v/>
      </c>
      <c r="AH52" s="75">
        <f>IFERROR(AVERAGE(B52:K52),"")</f>
        <v/>
      </c>
      <c r="AI52" s="45" t="n">
        <v>0.911632537841797</v>
      </c>
      <c r="AJ52" s="47" t="n">
        <v>0</v>
      </c>
    </row>
    <row r="53" ht="15" customHeight="1" s="30">
      <c r="A53" s="73" t="inlineStr">
        <is>
          <t>6679.jpg</t>
        </is>
      </c>
      <c r="B53" s="45" t="n"/>
      <c r="C53" s="45" t="n"/>
      <c r="D53" s="45" t="n"/>
      <c r="E53" s="45" t="n"/>
      <c r="F53" s="45" t="n"/>
      <c r="G53" s="45" t="n"/>
      <c r="H53" s="45" t="n">
        <v>0.888966614691245</v>
      </c>
      <c r="I53" s="45" t="n"/>
      <c r="J53" s="45" t="n"/>
      <c r="K53" s="45" t="n">
        <v>0.782656868996227</v>
      </c>
      <c r="L53" s="45" t="n"/>
      <c r="M53" s="45" t="n"/>
      <c r="N53" s="45" t="n"/>
      <c r="O53" s="45" t="n"/>
      <c r="P53" s="45" t="n"/>
      <c r="Q53" s="45" t="n"/>
      <c r="R53" s="45" t="n">
        <v>0.973931001398225</v>
      </c>
      <c r="S53" s="45" t="n"/>
      <c r="T53" s="45" t="n"/>
      <c r="U53" s="45" t="n">
        <v>0.820891758850164</v>
      </c>
      <c r="V53" s="45" t="n"/>
      <c r="W53" s="45" t="n"/>
      <c r="X53" s="45" t="n"/>
      <c r="Y53" s="45" t="n"/>
      <c r="Z53" s="45" t="n"/>
      <c r="AA53" s="45" t="n"/>
      <c r="AB53" s="45" t="n">
        <v>0.910634969258036</v>
      </c>
      <c r="AC53" s="45" t="n"/>
      <c r="AD53" s="45" t="n"/>
      <c r="AE53" s="45" t="n">
        <v>0.943830988756114</v>
      </c>
      <c r="AF53" s="75">
        <f>IFERROR(AVERAGE(L53:U53),"")</f>
        <v/>
      </c>
      <c r="AG53" s="75">
        <f>IFERROR(AVERAGE(V53:AE53),"")</f>
        <v/>
      </c>
      <c r="AH53" s="75">
        <f>IFERROR(AVERAGE(B53:K53),"")</f>
        <v/>
      </c>
      <c r="AI53" s="45" t="n">
        <v>0.920680999755859</v>
      </c>
      <c r="AJ53" s="47" t="n">
        <v>0</v>
      </c>
    </row>
    <row r="54" ht="15" customHeight="1" s="30">
      <c r="A54" s="73" t="inlineStr">
        <is>
          <t>6680.jpg</t>
        </is>
      </c>
      <c r="B54" s="45" t="n"/>
      <c r="C54" s="45" t="n"/>
      <c r="D54" s="45" t="n"/>
      <c r="E54" s="45" t="n"/>
      <c r="F54" s="45" t="n"/>
      <c r="G54" s="45" t="n"/>
      <c r="H54" s="45" t="n">
        <v>0.842942109618224</v>
      </c>
      <c r="I54" s="45" t="n"/>
      <c r="J54" s="45" t="n"/>
      <c r="K54" s="45" t="n">
        <v>0.558180508757941</v>
      </c>
      <c r="L54" s="45" t="n"/>
      <c r="M54" s="45" t="n"/>
      <c r="N54" s="45" t="n"/>
      <c r="O54" s="45" t="n"/>
      <c r="P54" s="45" t="n"/>
      <c r="Q54" s="45" t="n"/>
      <c r="R54" s="45" t="n">
        <v>0.940725699475521</v>
      </c>
      <c r="S54" s="45" t="n"/>
      <c r="T54" s="45" t="n"/>
      <c r="U54" s="45" t="n">
        <v>0.656229210765044</v>
      </c>
      <c r="V54" s="45" t="n"/>
      <c r="W54" s="45" t="n"/>
      <c r="X54" s="45" t="n"/>
      <c r="Y54" s="45" t="n"/>
      <c r="Z54" s="45" t="n"/>
      <c r="AA54" s="45" t="n"/>
      <c r="AB54" s="45" t="n">
        <v>0.890224649121536</v>
      </c>
      <c r="AC54" s="45" t="n"/>
      <c r="AD54" s="45" t="n"/>
      <c r="AE54" s="45" t="n">
        <v>0.788844259464568</v>
      </c>
      <c r="AF54" s="75">
        <f>IFERROR(AVERAGE(L54:U54),"")</f>
        <v/>
      </c>
      <c r="AG54" s="75">
        <f>IFERROR(AVERAGE(V54:AE54),"")</f>
        <v/>
      </c>
      <c r="AH54" s="75">
        <f>IFERROR(AVERAGE(B54:K54),"")</f>
        <v/>
      </c>
      <c r="AI54" s="45" t="n">
        <v>0.868946075439453</v>
      </c>
      <c r="AJ54" s="47" t="n">
        <v>0</v>
      </c>
    </row>
    <row r="55" ht="15" customHeight="1" s="30">
      <c r="A55" s="73" t="inlineStr">
        <is>
          <t>6688.jpg</t>
        </is>
      </c>
      <c r="B55" s="45" t="n"/>
      <c r="C55" s="45" t="n"/>
      <c r="D55" s="45" t="n"/>
      <c r="E55" s="45" t="n"/>
      <c r="F55" s="45" t="n">
        <v>0</v>
      </c>
      <c r="G55" s="45" t="n"/>
      <c r="H55" s="45" t="n">
        <v>0.859746712391651</v>
      </c>
      <c r="I55" s="45" t="n"/>
      <c r="J55" s="45" t="n"/>
      <c r="K55" s="45" t="n">
        <v>0.940685054366995</v>
      </c>
      <c r="L55" s="45" t="n"/>
      <c r="M55" s="45" t="n"/>
      <c r="N55" s="45" t="n"/>
      <c r="O55" s="45" t="n"/>
      <c r="P55" s="45" t="n">
        <v>0</v>
      </c>
      <c r="Q55" s="45" t="n"/>
      <c r="R55" s="45" t="n">
        <v>0.909360942520528</v>
      </c>
      <c r="S55" s="45" t="n"/>
      <c r="T55" s="45" t="n"/>
      <c r="U55" s="45" t="n">
        <v>0.978813537106457</v>
      </c>
      <c r="V55" s="45" t="n"/>
      <c r="W55" s="45" t="n"/>
      <c r="X55" s="45" t="n"/>
      <c r="Y55" s="45" t="n"/>
      <c r="Z55" s="45" t="n"/>
      <c r="AA55" s="45" t="n"/>
      <c r="AB55" s="45" t="n">
        <v>0.940326939263722</v>
      </c>
      <c r="AC55" s="45" t="n"/>
      <c r="AD55" s="45" t="n"/>
      <c r="AE55" s="45" t="n">
        <v>0.96023659508808</v>
      </c>
      <c r="AF55" s="75">
        <f>IFERROR(AVERAGE(L55:U55),"")</f>
        <v/>
      </c>
      <c r="AG55" s="75">
        <f>IFERROR(AVERAGE(V55:AE55),"")</f>
        <v/>
      </c>
      <c r="AH55" s="75">
        <f>IFERROR(AVERAGE(B55:K55),"")</f>
        <v/>
      </c>
      <c r="AI55" s="45" t="n">
        <v>0.9550933837890631</v>
      </c>
      <c r="AJ55" s="47" t="n">
        <v>0</v>
      </c>
    </row>
    <row r="56" ht="15" customHeight="1" s="30">
      <c r="A56" s="73" t="inlineStr">
        <is>
          <t>6691.jpg</t>
        </is>
      </c>
      <c r="B56" s="45" t="n"/>
      <c r="C56" s="45" t="n">
        <v>0</v>
      </c>
      <c r="D56" s="45" t="n">
        <v>0.882254836557705</v>
      </c>
      <c r="E56" s="45" t="n">
        <v>0.1643197458973</v>
      </c>
      <c r="F56" s="45" t="n">
        <v>0.725382795966638</v>
      </c>
      <c r="G56" s="45" t="n">
        <v>0.897278048381155</v>
      </c>
      <c r="H56" s="45" t="n">
        <v>0.434699026793224</v>
      </c>
      <c r="I56" s="45" t="n">
        <v>0.485731633272617</v>
      </c>
      <c r="J56" s="45" t="n">
        <v>0.023454157782516</v>
      </c>
      <c r="K56" s="45" t="n">
        <v>0.656856692049119</v>
      </c>
      <c r="L56" s="45" t="n"/>
      <c r="M56" s="45" t="n">
        <v>0</v>
      </c>
      <c r="N56" s="45" t="n">
        <v>0.958564870741725</v>
      </c>
      <c r="O56" s="45" t="n">
        <v>0.49238578680203</v>
      </c>
      <c r="P56" s="45" t="n">
        <v>0.869766400477648</v>
      </c>
      <c r="Q56" s="45" t="n">
        <v>0.935748251987058</v>
      </c>
      <c r="R56" s="45" t="n">
        <v>0.869450285370982</v>
      </c>
      <c r="S56" s="45" t="n">
        <v>0.6932409012131719</v>
      </c>
      <c r="T56" s="45" t="n">
        <v>0.0384615384615385</v>
      </c>
      <c r="U56" s="45" t="n">
        <v>0.7159031434583381</v>
      </c>
      <c r="V56" s="45" t="n"/>
      <c r="W56" s="45" t="n"/>
      <c r="X56" s="45" t="n">
        <v>0.917235001733904</v>
      </c>
      <c r="Y56" s="45" t="n">
        <v>0.197833014659019</v>
      </c>
      <c r="Z56" s="45" t="n">
        <v>0.813769988129321</v>
      </c>
      <c r="AA56" s="45" t="n">
        <v>0.956189096999887</v>
      </c>
      <c r="AB56" s="45" t="n">
        <v>0.465053504289984</v>
      </c>
      <c r="AC56" s="45" t="n">
        <v>0.618716163959784</v>
      </c>
      <c r="AD56" s="45" t="n">
        <v>0.0567010309278351</v>
      </c>
      <c r="AE56" s="45" t="n">
        <v>0.888442624037327</v>
      </c>
      <c r="AF56" s="75">
        <f>IFERROR(AVERAGE(L56:U56),"")</f>
        <v/>
      </c>
      <c r="AG56" s="75">
        <f>IFERROR(AVERAGE(V56:AE56),"")</f>
        <v/>
      </c>
      <c r="AH56" s="75">
        <f>IFERROR(AVERAGE(B56:K56),"")</f>
        <v/>
      </c>
      <c r="AI56" s="45" t="n">
        <v>0.843013763427734</v>
      </c>
      <c r="AJ56" s="47" t="n">
        <v>0</v>
      </c>
    </row>
    <row r="57" ht="15" customHeight="1" s="30">
      <c r="A57" s="73" t="inlineStr">
        <is>
          <t>6695.jpg</t>
        </is>
      </c>
      <c r="B57" s="45" t="n"/>
      <c r="C57" s="45" t="n">
        <v>0.141837800208841</v>
      </c>
      <c r="D57" s="45" t="n">
        <v>0.0732722731057452</v>
      </c>
      <c r="E57" s="45" t="n">
        <v>0.294169591305332</v>
      </c>
      <c r="F57" s="45" t="n">
        <v>0</v>
      </c>
      <c r="G57" s="45" t="n">
        <v>0.827250951106101</v>
      </c>
      <c r="H57" s="45" t="n">
        <v>0.775171083622336</v>
      </c>
      <c r="I57" s="45" t="n">
        <v>0.504708097928437</v>
      </c>
      <c r="J57" s="45" t="n"/>
      <c r="K57" s="45" t="n">
        <v>0.618890492885131</v>
      </c>
      <c r="L57" s="45" t="n"/>
      <c r="M57" s="45" t="n">
        <v>0.158395957501944</v>
      </c>
      <c r="N57" s="45" t="n">
        <v>0.442687747035573</v>
      </c>
      <c r="O57" s="45" t="n">
        <v>0.840742897819194</v>
      </c>
      <c r="P57" s="45" t="n">
        <v>0</v>
      </c>
      <c r="Q57" s="45" t="n">
        <v>0.869474151883469</v>
      </c>
      <c r="R57" s="45" t="n">
        <v>0.93058152996705</v>
      </c>
      <c r="S57" s="45" t="n">
        <v>0.6442307692307691</v>
      </c>
      <c r="T57" s="45" t="n"/>
      <c r="U57" s="45" t="n">
        <v>0.763673956262425</v>
      </c>
      <c r="V57" s="45" t="n"/>
      <c r="W57" s="45" t="n">
        <v>0.575700494466682</v>
      </c>
      <c r="X57" s="45" t="n">
        <v>0.0807180763938937</v>
      </c>
      <c r="Y57" s="45" t="n">
        <v>0.311528870132361</v>
      </c>
      <c r="Z57" s="45" t="n"/>
      <c r="AA57" s="45" t="n">
        <v>0.944552339144325</v>
      </c>
      <c r="AB57" s="45" t="n">
        <v>0.822746688187706</v>
      </c>
      <c r="AC57" s="45" t="n">
        <v>0.699738903394256</v>
      </c>
      <c r="AD57" s="45" t="n"/>
      <c r="AE57" s="45" t="n">
        <v>0.7655001992825829</v>
      </c>
      <c r="AF57" s="75">
        <f>IFERROR(AVERAGE(L57:U57),"")</f>
        <v/>
      </c>
      <c r="AG57" s="75">
        <f>IFERROR(AVERAGE(V57:AE57),"")</f>
        <v/>
      </c>
      <c r="AH57" s="75">
        <f>IFERROR(AVERAGE(B57:K57),"")</f>
        <v/>
      </c>
      <c r="AI57" s="45" t="n">
        <v>0.720767974853516</v>
      </c>
      <c r="AJ57" s="47" t="n">
        <v>0</v>
      </c>
    </row>
    <row r="58" ht="15" customHeight="1" s="30">
      <c r="A58" s="73" t="inlineStr">
        <is>
          <t>6700.jpg</t>
        </is>
      </c>
      <c r="B58" s="45" t="n">
        <v>0</v>
      </c>
      <c r="C58" s="45" t="n">
        <v>0.250745720710385</v>
      </c>
      <c r="D58" s="45" t="n">
        <v>0</v>
      </c>
      <c r="E58" s="45" t="n">
        <v>0.70109360972823</v>
      </c>
      <c r="F58" s="45" t="n"/>
      <c r="G58" s="45" t="n">
        <v>0.5816744875277849</v>
      </c>
      <c r="H58" s="45" t="n">
        <v>0.609358865433632</v>
      </c>
      <c r="I58" s="45" t="n">
        <v>0.565994236311239</v>
      </c>
      <c r="J58" s="45" t="n">
        <v>0.810278578290106</v>
      </c>
      <c r="K58" s="45" t="n">
        <v>0.655054821721488</v>
      </c>
      <c r="L58" s="45" t="n">
        <v>0</v>
      </c>
      <c r="M58" s="45" t="n">
        <v>0.25315439143797</v>
      </c>
      <c r="N58" s="45" t="n">
        <v>0</v>
      </c>
      <c r="O58" s="45" t="n">
        <v>0.758744038155803</v>
      </c>
      <c r="P58" s="45" t="n"/>
      <c r="Q58" s="45" t="n">
        <v>0.966592793236477</v>
      </c>
      <c r="R58" s="45" t="n">
        <v>0.842060581977133</v>
      </c>
      <c r="S58" s="45" t="n">
        <v>0.719941348973607</v>
      </c>
      <c r="T58" s="45" t="n">
        <v>0.89353813559322</v>
      </c>
      <c r="U58" s="45" t="n">
        <v>0.750086500914438</v>
      </c>
      <c r="V58" s="45" t="n"/>
      <c r="W58" s="45" t="n">
        <v>0.963441871400024</v>
      </c>
      <c r="X58" s="45" t="n">
        <v>0</v>
      </c>
      <c r="Y58" s="45" t="n">
        <v>0.902221288662501</v>
      </c>
      <c r="Z58" s="45" t="n"/>
      <c r="AA58" s="45" t="n">
        <v>0.59360822663575</v>
      </c>
      <c r="AB58" s="45" t="n">
        <v>0.687991617597143</v>
      </c>
      <c r="AC58" s="45" t="n">
        <v>0.72579453067258</v>
      </c>
      <c r="AD58" s="45" t="n">
        <v>0.896863370547581</v>
      </c>
      <c r="AE58" s="45" t="n">
        <v>0.837934842628382</v>
      </c>
      <c r="AF58" s="75">
        <f>IFERROR(AVERAGE(L58:U58),"")</f>
        <v/>
      </c>
      <c r="AG58" s="75">
        <f>IFERROR(AVERAGE(V58:AE58),"")</f>
        <v/>
      </c>
      <c r="AH58" s="75">
        <f>IFERROR(AVERAGE(B58:K58),"")</f>
        <v/>
      </c>
      <c r="AI58" s="45" t="n">
        <v>0.658103942871094</v>
      </c>
      <c r="AJ58" s="47" t="n">
        <v>0</v>
      </c>
    </row>
    <row r="59" ht="15" customHeight="1" s="30">
      <c r="A59" s="73" t="inlineStr">
        <is>
          <t>6717.jpg</t>
        </is>
      </c>
      <c r="B59" s="45" t="n"/>
      <c r="C59" s="45" t="n">
        <v>0.226424030195611</v>
      </c>
      <c r="D59" s="45" t="n">
        <v>0</v>
      </c>
      <c r="E59" s="45" t="n">
        <v>0.504055189127411</v>
      </c>
      <c r="F59" s="45" t="n"/>
      <c r="G59" s="45" t="n">
        <v>0</v>
      </c>
      <c r="H59" s="45" t="n">
        <v>0.78086046483781</v>
      </c>
      <c r="I59" s="45" t="n">
        <v>0.49455155071249</v>
      </c>
      <c r="J59" s="45" t="n">
        <v>0.741692264730522</v>
      </c>
      <c r="K59" s="45" t="n">
        <v>0.585913221929053</v>
      </c>
      <c r="L59" s="45" t="n"/>
      <c r="M59" s="45" t="n">
        <v>0.227948506783408</v>
      </c>
      <c r="N59" s="45" t="n">
        <v>0</v>
      </c>
      <c r="O59" s="45" t="n">
        <v>0.874027028317654</v>
      </c>
      <c r="P59" s="45" t="n"/>
      <c r="Q59" s="45" t="n">
        <v>0</v>
      </c>
      <c r="R59" s="45" t="n">
        <v>0.875035223079504</v>
      </c>
      <c r="S59" s="45" t="n">
        <v>0.652654867256637</v>
      </c>
      <c r="T59" s="45" t="n">
        <v>0.8014484007242</v>
      </c>
      <c r="U59" s="45" t="n">
        <v>0.700029772850663</v>
      </c>
      <c r="V59" s="45" t="n"/>
      <c r="W59" s="45" t="n">
        <v>0.9713107184633381</v>
      </c>
      <c r="X59" s="45" t="n">
        <v>0</v>
      </c>
      <c r="Y59" s="45" t="n">
        <v>0.543543142233507</v>
      </c>
      <c r="Z59" s="45" t="n"/>
      <c r="AA59" s="45" t="n"/>
      <c r="AB59" s="45" t="n">
        <v>0.878867924528302</v>
      </c>
      <c r="AC59" s="45" t="n">
        <v>0.671217292377702</v>
      </c>
      <c r="AD59" s="45" t="n">
        <v>0.908655490933972</v>
      </c>
      <c r="AE59" s="45" t="n">
        <v>0.782333829170907</v>
      </c>
      <c r="AF59" s="75">
        <f>IFERROR(AVERAGE(L59:U59),"")</f>
        <v/>
      </c>
      <c r="AG59" s="75">
        <f>IFERROR(AVERAGE(V59:AE59),"")</f>
        <v/>
      </c>
      <c r="AH59" s="75">
        <f>IFERROR(AVERAGE(B59:K59),"")</f>
        <v/>
      </c>
      <c r="AI59" s="45" t="n">
        <v>0.615699768066406</v>
      </c>
      <c r="AJ59" s="47" t="n">
        <v>0</v>
      </c>
    </row>
    <row r="60" ht="15" customHeight="1" s="30">
      <c r="A60" s="73" t="inlineStr">
        <is>
          <t>6718.jpg</t>
        </is>
      </c>
      <c r="B60" s="45" t="n"/>
      <c r="C60" s="45" t="n"/>
      <c r="D60" s="45" t="n">
        <v>0.81836205581821</v>
      </c>
      <c r="E60" s="45" t="n"/>
      <c r="F60" s="45" t="n">
        <v>0.219771863117871</v>
      </c>
      <c r="G60" s="45" t="n">
        <v>0.9652687237433</v>
      </c>
      <c r="H60" s="45" t="n">
        <v>0.813689421810419</v>
      </c>
      <c r="I60" s="45" t="n">
        <v>0</v>
      </c>
      <c r="J60" s="45" t="n"/>
      <c r="K60" s="45" t="n">
        <v>0.817653655047078</v>
      </c>
      <c r="L60" s="45" t="n"/>
      <c r="M60" s="45" t="n"/>
      <c r="N60" s="45" t="n">
        <v>0.842253963271072</v>
      </c>
      <c r="O60" s="45" t="n"/>
      <c r="P60" s="45" t="n">
        <v>0.72069825436409</v>
      </c>
      <c r="Q60" s="45" t="n">
        <v>0.982599078341014</v>
      </c>
      <c r="R60" s="45" t="n">
        <v>0.904889382765936</v>
      </c>
      <c r="S60" s="45" t="n">
        <v>0</v>
      </c>
      <c r="T60" s="45" t="n"/>
      <c r="U60" s="45" t="n">
        <v>0.893705820821403</v>
      </c>
      <c r="V60" s="45" t="n"/>
      <c r="W60" s="45" t="n"/>
      <c r="X60" s="45" t="n">
        <v>0.96649855907781</v>
      </c>
      <c r="Y60" s="45" t="n"/>
      <c r="Z60" s="45" t="n">
        <v>0.240232751454697</v>
      </c>
      <c r="AA60" s="45" t="n">
        <v>0.982056005895357</v>
      </c>
      <c r="AB60" s="45" t="n">
        <v>0.889788417602066</v>
      </c>
      <c r="AC60" s="45" t="n">
        <v>0</v>
      </c>
      <c r="AD60" s="45" t="n"/>
      <c r="AE60" s="45" t="n">
        <v>0.90573533506093</v>
      </c>
      <c r="AF60" s="75">
        <f>IFERROR(AVERAGE(L60:U60),"")</f>
        <v/>
      </c>
      <c r="AG60" s="75">
        <f>IFERROR(AVERAGE(V60:AE60),"")</f>
        <v/>
      </c>
      <c r="AH60" s="75">
        <f>IFERROR(AVERAGE(B60:K60),"")</f>
        <v/>
      </c>
      <c r="AI60" s="45" t="n">
        <v>0.922611236572266</v>
      </c>
      <c r="AJ60" s="47" t="n">
        <v>0</v>
      </c>
    </row>
    <row r="61" ht="15" customHeight="1" s="30">
      <c r="A61" s="73" t="inlineStr">
        <is>
          <t>6733.jpg</t>
        </is>
      </c>
      <c r="B61" s="45" t="n"/>
      <c r="C61" s="45" t="n"/>
      <c r="D61" s="45" t="n">
        <v>0.8325</v>
      </c>
      <c r="E61" s="45" t="n"/>
      <c r="F61" s="45" t="n"/>
      <c r="G61" s="45" t="n">
        <v>0.97795249972888</v>
      </c>
      <c r="H61" s="45" t="n">
        <v>0.647597060131743</v>
      </c>
      <c r="I61" s="45" t="n"/>
      <c r="J61" s="45" t="n">
        <v>0.645833333333333</v>
      </c>
      <c r="K61" s="45" t="n">
        <v>0.854696132596685</v>
      </c>
      <c r="L61" s="45" t="n"/>
      <c r="M61" s="45" t="n"/>
      <c r="N61" s="45" t="n">
        <v>0.8671875</v>
      </c>
      <c r="O61" s="45" t="n"/>
      <c r="P61" s="45" t="n"/>
      <c r="Q61" s="45" t="n">
        <v>0.9914681208976071</v>
      </c>
      <c r="R61" s="45" t="n">
        <v>0.83753355612776</v>
      </c>
      <c r="S61" s="45" t="n"/>
      <c r="T61" s="45" t="n">
        <v>0.859706362153344</v>
      </c>
      <c r="U61" s="45" t="n">
        <v>0.904241224515244</v>
      </c>
      <c r="V61" s="45" t="n"/>
      <c r="W61" s="45" t="n"/>
      <c r="X61" s="45" t="n">
        <v>0.954154727793696</v>
      </c>
      <c r="Y61" s="45" t="n"/>
      <c r="Z61" s="45" t="n"/>
      <c r="AA61" s="45" t="n">
        <v>0.986252378765011</v>
      </c>
      <c r="AB61" s="45" t="n">
        <v>0.740637566009399</v>
      </c>
      <c r="AC61" s="45" t="n"/>
      <c r="AD61" s="45" t="n">
        <v>0.7219178082191779</v>
      </c>
      <c r="AE61" s="45" t="n">
        <v>0.939755230311915</v>
      </c>
      <c r="AF61" s="75">
        <f>IFERROR(AVERAGE(L61:U61),"")</f>
        <v/>
      </c>
      <c r="AG61" s="75">
        <f>IFERROR(AVERAGE(V61:AE61),"")</f>
        <v/>
      </c>
      <c r="AH61" s="75">
        <f>IFERROR(AVERAGE(B61:K61),"")</f>
        <v/>
      </c>
      <c r="AI61" s="45" t="n">
        <v>0.924297332763672</v>
      </c>
      <c r="AJ61" s="47" t="n">
        <v>0</v>
      </c>
    </row>
    <row r="62" ht="15" customHeight="1" s="30">
      <c r="A62" s="73" t="inlineStr">
        <is>
          <t>6744.jpg</t>
        </is>
      </c>
      <c r="B62" s="45" t="n"/>
      <c r="C62" s="45" t="n"/>
      <c r="D62" s="45" t="n">
        <v>0.821925431274346</v>
      </c>
      <c r="E62" s="45" t="n"/>
      <c r="F62" s="45" t="n"/>
      <c r="G62" s="45" t="n">
        <v>0.871879690338889</v>
      </c>
      <c r="H62" s="45" t="n">
        <v>0.44969162546511</v>
      </c>
      <c r="I62" s="45" t="n"/>
      <c r="J62" s="45" t="n">
        <v>0</v>
      </c>
      <c r="K62" s="45" t="n">
        <v>0.881873503522939</v>
      </c>
      <c r="L62" s="45" t="n"/>
      <c r="M62" s="45" t="n"/>
      <c r="N62" s="45" t="n">
        <v>0.859720605355064</v>
      </c>
      <c r="O62" s="45" t="n"/>
      <c r="P62" s="45" t="n"/>
      <c r="Q62" s="45" t="n">
        <v>0.914085469377614</v>
      </c>
      <c r="R62" s="45" t="n">
        <v>0.724432401363058</v>
      </c>
      <c r="S62" s="45" t="n"/>
      <c r="T62" s="45" t="n">
        <v>0</v>
      </c>
      <c r="U62" s="45" t="n">
        <v>0.923353757964529</v>
      </c>
      <c r="V62" s="45" t="n"/>
      <c r="W62" s="45" t="n"/>
      <c r="X62" s="45" t="n">
        <v>0.9492287917737789</v>
      </c>
      <c r="Y62" s="45" t="n"/>
      <c r="Z62" s="45" t="n"/>
      <c r="AA62" s="45" t="n">
        <v>0.949705828573887</v>
      </c>
      <c r="AB62" s="45" t="n">
        <v>0.542489085654553</v>
      </c>
      <c r="AC62" s="45" t="n"/>
      <c r="AD62" s="45" t="n"/>
      <c r="AE62" s="45" t="n">
        <v>0.951528251745146</v>
      </c>
      <c r="AF62" s="75">
        <f>IFERROR(AVERAGE(L62:U62),"")</f>
        <v/>
      </c>
      <c r="AG62" s="75">
        <f>IFERROR(AVERAGE(V62:AE62),"")</f>
        <v/>
      </c>
      <c r="AH62" s="75">
        <f>IFERROR(AVERAGE(B62:K62),"")</f>
        <v/>
      </c>
      <c r="AI62" s="45" t="n">
        <v>0.900115966796875</v>
      </c>
      <c r="AJ62" s="47" t="n">
        <v>0</v>
      </c>
    </row>
    <row r="63" ht="15" customHeight="1" s="30">
      <c r="A63" s="73" t="inlineStr">
        <is>
          <t>6751.jpg</t>
        </is>
      </c>
      <c r="B63" s="45" t="n"/>
      <c r="C63" s="45" t="n"/>
      <c r="D63" s="45" t="n">
        <v>0.641056422569028</v>
      </c>
      <c r="E63" s="45" t="n"/>
      <c r="F63" s="45" t="n">
        <v>0</v>
      </c>
      <c r="G63" s="45" t="n">
        <v>0.834334960778881</v>
      </c>
      <c r="H63" s="45" t="n">
        <v>0.532166660726378</v>
      </c>
      <c r="I63" s="45" t="n"/>
      <c r="J63" s="45" t="n"/>
      <c r="K63" s="45" t="n">
        <v>0.852906752906753</v>
      </c>
      <c r="L63" s="45" t="n"/>
      <c r="M63" s="45" t="n"/>
      <c r="N63" s="45" t="n">
        <v>0.673817034700316</v>
      </c>
      <c r="O63" s="45" t="n"/>
      <c r="P63" s="45" t="n"/>
      <c r="Q63" s="45" t="n">
        <v>0.8783520086905789</v>
      </c>
      <c r="R63" s="45" t="n">
        <v>0.819821551132464</v>
      </c>
      <c r="S63" s="45" t="n"/>
      <c r="T63" s="45" t="n"/>
      <c r="U63" s="45" t="n">
        <v>0.89958661912922</v>
      </c>
      <c r="V63" s="45" t="n"/>
      <c r="W63" s="45" t="n"/>
      <c r="X63" s="45" t="n">
        <v>0.929503916449086</v>
      </c>
      <c r="Y63" s="45" t="n"/>
      <c r="Z63" s="45" t="n">
        <v>0</v>
      </c>
      <c r="AA63" s="45" t="n">
        <v>0.943339562920632</v>
      </c>
      <c r="AB63" s="45" t="n">
        <v>0.602651813283284</v>
      </c>
      <c r="AC63" s="45" t="n"/>
      <c r="AD63" s="45" t="n"/>
      <c r="AE63" s="45" t="n">
        <v>0.942649737034705</v>
      </c>
      <c r="AF63" s="75">
        <f>IFERROR(AVERAGE(L63:U63),"")</f>
        <v/>
      </c>
      <c r="AG63" s="75">
        <f>IFERROR(AVERAGE(V63:AE63),"")</f>
        <v/>
      </c>
      <c r="AH63" s="75">
        <f>IFERROR(AVERAGE(B63:K63),"")</f>
        <v/>
      </c>
      <c r="AI63" s="45" t="n">
        <v>0.877719879150391</v>
      </c>
      <c r="AJ63" s="47" t="n">
        <v>0</v>
      </c>
    </row>
    <row r="64" ht="15" customHeight="1" s="30">
      <c r="A64" s="73" t="inlineStr">
        <is>
          <t>6761.jpg</t>
        </is>
      </c>
      <c r="B64" s="45" t="n"/>
      <c r="C64" s="45" t="n"/>
      <c r="D64" s="45" t="n">
        <v>0.67601683029453</v>
      </c>
      <c r="E64" s="45" t="n"/>
      <c r="F64" s="45" t="n"/>
      <c r="G64" s="45" t="n">
        <v>0.897421322460402</v>
      </c>
      <c r="H64" s="45" t="n">
        <v>0.787255175086908</v>
      </c>
      <c r="I64" s="45" t="n"/>
      <c r="J64" s="45" t="n">
        <v>0.434163701067616</v>
      </c>
      <c r="K64" s="45" t="n">
        <v>0.861116164178962</v>
      </c>
      <c r="L64" s="45" t="n"/>
      <c r="M64" s="45" t="n"/>
      <c r="N64" s="45" t="n">
        <v>0.763521158633175</v>
      </c>
      <c r="O64" s="45" t="n"/>
      <c r="P64" s="45" t="n"/>
      <c r="Q64" s="45" t="n">
        <v>0.908032119630138</v>
      </c>
      <c r="R64" s="45" t="n">
        <v>0.948015577823481</v>
      </c>
      <c r="S64" s="45" t="n"/>
      <c r="T64" s="45" t="n">
        <v>0.666666666666667</v>
      </c>
      <c r="U64" s="45" t="n">
        <v>0.912448894705339</v>
      </c>
      <c r="V64" s="45" t="n"/>
      <c r="W64" s="45" t="n"/>
      <c r="X64" s="45" t="n">
        <v>0.855043081601622</v>
      </c>
      <c r="Y64" s="45" t="n"/>
      <c r="Z64" s="45" t="n"/>
      <c r="AA64" s="45" t="n">
        <v>0.987146189548614</v>
      </c>
      <c r="AB64" s="45" t="n">
        <v>0.822773593265397</v>
      </c>
      <c r="AC64" s="45" t="n"/>
      <c r="AD64" s="45" t="n">
        <v>0.554545454545455</v>
      </c>
      <c r="AE64" s="45" t="n">
        <v>0.938674765438283</v>
      </c>
      <c r="AF64" s="75">
        <f>IFERROR(AVERAGE(L64:U64),"")</f>
        <v/>
      </c>
      <c r="AG64" s="75">
        <f>IFERROR(AVERAGE(V64:AE64),"")</f>
        <v/>
      </c>
      <c r="AH64" s="75">
        <f>IFERROR(AVERAGE(B64:K64),"")</f>
        <v/>
      </c>
      <c r="AI64" s="45" t="n">
        <v>0.917545318603516</v>
      </c>
      <c r="AJ64" s="47" t="n">
        <v>0</v>
      </c>
    </row>
    <row r="65" ht="15" customHeight="1" s="30">
      <c r="A65" s="73" t="inlineStr">
        <is>
          <t>6765.jpg</t>
        </is>
      </c>
      <c r="B65" s="45" t="n"/>
      <c r="C65" s="45" t="n"/>
      <c r="D65" s="45" t="n">
        <v>0.72895419187554</v>
      </c>
      <c r="E65" s="45" t="n"/>
      <c r="F65" s="45" t="n">
        <v>0.246753246753247</v>
      </c>
      <c r="G65" s="45" t="n">
        <v>0.97053700106523</v>
      </c>
      <c r="H65" s="45" t="n">
        <v>0.8793004188751909</v>
      </c>
      <c r="I65" s="45" t="n"/>
      <c r="J65" s="45" t="n">
        <v>0.565310492505353</v>
      </c>
      <c r="K65" s="45" t="n">
        <v>0.821829167811041</v>
      </c>
      <c r="L65" s="45" t="n"/>
      <c r="M65" s="45" t="n"/>
      <c r="N65" s="45" t="n">
        <v>0.842557442557443</v>
      </c>
      <c r="O65" s="45" t="n"/>
      <c r="P65" s="45" t="n">
        <v>0.606382978723404</v>
      </c>
      <c r="Q65" s="45" t="n">
        <v>0.973232462864755</v>
      </c>
      <c r="R65" s="45" t="n">
        <v>0.936783553995178</v>
      </c>
      <c r="S65" s="45" t="n"/>
      <c r="T65" s="45" t="n">
        <v>0.7904191616766471</v>
      </c>
      <c r="U65" s="45" t="n">
        <v>0.9090544530993671</v>
      </c>
      <c r="V65" s="45" t="n"/>
      <c r="W65" s="45" t="n"/>
      <c r="X65" s="45" t="n">
        <v>0.843906343806284</v>
      </c>
      <c r="Y65" s="45" t="n"/>
      <c r="Z65" s="45" t="n">
        <v>0.293814432989691</v>
      </c>
      <c r="AA65" s="45" t="n">
        <v>0.997154445374364</v>
      </c>
      <c r="AB65" s="45" t="n">
        <v>0.934767009961168</v>
      </c>
      <c r="AC65" s="45" t="n"/>
      <c r="AD65" s="45" t="n">
        <v>0.664987405541562</v>
      </c>
      <c r="AE65" s="45" t="n">
        <v>0.895452532289535</v>
      </c>
      <c r="AF65" s="75">
        <f>IFERROR(AVERAGE(L65:U65),"")</f>
        <v/>
      </c>
      <c r="AG65" s="75">
        <f>IFERROR(AVERAGE(V65:AE65),"")</f>
        <v/>
      </c>
      <c r="AH65" s="75">
        <f>IFERROR(AVERAGE(B65:K65),"")</f>
        <v/>
      </c>
      <c r="AI65" s="45" t="n">
        <v>0.936683654785156</v>
      </c>
      <c r="AJ65" s="47" t="n">
        <v>0</v>
      </c>
    </row>
    <row r="66" ht="15" customHeight="1" s="30">
      <c r="A66" s="73" t="inlineStr">
        <is>
          <t>6768.jpg</t>
        </is>
      </c>
      <c r="B66" s="45" t="n"/>
      <c r="C66" s="45" t="n"/>
      <c r="D66" s="45" t="n">
        <v>0.774213836477988</v>
      </c>
      <c r="E66" s="45" t="n"/>
      <c r="F66" s="45" t="n">
        <v>0</v>
      </c>
      <c r="G66" s="45" t="n">
        <v>0.987148429480599</v>
      </c>
      <c r="H66" s="45" t="n">
        <v>0.889023210831721</v>
      </c>
      <c r="I66" s="45" t="n">
        <v>0</v>
      </c>
      <c r="J66" s="45" t="n">
        <v>0.469072164948454</v>
      </c>
      <c r="K66" s="45" t="n">
        <v>0.793409070532935</v>
      </c>
      <c r="L66" s="45" t="n"/>
      <c r="M66" s="45" t="n"/>
      <c r="N66" s="45" t="n">
        <v>0.90018281535649</v>
      </c>
      <c r="O66" s="45" t="n"/>
      <c r="P66" s="45" t="n"/>
      <c r="Q66" s="45" t="n">
        <v>0.990496855173171</v>
      </c>
      <c r="R66" s="45" t="n">
        <v>0.917596743797813</v>
      </c>
      <c r="S66" s="45" t="n"/>
      <c r="T66" s="45" t="n">
        <v>0.883495145631068</v>
      </c>
      <c r="U66" s="45" t="n">
        <v>0.917135496861305</v>
      </c>
      <c r="V66" s="45" t="n"/>
      <c r="W66" s="45" t="n"/>
      <c r="X66" s="45" t="n">
        <v>0.846921224630203</v>
      </c>
      <c r="Y66" s="45" t="n"/>
      <c r="Z66" s="45" t="n">
        <v>0</v>
      </c>
      <c r="AA66" s="45" t="n">
        <v>0.996587125032816</v>
      </c>
      <c r="AB66" s="45" t="n">
        <v>0.966158669179472</v>
      </c>
      <c r="AC66" s="45" t="n">
        <v>0</v>
      </c>
      <c r="AD66" s="45" t="n">
        <v>0.5</v>
      </c>
      <c r="AE66" s="45" t="n">
        <v>0.854677152317881</v>
      </c>
      <c r="AF66" s="75">
        <f>IFERROR(AVERAGE(L66:U66),"")</f>
        <v/>
      </c>
      <c r="AG66" s="75">
        <f>IFERROR(AVERAGE(V66:AE66),"")</f>
        <v/>
      </c>
      <c r="AH66" s="75">
        <f>IFERROR(AVERAGE(B66:K66),"")</f>
        <v/>
      </c>
      <c r="AI66" s="45" t="n">
        <v>0.937351226806641</v>
      </c>
      <c r="AJ66" s="47" t="n">
        <v>0</v>
      </c>
    </row>
    <row r="67" ht="15" customHeight="1" s="30">
      <c r="A67" s="73" t="inlineStr">
        <is>
          <t>6771.jpg</t>
        </is>
      </c>
      <c r="B67" s="45" t="n"/>
      <c r="C67" s="45" t="n"/>
      <c r="D67" s="45" t="n">
        <v>0.64116906726332</v>
      </c>
      <c r="E67" s="45" t="n"/>
      <c r="F67" s="45" t="n">
        <v>0</v>
      </c>
      <c r="G67" s="45" t="n">
        <v>0.977361468239392</v>
      </c>
      <c r="H67" s="45" t="n">
        <v>0.929374857133849</v>
      </c>
      <c r="I67" s="45" t="n"/>
      <c r="J67" s="45" t="n">
        <v>0.578181818181818</v>
      </c>
      <c r="K67" s="45" t="n">
        <v>0.799838555369529</v>
      </c>
      <c r="L67" s="45" t="n"/>
      <c r="M67" s="45" t="n"/>
      <c r="N67" s="45" t="n">
        <v>0.6917622208811099</v>
      </c>
      <c r="O67" s="45" t="n"/>
      <c r="P67" s="45" t="n"/>
      <c r="Q67" s="45" t="n">
        <v>0.984891898932014</v>
      </c>
      <c r="R67" s="45" t="n">
        <v>0.951369277195927</v>
      </c>
      <c r="S67" s="45" t="n"/>
      <c r="T67" s="45" t="n">
        <v>0.768115942028986</v>
      </c>
      <c r="U67" s="45" t="n">
        <v>0.91892077558521</v>
      </c>
      <c r="V67" s="45" t="n"/>
      <c r="W67" s="45" t="n"/>
      <c r="X67" s="45" t="n">
        <v>0.897611589663273</v>
      </c>
      <c r="Y67" s="45" t="n"/>
      <c r="Z67" s="45" t="n">
        <v>0</v>
      </c>
      <c r="AA67" s="45" t="n">
        <v>0.99223767627519</v>
      </c>
      <c r="AB67" s="45" t="n">
        <v>0.975728235683549</v>
      </c>
      <c r="AC67" s="45" t="n"/>
      <c r="AD67" s="45" t="n">
        <v>0.700440528634361</v>
      </c>
      <c r="AE67" s="45" t="n">
        <v>0.860570969039003</v>
      </c>
      <c r="AF67" s="75">
        <f>IFERROR(AVERAGE(L67:U67),"")</f>
        <v/>
      </c>
      <c r="AG67" s="75">
        <f>IFERROR(AVERAGE(V67:AE67),"")</f>
        <v/>
      </c>
      <c r="AH67" s="75">
        <f>IFERROR(AVERAGE(B67:K67),"")</f>
        <v/>
      </c>
      <c r="AI67" s="45" t="n">
        <v>0.946636199951172</v>
      </c>
      <c r="AJ67" s="47" t="n">
        <v>0</v>
      </c>
    </row>
    <row r="68" ht="15" customHeight="1" s="30">
      <c r="A68" s="73" t="inlineStr">
        <is>
          <t>6774.jpg</t>
        </is>
      </c>
      <c r="B68" s="45" t="n"/>
      <c r="C68" s="45" t="n"/>
      <c r="D68" s="45" t="n">
        <v>0.778575156576201</v>
      </c>
      <c r="E68" s="45" t="n"/>
      <c r="F68" s="45" t="n">
        <v>0.485660847880299</v>
      </c>
      <c r="G68" s="45" t="n">
        <v>0.986503280638221</v>
      </c>
      <c r="H68" s="45" t="n">
        <v>0.94312534958941</v>
      </c>
      <c r="I68" s="45" t="n"/>
      <c r="J68" s="45" t="n">
        <v>0.508305647840532</v>
      </c>
      <c r="K68" s="45" t="n">
        <v>0.8493714781101001</v>
      </c>
      <c r="L68" s="45" t="n"/>
      <c r="M68" s="45" t="n"/>
      <c r="N68" s="45" t="n">
        <v>0.822353914002205</v>
      </c>
      <c r="O68" s="45" t="n"/>
      <c r="P68" s="45" t="n">
        <v>0.937424789410349</v>
      </c>
      <c r="Q68" s="45" t="n">
        <v>0.988881893560875</v>
      </c>
      <c r="R68" s="45" t="n">
        <v>0.9698482827609201</v>
      </c>
      <c r="S68" s="45" t="n"/>
      <c r="T68" s="45" t="n">
        <v>0.616935483870968</v>
      </c>
      <c r="U68" s="45" t="n">
        <v>0.926853165754443</v>
      </c>
      <c r="V68" s="45" t="n"/>
      <c r="W68" s="45" t="n"/>
      <c r="X68" s="45" t="n">
        <v>0.9360000000000001</v>
      </c>
      <c r="Y68" s="45" t="n"/>
      <c r="Z68" s="45" t="n">
        <v>0.501932989690722</v>
      </c>
      <c r="AA68" s="45" t="n">
        <v>0.997567666175696</v>
      </c>
      <c r="AB68" s="45" t="n">
        <v>0.971613970035577</v>
      </c>
      <c r="AC68" s="45" t="n"/>
      <c r="AD68" s="45" t="n">
        <v>0.742718446601942</v>
      </c>
      <c r="AE68" s="45" t="n">
        <v>0.91039723890751</v>
      </c>
      <c r="AF68" s="75">
        <f>IFERROR(AVERAGE(L68:U68),"")</f>
        <v/>
      </c>
      <c r="AG68" s="75">
        <f>IFERROR(AVERAGE(V68:AE68),"")</f>
        <v/>
      </c>
      <c r="AH68" s="75">
        <f>IFERROR(AVERAGE(B68:K68),"")</f>
        <v/>
      </c>
      <c r="AI68" s="45" t="n">
        <v>0.961040496826172</v>
      </c>
      <c r="AJ68" s="47" t="n">
        <v>0</v>
      </c>
    </row>
    <row r="69" ht="15" customHeight="1" s="30">
      <c r="A69" s="73" t="inlineStr">
        <is>
          <t>6775.jpg</t>
        </is>
      </c>
      <c r="B69" s="45" t="n"/>
      <c r="C69" s="45" t="n"/>
      <c r="D69" s="45" t="n">
        <v>0.782924725883947</v>
      </c>
      <c r="E69" s="45" t="n"/>
      <c r="F69" s="45" t="n">
        <v>0.526612398246713</v>
      </c>
      <c r="G69" s="45" t="n">
        <v>0.986107793965449</v>
      </c>
      <c r="H69" s="45" t="n">
        <v>0.941178919670589</v>
      </c>
      <c r="I69" s="45" t="n"/>
      <c r="J69" s="45" t="n">
        <v>0.434173669467787</v>
      </c>
      <c r="K69" s="45" t="n">
        <v>0.853148106654717</v>
      </c>
      <c r="L69" s="45" t="n"/>
      <c r="M69" s="45" t="n"/>
      <c r="N69" s="45" t="n">
        <v>0.828444792074045</v>
      </c>
      <c r="O69" s="45" t="n"/>
      <c r="P69" s="45" t="n">
        <v>0.901393354769561</v>
      </c>
      <c r="Q69" s="45" t="n">
        <v>0.98908689229295</v>
      </c>
      <c r="R69" s="45" t="n">
        <v>0.964765229563748</v>
      </c>
      <c r="S69" s="45" t="n"/>
      <c r="T69" s="45" t="n">
        <v>0.536332179930796</v>
      </c>
      <c r="U69" s="45" t="n">
        <v>0.9369863013698631</v>
      </c>
      <c r="V69" s="45" t="n"/>
      <c r="W69" s="45" t="n"/>
      <c r="X69" s="45" t="n">
        <v>0.93442140861638</v>
      </c>
      <c r="Y69" s="45" t="n"/>
      <c r="Z69" s="45" t="n">
        <v>0.558803986710963</v>
      </c>
      <c r="AA69" s="45" t="n">
        <v>0.996954900329998</v>
      </c>
      <c r="AB69" s="45" t="n">
        <v>0.9746820161255551</v>
      </c>
      <c r="AC69" s="45" t="n"/>
      <c r="AD69" s="45" t="n">
        <v>0.695067264573991</v>
      </c>
      <c r="AE69" s="45" t="n">
        <v>0.905077332657201</v>
      </c>
      <c r="AF69" s="75">
        <f>IFERROR(AVERAGE(L69:U69),"")</f>
        <v/>
      </c>
      <c r="AG69" s="75">
        <f>IFERROR(AVERAGE(V69:AE69),"")</f>
        <v/>
      </c>
      <c r="AH69" s="75">
        <f>IFERROR(AVERAGE(B69:K69),"")</f>
        <v/>
      </c>
      <c r="AI69" s="45" t="n">
        <v>0.960590362548828</v>
      </c>
      <c r="AJ69" s="47" t="n">
        <v>0</v>
      </c>
    </row>
    <row r="70" ht="15" customHeight="1" s="30">
      <c r="A70" s="73" t="inlineStr">
        <is>
          <t>6778.jpg</t>
        </is>
      </c>
      <c r="B70" s="45" t="n"/>
      <c r="C70" s="45" t="n"/>
      <c r="D70" s="45" t="n">
        <v>0.822009907997169</v>
      </c>
      <c r="E70" s="45" t="n"/>
      <c r="F70" s="45" t="n">
        <v>0.550291545189504</v>
      </c>
      <c r="G70" s="45" t="n">
        <v>0.987060429267248</v>
      </c>
      <c r="H70" s="45" t="n">
        <v>0.9426700310430119</v>
      </c>
      <c r="I70" s="45" t="n"/>
      <c r="J70" s="45" t="n">
        <v>0.403846153846154</v>
      </c>
      <c r="K70" s="45" t="n">
        <v>0.858626667671667</v>
      </c>
      <c r="L70" s="45" t="n"/>
      <c r="M70" s="45" t="n"/>
      <c r="N70" s="45" t="n">
        <v>0.850500366121552</v>
      </c>
      <c r="O70" s="45" t="n"/>
      <c r="P70" s="45" t="n">
        <v>0.834254143646409</v>
      </c>
      <c r="Q70" s="45" t="n">
        <v>0.993093513557177</v>
      </c>
      <c r="R70" s="45" t="n">
        <v>0.969300491601803</v>
      </c>
      <c r="S70" s="45" t="n"/>
      <c r="T70" s="45" t="n">
        <v>0.5550660792951539</v>
      </c>
      <c r="U70" s="45" t="n">
        <v>0.931507073350233</v>
      </c>
      <c r="V70" s="45" t="n"/>
      <c r="W70" s="45" t="n"/>
      <c r="X70" s="45" t="n">
        <v>0.960843788777058</v>
      </c>
      <c r="Y70" s="45" t="n"/>
      <c r="Z70" s="45" t="n">
        <v>0.617839607201309</v>
      </c>
      <c r="AA70" s="45" t="n">
        <v>0.993882967973161</v>
      </c>
      <c r="AB70" s="45" t="n">
        <v>0.971680598215279</v>
      </c>
      <c r="AC70" s="45" t="n"/>
      <c r="AD70" s="45" t="n">
        <v>0.597156398104265</v>
      </c>
      <c r="AE70" s="45" t="n">
        <v>0.916488326065619</v>
      </c>
      <c r="AF70" s="75">
        <f>IFERROR(AVERAGE(L70:U70),"")</f>
        <v/>
      </c>
      <c r="AG70" s="75">
        <f>IFERROR(AVERAGE(V70:AE70),"")</f>
        <v/>
      </c>
      <c r="AH70" s="75">
        <f>IFERROR(AVERAGE(B70:K70),"")</f>
        <v/>
      </c>
      <c r="AI70" s="45" t="n">
        <v>0.962329864501953</v>
      </c>
      <c r="AJ70" s="47" t="n">
        <v>0</v>
      </c>
    </row>
    <row r="71" ht="15" customHeight="1" s="30">
      <c r="A71" s="73" t="inlineStr">
        <is>
          <t>6780.jpg</t>
        </is>
      </c>
      <c r="B71" s="45" t="n"/>
      <c r="C71" s="45" t="n"/>
      <c r="D71" s="45" t="n">
        <v>0.808127755928972</v>
      </c>
      <c r="E71" s="45" t="n"/>
      <c r="F71" s="45" t="n">
        <v>0</v>
      </c>
      <c r="G71" s="45" t="n">
        <v>0.978899643673882</v>
      </c>
      <c r="H71" s="45" t="n">
        <v>0.938955656858682</v>
      </c>
      <c r="I71" s="45" t="n"/>
      <c r="J71" s="45" t="n">
        <v>0.455089820359281</v>
      </c>
      <c r="K71" s="45" t="n">
        <v>0.850198675496689</v>
      </c>
      <c r="L71" s="45" t="n"/>
      <c r="M71" s="45" t="n"/>
      <c r="N71" s="45" t="n">
        <v>0.867579324462641</v>
      </c>
      <c r="O71" s="45" t="n"/>
      <c r="P71" s="45" t="n"/>
      <c r="Q71" s="45" t="n">
        <v>0.988241768566865</v>
      </c>
      <c r="R71" s="45" t="n">
        <v>0.960864808013639</v>
      </c>
      <c r="S71" s="45" t="n"/>
      <c r="T71" s="45" t="n">
        <v>0.567164179104478</v>
      </c>
      <c r="U71" s="45" t="n">
        <v>0.9369283165747651</v>
      </c>
      <c r="V71" s="45" t="n"/>
      <c r="W71" s="45" t="n"/>
      <c r="X71" s="45" t="n">
        <v>0.921832517672648</v>
      </c>
      <c r="Y71" s="45" t="n"/>
      <c r="Z71" s="45" t="n">
        <v>0</v>
      </c>
      <c r="AA71" s="45" t="n">
        <v>0.9904353207059839</v>
      </c>
      <c r="AB71" s="45" t="n">
        <v>0.976291840463305</v>
      </c>
      <c r="AC71" s="45" t="n"/>
      <c r="AD71" s="45" t="n">
        <v>0.6972477064220181</v>
      </c>
      <c r="AE71" s="45" t="n">
        <v>0.901812335118091</v>
      </c>
      <c r="AF71" s="75">
        <f>IFERROR(AVERAGE(L71:U71),"")</f>
        <v/>
      </c>
      <c r="AG71" s="75">
        <f>IFERROR(AVERAGE(V71:AE71),"")</f>
        <v/>
      </c>
      <c r="AH71" s="75">
        <f>IFERROR(AVERAGE(B71:K71),"")</f>
        <v/>
      </c>
      <c r="AI71" s="45" t="n">
        <v>0.959831237792969</v>
      </c>
      <c r="AJ71" s="47" t="n">
        <v>0</v>
      </c>
    </row>
    <row r="72" ht="15" customHeight="1" s="30">
      <c r="A72" s="73" t="inlineStr">
        <is>
          <t>6785.jpg</t>
        </is>
      </c>
      <c r="B72" s="45" t="n"/>
      <c r="C72" s="45" t="n"/>
      <c r="D72" s="45" t="n">
        <v>0.829163174907219</v>
      </c>
      <c r="E72" s="45" t="n"/>
      <c r="F72" s="45" t="n">
        <v>0.7520661157024791</v>
      </c>
      <c r="G72" s="45" t="n">
        <v>0.978817482140637</v>
      </c>
      <c r="H72" s="45" t="n">
        <v>0.950307444646769</v>
      </c>
      <c r="I72" s="45" t="n"/>
      <c r="J72" s="45" t="n"/>
      <c r="K72" s="45" t="n">
        <v>0.900449771110548</v>
      </c>
      <c r="L72" s="45" t="n"/>
      <c r="M72" s="45" t="n"/>
      <c r="N72" s="45" t="n">
        <v>0.8965695792880261</v>
      </c>
      <c r="O72" s="45" t="n"/>
      <c r="P72" s="45" t="n">
        <v>0.883495145631068</v>
      </c>
      <c r="Q72" s="45" t="n">
        <v>0.98868093064802</v>
      </c>
      <c r="R72" s="45" t="n">
        <v>0.97855919997826</v>
      </c>
      <c r="S72" s="45" t="n"/>
      <c r="T72" s="45" t="n"/>
      <c r="U72" s="45" t="n">
        <v>0.942962165788481</v>
      </c>
      <c r="V72" s="45" t="n"/>
      <c r="W72" s="45" t="n"/>
      <c r="X72" s="45" t="n">
        <v>0.916865236960551</v>
      </c>
      <c r="Y72" s="45" t="n"/>
      <c r="Z72" s="45" t="n">
        <v>0.834862385321101</v>
      </c>
      <c r="AA72" s="45" t="n">
        <v>0.989910564561207</v>
      </c>
      <c r="AB72" s="45" t="n">
        <v>0.9705153083225529</v>
      </c>
      <c r="AC72" s="45" t="n"/>
      <c r="AD72" s="45" t="n"/>
      <c r="AE72" s="45" t="n">
        <v>0.952319114699489</v>
      </c>
      <c r="AF72" s="75">
        <f>IFERROR(AVERAGE(L72:U72),"")</f>
        <v/>
      </c>
      <c r="AG72" s="75">
        <f>IFERROR(AVERAGE(V72:AE72),"")</f>
        <v/>
      </c>
      <c r="AH72" s="75">
        <f>IFERROR(AVERAGE(B72:K72),"")</f>
        <v/>
      </c>
      <c r="AI72" s="45" t="n">
        <v>0.968894958496094</v>
      </c>
      <c r="AJ72" s="47" t="n">
        <v>0</v>
      </c>
    </row>
    <row r="73" ht="15" customHeight="1" s="30">
      <c r="A73" s="73" t="inlineStr">
        <is>
          <t>6786.jpg</t>
        </is>
      </c>
      <c r="B73" s="45" t="n"/>
      <c r="C73" s="45" t="n"/>
      <c r="D73" s="45" t="n">
        <v>0.826046511627907</v>
      </c>
      <c r="E73" s="45" t="n"/>
      <c r="F73" s="45" t="n">
        <v>0.53125</v>
      </c>
      <c r="G73" s="45" t="n">
        <v>0.977061622111464</v>
      </c>
      <c r="H73" s="45" t="n">
        <v>0.95420051396147</v>
      </c>
      <c r="I73" s="45" t="n"/>
      <c r="J73" s="45" t="n">
        <v>0</v>
      </c>
      <c r="K73" s="45" t="n">
        <v>0.902948619061151</v>
      </c>
      <c r="L73" s="45" t="n"/>
      <c r="M73" s="45" t="n"/>
      <c r="N73" s="45" t="n">
        <v>0.8915662650602409</v>
      </c>
      <c r="O73" s="45" t="n"/>
      <c r="P73" s="45" t="n">
        <v>0.603340292275574</v>
      </c>
      <c r="Q73" s="45" t="n">
        <v>0.990014347202296</v>
      </c>
      <c r="R73" s="45" t="n">
        <v>0.973826182618262</v>
      </c>
      <c r="S73" s="45" t="n"/>
      <c r="T73" s="45" t="n"/>
      <c r="U73" s="45" t="n">
        <v>0.954702187629663</v>
      </c>
      <c r="V73" s="45" t="n"/>
      <c r="W73" s="45" t="n"/>
      <c r="X73" s="45" t="n">
        <v>0.918304033092037</v>
      </c>
      <c r="Y73" s="45" t="n"/>
      <c r="Z73" s="45" t="n">
        <v>0.81638418079096</v>
      </c>
      <c r="AA73" s="45" t="n">
        <v>0.986786408877703</v>
      </c>
      <c r="AB73" s="45" t="n">
        <v>0.9793163875809821</v>
      </c>
      <c r="AC73" s="45" t="n"/>
      <c r="AD73" s="45" t="n">
        <v>0</v>
      </c>
      <c r="AE73" s="45" t="n">
        <v>0.943364483338753</v>
      </c>
      <c r="AF73" s="75">
        <f>IFERROR(AVERAGE(L73:U73),"")</f>
        <v/>
      </c>
      <c r="AG73" s="75">
        <f>IFERROR(AVERAGE(V73:AE73),"")</f>
        <v/>
      </c>
      <c r="AH73" s="75">
        <f>IFERROR(AVERAGE(B73:K73),"")</f>
        <v/>
      </c>
      <c r="AI73" s="45" t="n">
        <v>0.96917724609375</v>
      </c>
      <c r="AJ73" s="47" t="n">
        <v>0</v>
      </c>
    </row>
    <row r="74" ht="15" customHeight="1" s="30">
      <c r="A74" s="73" t="inlineStr">
        <is>
          <t>6794.jpg</t>
        </is>
      </c>
      <c r="B74" s="45" t="n"/>
      <c r="C74" s="45" t="n"/>
      <c r="D74" s="45" t="n">
        <v>0.812432626661876</v>
      </c>
      <c r="E74" s="45" t="n"/>
      <c r="F74" s="45" t="n">
        <v>0.711659764256133</v>
      </c>
      <c r="G74" s="45" t="n"/>
      <c r="H74" s="45" t="n">
        <v>0.8659803853376919</v>
      </c>
      <c r="I74" s="45" t="n">
        <v>0.896</v>
      </c>
      <c r="J74" s="45" t="n"/>
      <c r="K74" s="45" t="n">
        <v>0.899301623796523</v>
      </c>
      <c r="L74" s="45" t="n"/>
      <c r="M74" s="45" t="n"/>
      <c r="N74" s="45" t="n">
        <v>0.948008385744235</v>
      </c>
      <c r="O74" s="45" t="n"/>
      <c r="P74" s="45" t="n">
        <v>0.83360698559594</v>
      </c>
      <c r="Q74" s="45" t="n"/>
      <c r="R74" s="45" t="n">
        <v>0.909862901575609</v>
      </c>
      <c r="S74" s="45" t="n">
        <v>0.903225806451613</v>
      </c>
      <c r="T74" s="45" t="n"/>
      <c r="U74" s="45" t="n">
        <v>0.953726675891665</v>
      </c>
      <c r="V74" s="45" t="n"/>
      <c r="W74" s="45" t="n"/>
      <c r="X74" s="45" t="n">
        <v>0.850319669048515</v>
      </c>
      <c r="Y74" s="45" t="n"/>
      <c r="Z74" s="45" t="n">
        <v>0.829490178604582</v>
      </c>
      <c r="AA74" s="45" t="n"/>
      <c r="AB74" s="45" t="n">
        <v>0.94724428619252</v>
      </c>
      <c r="AC74" s="45" t="n">
        <v>0.991150442477876</v>
      </c>
      <c r="AD74" s="45" t="n"/>
      <c r="AE74" s="45" t="n">
        <v>0.940330801038561</v>
      </c>
      <c r="AF74" s="75">
        <f>IFERROR(AVERAGE(L74:U74),"")</f>
        <v/>
      </c>
      <c r="AG74" s="75">
        <f>IFERROR(AVERAGE(V74:AE74),"")</f>
        <v/>
      </c>
      <c r="AH74" s="75">
        <f>IFERROR(AVERAGE(B74:K74),"")</f>
        <v/>
      </c>
      <c r="AI74" s="45" t="n">
        <v>0.929851531982422</v>
      </c>
      <c r="AJ74" s="47" t="n">
        <v>0</v>
      </c>
    </row>
    <row r="75" ht="15" customHeight="1" s="30">
      <c r="A75" s="73" t="inlineStr">
        <is>
          <t>6795.jpg</t>
        </is>
      </c>
      <c r="B75" s="45" t="n"/>
      <c r="C75" s="45" t="n"/>
      <c r="D75" s="45" t="n">
        <v>0.9226431621592029</v>
      </c>
      <c r="E75" s="45" t="n"/>
      <c r="F75" s="45" t="n">
        <v>0.809967041015625</v>
      </c>
      <c r="G75" s="45" t="n"/>
      <c r="H75" s="45" t="n">
        <v>0.878644058981094</v>
      </c>
      <c r="I75" s="45" t="n">
        <v>0.837476099426386</v>
      </c>
      <c r="J75" s="45" t="n">
        <v>0.809542743538767</v>
      </c>
      <c r="K75" s="45" t="n">
        <v>0.889002882077796</v>
      </c>
      <c r="L75" s="45" t="n"/>
      <c r="M75" s="45" t="n"/>
      <c r="N75" s="45" t="n">
        <v>0.97444348077479</v>
      </c>
      <c r="O75" s="45" t="n"/>
      <c r="P75" s="45" t="n">
        <v>0.838286851331291</v>
      </c>
      <c r="Q75" s="45" t="n"/>
      <c r="R75" s="45" t="n">
        <v>0.916505038722891</v>
      </c>
      <c r="S75" s="45" t="n">
        <v>0.840690978886756</v>
      </c>
      <c r="T75" s="45" t="n">
        <v>0.9360919540229889</v>
      </c>
      <c r="U75" s="45" t="n">
        <v>0.9630674963257611</v>
      </c>
      <c r="V75" s="45" t="n"/>
      <c r="W75" s="45" t="n"/>
      <c r="X75" s="45" t="n">
        <v>0.94552289048474</v>
      </c>
      <c r="Y75" s="45" t="n"/>
      <c r="Z75" s="45" t="n">
        <v>0.9599609375</v>
      </c>
      <c r="AA75" s="45" t="n"/>
      <c r="AB75" s="45" t="n">
        <v>0.955095406360424</v>
      </c>
      <c r="AC75" s="45" t="n">
        <v>0.995454545454546</v>
      </c>
      <c r="AD75" s="45" t="n">
        <v>0.8569023569023571</v>
      </c>
      <c r="AE75" s="45" t="n">
        <v>0.920380696826129</v>
      </c>
      <c r="AF75" s="75">
        <f>IFERROR(AVERAGE(L75:U75),"")</f>
        <v/>
      </c>
      <c r="AG75" s="75">
        <f>IFERROR(AVERAGE(V75:AE75),"")</f>
        <v/>
      </c>
      <c r="AH75" s="75">
        <f>IFERROR(AVERAGE(B75:K75),"")</f>
        <v/>
      </c>
      <c r="AI75" s="45" t="n">
        <v>0.935184478759766</v>
      </c>
      <c r="AJ75" s="47" t="n">
        <v>0</v>
      </c>
    </row>
    <row r="76" ht="15" customHeight="1" s="30">
      <c r="A76" s="73" t="inlineStr">
        <is>
          <t>6796.jpg</t>
        </is>
      </c>
      <c r="B76" s="45" t="n"/>
      <c r="C76" s="45" t="n"/>
      <c r="D76" s="45" t="n">
        <v>0.904240136273652</v>
      </c>
      <c r="E76" s="45" t="n"/>
      <c r="F76" s="45" t="n">
        <v>0.16394502829426</v>
      </c>
      <c r="G76" s="45" t="n"/>
      <c r="H76" s="45" t="n">
        <v>0.932945674116155</v>
      </c>
      <c r="I76" s="45" t="n">
        <v>0.548757170172084</v>
      </c>
      <c r="J76" s="45" t="n">
        <v>0.857888398233641</v>
      </c>
      <c r="K76" s="45" t="n">
        <v>0.899676762839698</v>
      </c>
      <c r="L76" s="45" t="n"/>
      <c r="M76" s="45" t="n"/>
      <c r="N76" s="45" t="n">
        <v>0.93698120408358</v>
      </c>
      <c r="O76" s="45" t="n"/>
      <c r="P76" s="45" t="n">
        <v>0.17280163599182</v>
      </c>
      <c r="Q76" s="45" t="n"/>
      <c r="R76" s="45" t="n">
        <v>0.964814883239728</v>
      </c>
      <c r="S76" s="45" t="n">
        <v>0.560546875</v>
      </c>
      <c r="T76" s="45" t="n">
        <v>0.91363830696879</v>
      </c>
      <c r="U76" s="45" t="n">
        <v>0.968061381403625</v>
      </c>
      <c r="V76" s="45" t="n"/>
      <c r="W76" s="45" t="n"/>
      <c r="X76" s="45" t="n">
        <v>0.962794117647059</v>
      </c>
      <c r="Y76" s="45" t="n"/>
      <c r="Z76" s="45" t="n">
        <v>0.7618332081142</v>
      </c>
      <c r="AA76" s="45" t="n"/>
      <c r="AB76" s="45" t="n">
        <v>0.965805168986084</v>
      </c>
      <c r="AC76" s="45" t="n">
        <v>0.963087248322148</v>
      </c>
      <c r="AD76" s="45" t="n">
        <v>0.933595456531236</v>
      </c>
      <c r="AE76" s="45" t="n">
        <v>0.927198278853494</v>
      </c>
      <c r="AF76" s="75">
        <f>IFERROR(AVERAGE(L76:U76),"")</f>
        <v/>
      </c>
      <c r="AG76" s="75">
        <f>IFERROR(AVERAGE(V76:AE76),"")</f>
        <v/>
      </c>
      <c r="AH76" s="75">
        <f>IFERROR(AVERAGE(B76:K76),"")</f>
        <v/>
      </c>
      <c r="AI76" s="45" t="n">
        <v>0.945152282714844</v>
      </c>
      <c r="AJ76" s="47" t="n">
        <v>0</v>
      </c>
    </row>
    <row r="77" ht="15" customHeight="1" s="30">
      <c r="A77" s="73" t="inlineStr">
        <is>
          <t>6809.jpg</t>
        </is>
      </c>
      <c r="B77" s="45" t="n"/>
      <c r="C77" s="45" t="n"/>
      <c r="D77" s="45" t="n"/>
      <c r="E77" s="45" t="n"/>
      <c r="F77" s="45" t="n"/>
      <c r="G77" s="45" t="n"/>
      <c r="H77" s="45" t="n">
        <v>0.901305688781402</v>
      </c>
      <c r="I77" s="45" t="n"/>
      <c r="J77" s="45" t="n"/>
      <c r="K77" s="45" t="n">
        <v>0.962902245578554</v>
      </c>
      <c r="L77" s="45" t="n"/>
      <c r="M77" s="45" t="n"/>
      <c r="N77" s="45" t="n"/>
      <c r="O77" s="45" t="n"/>
      <c r="P77" s="45" t="n"/>
      <c r="Q77" s="45" t="n"/>
      <c r="R77" s="45" t="n">
        <v>0.926171029668412</v>
      </c>
      <c r="S77" s="45" t="n"/>
      <c r="T77" s="45" t="n"/>
      <c r="U77" s="45" t="n">
        <v>0.9896283310326</v>
      </c>
      <c r="V77" s="45" t="n"/>
      <c r="W77" s="45" t="n"/>
      <c r="X77" s="45" t="n"/>
      <c r="Y77" s="45" t="n"/>
      <c r="Z77" s="45" t="n"/>
      <c r="AA77" s="45" t="n"/>
      <c r="AB77" s="45" t="n">
        <v>0.971074319675611</v>
      </c>
      <c r="AC77" s="45" t="n"/>
      <c r="AD77" s="45" t="n"/>
      <c r="AE77" s="45" t="n">
        <v>0.97271850220037</v>
      </c>
      <c r="AF77" s="75">
        <f>IFERROR(AVERAGE(L77:U77),"")</f>
        <v/>
      </c>
      <c r="AG77" s="75">
        <f>IFERROR(AVERAGE(V77:AE77),"")</f>
        <v/>
      </c>
      <c r="AH77" s="75">
        <f>IFERROR(AVERAGE(B77:K77),"")</f>
        <v/>
      </c>
      <c r="AI77" s="45" t="n">
        <v>0.9722900390625</v>
      </c>
      <c r="AJ77" s="47" t="n">
        <v>0</v>
      </c>
    </row>
    <row r="78" ht="15" customHeight="1" s="30">
      <c r="A78" s="73" t="inlineStr">
        <is>
          <t>6815.jpg</t>
        </is>
      </c>
      <c r="B78" s="45" t="n"/>
      <c r="C78" s="45" t="n"/>
      <c r="D78" s="45" t="n">
        <v>0.552115583075335</v>
      </c>
      <c r="E78" s="45" t="n"/>
      <c r="F78" s="45" t="n"/>
      <c r="G78" s="45" t="n"/>
      <c r="H78" s="45" t="n">
        <v>0.973725431014295</v>
      </c>
      <c r="I78" s="45" t="n"/>
      <c r="J78" s="45" t="n">
        <v>0.574329224075417</v>
      </c>
      <c r="K78" s="45" t="n">
        <v>0.899594602099184</v>
      </c>
      <c r="L78" s="45" t="n"/>
      <c r="M78" s="45" t="n"/>
      <c r="N78" s="45" t="n">
        <v>0.924805531547105</v>
      </c>
      <c r="O78" s="45" t="n"/>
      <c r="P78" s="45" t="n"/>
      <c r="Q78" s="45" t="n"/>
      <c r="R78" s="45" t="n">
        <v>0.989340665150954</v>
      </c>
      <c r="S78" s="45" t="n"/>
      <c r="T78" s="45" t="n">
        <v>0.701505757307352</v>
      </c>
      <c r="U78" s="45" t="n">
        <v>0.931365080277702</v>
      </c>
      <c r="V78" s="45" t="n"/>
      <c r="W78" s="45" t="n"/>
      <c r="X78" s="45" t="n">
        <v>0.578065910318747</v>
      </c>
      <c r="Y78" s="45" t="n"/>
      <c r="Z78" s="45" t="n"/>
      <c r="AA78" s="45" t="n"/>
      <c r="AB78" s="45" t="n">
        <v>0.984049183000521</v>
      </c>
      <c r="AC78" s="45" t="n"/>
      <c r="AD78" s="45" t="n">
        <v>0.760076775431862</v>
      </c>
      <c r="AE78" s="45" t="n">
        <v>0.963466313770389</v>
      </c>
      <c r="AF78" s="75">
        <f>IFERROR(AVERAGE(L78:U78),"")</f>
        <v/>
      </c>
      <c r="AG78" s="75">
        <f>IFERROR(AVERAGE(V78:AE78),"")</f>
        <v/>
      </c>
      <c r="AH78" s="75">
        <f>IFERROR(AVERAGE(B78:K78),"")</f>
        <v/>
      </c>
      <c r="AI78" s="45" t="n">
        <v>0.972145080566406</v>
      </c>
      <c r="AJ78" s="47" t="n">
        <v>0</v>
      </c>
    </row>
    <row r="79" ht="15" customHeight="1" s="30">
      <c r="A79" s="73" t="inlineStr">
        <is>
          <t>6825.jpg</t>
        </is>
      </c>
      <c r="B79" s="45" t="n"/>
      <c r="C79" s="45" t="n"/>
      <c r="D79" s="45" t="n">
        <v>0.937117690237338</v>
      </c>
      <c r="E79" s="45" t="n"/>
      <c r="F79" s="45" t="n">
        <v>0.89110335456023</v>
      </c>
      <c r="G79" s="45" t="n"/>
      <c r="H79" s="45" t="n">
        <v>0.90769406017036</v>
      </c>
      <c r="I79" s="45" t="n">
        <v>0.0833333333333333</v>
      </c>
      <c r="J79" s="45" t="n"/>
      <c r="K79" s="45" t="n">
        <v>0.915271737208727</v>
      </c>
      <c r="L79" s="45" t="n"/>
      <c r="M79" s="45" t="n"/>
      <c r="N79" s="45" t="n">
        <v>0.97554763117677</v>
      </c>
      <c r="O79" s="45" t="n"/>
      <c r="P79" s="45" t="n">
        <v>0.925298804780876</v>
      </c>
      <c r="Q79" s="45" t="n"/>
      <c r="R79" s="45" t="n">
        <v>0.96074806419634</v>
      </c>
      <c r="S79" s="45" t="n">
        <v>1</v>
      </c>
      <c r="T79" s="45" t="n"/>
      <c r="U79" s="45" t="n">
        <v>0.954151707054548</v>
      </c>
      <c r="V79" s="45" t="n"/>
      <c r="W79" s="45" t="n"/>
      <c r="X79" s="45" t="n">
        <v>0.959659233274869</v>
      </c>
      <c r="Y79" s="45" t="n"/>
      <c r="Z79" s="45" t="n">
        <v>0.9601791507565099</v>
      </c>
      <c r="AA79" s="45" t="n"/>
      <c r="AB79" s="45" t="n">
        <v>0.942651717293866</v>
      </c>
      <c r="AC79" s="45" t="n">
        <v>0.0833333333333333</v>
      </c>
      <c r="AD79" s="45" t="n"/>
      <c r="AE79" s="45" t="n">
        <v>0.957377243205657</v>
      </c>
      <c r="AF79" s="75">
        <f>IFERROR(AVERAGE(L79:U79),"")</f>
        <v/>
      </c>
      <c r="AG79" s="75">
        <f>IFERROR(AVERAGE(V79:AE79),"")</f>
        <v/>
      </c>
      <c r="AH79" s="75">
        <f>IFERROR(AVERAGE(B79:K79),"")</f>
        <v/>
      </c>
      <c r="AI79" s="45" t="n">
        <v>0.953334808349609</v>
      </c>
      <c r="AJ79" s="47" t="n">
        <v>0</v>
      </c>
    </row>
    <row r="80" ht="15" customHeight="1" s="30">
      <c r="A80" s="73" t="inlineStr">
        <is>
          <t>6827.jpg</t>
        </is>
      </c>
      <c r="B80" s="45" t="n"/>
      <c r="C80" s="45" t="n"/>
      <c r="D80" s="45" t="n"/>
      <c r="E80" s="45" t="n"/>
      <c r="F80" s="45" t="n">
        <v>0.875925925925926</v>
      </c>
      <c r="G80" s="45" t="n"/>
      <c r="H80" s="45" t="n">
        <v>0.93059090970965</v>
      </c>
      <c r="I80" s="45" t="n"/>
      <c r="J80" s="45" t="n"/>
      <c r="K80" s="45" t="n">
        <v>0.947802438261957</v>
      </c>
      <c r="L80" s="45" t="n"/>
      <c r="M80" s="45" t="n"/>
      <c r="N80" s="45" t="n"/>
      <c r="O80" s="45" t="n"/>
      <c r="P80" s="45" t="n">
        <v>0.9889486260454</v>
      </c>
      <c r="Q80" s="45" t="n"/>
      <c r="R80" s="45" t="n">
        <v>0.947224031147382</v>
      </c>
      <c r="S80" s="45" t="n"/>
      <c r="T80" s="45" t="n"/>
      <c r="U80" s="45" t="n">
        <v>0.968752196611946</v>
      </c>
      <c r="V80" s="45" t="n"/>
      <c r="W80" s="45" t="n"/>
      <c r="X80" s="45" t="n"/>
      <c r="Y80" s="45" t="n"/>
      <c r="Z80" s="45" t="n">
        <v>0.884584557841304</v>
      </c>
      <c r="AA80" s="45" t="n"/>
      <c r="AB80" s="45" t="n">
        <v>0.981479886295116</v>
      </c>
      <c r="AC80" s="45" t="n"/>
      <c r="AD80" s="45" t="n"/>
      <c r="AE80" s="45" t="n">
        <v>0.977692506126661</v>
      </c>
      <c r="AF80" s="75">
        <f>IFERROR(AVERAGE(L80:U80),"")</f>
        <v/>
      </c>
      <c r="AG80" s="75">
        <f>IFERROR(AVERAGE(V80:AE80),"")</f>
        <v/>
      </c>
      <c r="AH80" s="75">
        <f>IFERROR(AVERAGE(B80:K80),"")</f>
        <v/>
      </c>
      <c r="AI80" s="45" t="n">
        <v>0.965404510498047</v>
      </c>
      <c r="AJ80" s="47" t="n">
        <v>0</v>
      </c>
    </row>
    <row r="81" ht="15" customHeight="1" s="30">
      <c r="A81" s="73" t="inlineStr">
        <is>
          <t>6831.jpg</t>
        </is>
      </c>
      <c r="B81" s="45" t="n"/>
      <c r="C81" s="45" t="n"/>
      <c r="D81" s="45" t="n">
        <v>0.855712874547251</v>
      </c>
      <c r="E81" s="45" t="n"/>
      <c r="F81" s="45" t="n">
        <v>0.80790802019069</v>
      </c>
      <c r="G81" s="45" t="n"/>
      <c r="H81" s="45" t="n">
        <v>0.856767833407178</v>
      </c>
      <c r="I81" s="45" t="n">
        <v>0.723812621990891</v>
      </c>
      <c r="J81" s="45" t="n">
        <v>0.86586284853052</v>
      </c>
      <c r="K81" s="45" t="n">
        <v>0.804261350214957</v>
      </c>
      <c r="L81" s="45" t="n"/>
      <c r="M81" s="45" t="n"/>
      <c r="N81" s="45" t="n">
        <v>0.935627880184332</v>
      </c>
      <c r="O81" s="45" t="n"/>
      <c r="P81" s="45" t="n">
        <v>0.8249212588177109</v>
      </c>
      <c r="Q81" s="45" t="n"/>
      <c r="R81" s="45" t="n">
        <v>0.918208905613789</v>
      </c>
      <c r="S81" s="45" t="n">
        <v>0.80411998554391</v>
      </c>
      <c r="T81" s="45" t="n">
        <v>0.933766761479074</v>
      </c>
      <c r="U81" s="45" t="n">
        <v>0.919251371549527</v>
      </c>
      <c r="V81" s="45" t="n"/>
      <c r="W81" s="45" t="n"/>
      <c r="X81" s="45" t="n">
        <v>0.909243579875446</v>
      </c>
      <c r="Y81" s="45" t="n"/>
      <c r="Z81" s="45" t="n">
        <v>0.975107692307692</v>
      </c>
      <c r="AA81" s="45" t="n"/>
      <c r="AB81" s="45" t="n">
        <v>0.927557261062478</v>
      </c>
      <c r="AC81" s="45" t="n">
        <v>0.8787519747235391</v>
      </c>
      <c r="AD81" s="45" t="n">
        <v>0.922521075873143</v>
      </c>
      <c r="AE81" s="45" t="n">
        <v>0.865399865796377</v>
      </c>
      <c r="AF81" s="75">
        <f>IFERROR(AVERAGE(L81:U81),"")</f>
        <v/>
      </c>
      <c r="AG81" s="75">
        <f>IFERROR(AVERAGE(V81:AE81),"")</f>
        <v/>
      </c>
      <c r="AH81" s="75">
        <f>IFERROR(AVERAGE(B81:K81),"")</f>
        <v/>
      </c>
      <c r="AI81" s="45" t="n">
        <v>0.9066162109375</v>
      </c>
      <c r="AJ81" s="47" t="n">
        <v>0</v>
      </c>
    </row>
    <row r="82" ht="15" customHeight="1" s="30">
      <c r="A82" s="73" t="inlineStr">
        <is>
          <t>6844.jpg</t>
        </is>
      </c>
      <c r="B82" s="45" t="n"/>
      <c r="C82" s="45" t="n"/>
      <c r="D82" s="45" t="n">
        <v>0.913170844099205</v>
      </c>
      <c r="E82" s="45" t="n"/>
      <c r="F82" s="45" t="n">
        <v>0.859360262456428</v>
      </c>
      <c r="G82" s="45" t="n"/>
      <c r="H82" s="45" t="n">
        <v>0.848931713447843</v>
      </c>
      <c r="I82" s="45" t="n">
        <v>0</v>
      </c>
      <c r="J82" s="45" t="n">
        <v>0.469644902634593</v>
      </c>
      <c r="K82" s="45" t="n">
        <v>0.876084203483788</v>
      </c>
      <c r="L82" s="45" t="n"/>
      <c r="M82" s="45" t="n"/>
      <c r="N82" s="45" t="n">
        <v>0.940361997085042</v>
      </c>
      <c r="O82" s="45" t="n"/>
      <c r="P82" s="45" t="n">
        <v>0.885524731137358</v>
      </c>
      <c r="Q82" s="45" t="n"/>
      <c r="R82" s="45" t="n">
        <v>0.949311346388082</v>
      </c>
      <c r="S82" s="45" t="n">
        <v>0</v>
      </c>
      <c r="T82" s="45" t="n">
        <v>0.9225</v>
      </c>
      <c r="U82" s="45" t="n">
        <v>0.950453213974026</v>
      </c>
      <c r="V82" s="45" t="n"/>
      <c r="W82" s="45" t="n"/>
      <c r="X82" s="45" t="n">
        <v>0.9693068269163581</v>
      </c>
      <c r="Y82" s="45" t="n"/>
      <c r="Z82" s="45" t="n">
        <v>0.966760472411884</v>
      </c>
      <c r="AA82" s="45" t="n"/>
      <c r="AB82" s="45" t="n">
        <v>0.889239950851325</v>
      </c>
      <c r="AC82" s="45" t="n"/>
      <c r="AD82" s="45" t="n">
        <v>0.488936001060024</v>
      </c>
      <c r="AE82" s="45" t="n">
        <v>0.918009664577404</v>
      </c>
      <c r="AF82" s="75">
        <f>IFERROR(AVERAGE(L82:U82),"")</f>
        <v/>
      </c>
      <c r="AG82" s="75">
        <f>IFERROR(AVERAGE(V82:AE82),"")</f>
        <v/>
      </c>
      <c r="AH82" s="75">
        <f>IFERROR(AVERAGE(B82:K82),"")</f>
        <v/>
      </c>
      <c r="AI82" s="45" t="n">
        <v>0.921169281005859</v>
      </c>
      <c r="AJ82" s="47" t="n">
        <v>0</v>
      </c>
    </row>
    <row r="83" ht="15" customHeight="1" s="30">
      <c r="A83" s="73" t="inlineStr">
        <is>
          <t>6850.jpg</t>
        </is>
      </c>
      <c r="B83" s="45" t="n"/>
      <c r="C83" s="45" t="n"/>
      <c r="D83" s="45" t="n">
        <v>0.8484355952864689</v>
      </c>
      <c r="E83" s="45" t="n"/>
      <c r="F83" s="45" t="n"/>
      <c r="G83" s="45" t="n"/>
      <c r="H83" s="45" t="n">
        <v>0.959495576092614</v>
      </c>
      <c r="I83" s="45" t="n"/>
      <c r="J83" s="45" t="n"/>
      <c r="K83" s="45" t="n">
        <v>0.951301223538551</v>
      </c>
      <c r="L83" s="45" t="n"/>
      <c r="M83" s="45" t="n"/>
      <c r="N83" s="45" t="n">
        <v>0.953860210141617</v>
      </c>
      <c r="O83" s="45" t="n"/>
      <c r="P83" s="45" t="n"/>
      <c r="Q83" s="45" t="n"/>
      <c r="R83" s="45" t="n">
        <v>0.977326131186062</v>
      </c>
      <c r="S83" s="45" t="n"/>
      <c r="T83" s="45" t="n"/>
      <c r="U83" s="45" t="n">
        <v>0.9766630388727811</v>
      </c>
      <c r="V83" s="45" t="n"/>
      <c r="W83" s="45" t="n"/>
      <c r="X83" s="45" t="n">
        <v>0.884745762711864</v>
      </c>
      <c r="Y83" s="45" t="n"/>
      <c r="Z83" s="45" t="n"/>
      <c r="AA83" s="45" t="n"/>
      <c r="AB83" s="45" t="n">
        <v>0.981340411604336</v>
      </c>
      <c r="AC83" s="45" t="n"/>
      <c r="AD83" s="45" t="n"/>
      <c r="AE83" s="45" t="n">
        <v>0.97342817160317</v>
      </c>
      <c r="AF83" s="75">
        <f>IFERROR(AVERAGE(L83:U83),"")</f>
        <v/>
      </c>
      <c r="AG83" s="75">
        <f>IFERROR(AVERAGE(V83:AE83),"")</f>
        <v/>
      </c>
      <c r="AH83" s="75">
        <f>IFERROR(AVERAGE(B83:K83),"")</f>
        <v/>
      </c>
      <c r="AI83" s="45" t="n">
        <v>0.976825714111328</v>
      </c>
      <c r="AJ83" s="47" t="n">
        <v>0</v>
      </c>
    </row>
    <row r="84" ht="15" customHeight="1" s="30">
      <c r="A84" s="73" t="inlineStr">
        <is>
          <t>6856.jpg</t>
        </is>
      </c>
      <c r="B84" s="45" t="n"/>
      <c r="C84" s="45" t="n"/>
      <c r="D84" s="45" t="n">
        <v>0.93366243805369</v>
      </c>
      <c r="E84" s="45" t="n"/>
      <c r="F84" s="45" t="n">
        <v>0.70660621761658</v>
      </c>
      <c r="G84" s="45" t="n"/>
      <c r="H84" s="45" t="n">
        <v>0.898379532794645</v>
      </c>
      <c r="I84" s="45" t="n">
        <v>0.60856864654333</v>
      </c>
      <c r="J84" s="45" t="n">
        <v>0.69826435246996</v>
      </c>
      <c r="K84" s="45" t="n">
        <v>0.907371784680932</v>
      </c>
      <c r="L84" s="45" t="n"/>
      <c r="M84" s="45" t="n"/>
      <c r="N84" s="45" t="n">
        <v>0.953978494623656</v>
      </c>
      <c r="O84" s="45" t="n"/>
      <c r="P84" s="45" t="n">
        <v>0.93327630453379</v>
      </c>
      <c r="Q84" s="45" t="n"/>
      <c r="R84" s="45" t="n">
        <v>0.941974282614216</v>
      </c>
      <c r="S84" s="45" t="n">
        <v>0.802310654685494</v>
      </c>
      <c r="T84" s="45" t="n">
        <v>0.738700564971751</v>
      </c>
      <c r="U84" s="45" t="n">
        <v>0.956310842283397</v>
      </c>
      <c r="V84" s="45" t="n"/>
      <c r="W84" s="45" t="n"/>
      <c r="X84" s="45" t="n">
        <v>0.977699412931535</v>
      </c>
      <c r="Y84" s="45" t="n"/>
      <c r="Z84" s="45" t="n">
        <v>0.744201909959072</v>
      </c>
      <c r="AA84" s="45" t="n"/>
      <c r="AB84" s="45" t="n">
        <v>0.951008611949517</v>
      </c>
      <c r="AC84" s="45" t="n">
        <v>0.715922107674685</v>
      </c>
      <c r="AD84" s="45" t="n">
        <v>0.927304964539007</v>
      </c>
      <c r="AE84" s="45" t="n">
        <v>0.9466120458748311</v>
      </c>
      <c r="AF84" s="75">
        <f>IFERROR(AVERAGE(L84:U84),"")</f>
        <v/>
      </c>
      <c r="AG84" s="75">
        <f>IFERROR(AVERAGE(V84:AE84),"")</f>
        <v/>
      </c>
      <c r="AH84" s="75">
        <f>IFERROR(AVERAGE(B84:K84),"")</f>
        <v/>
      </c>
      <c r="AI84" s="45" t="n">
        <v>0.949764251708984</v>
      </c>
      <c r="AJ84" s="47" t="n">
        <v>0</v>
      </c>
    </row>
    <row r="85" ht="15" customHeight="1" s="30">
      <c r="A85" s="73" t="inlineStr">
        <is>
          <t>6893.jpg</t>
        </is>
      </c>
      <c r="B85" s="45" t="n"/>
      <c r="C85" s="45" t="n"/>
      <c r="D85" s="45" t="n">
        <v>0.930204189870061</v>
      </c>
      <c r="E85" s="45" t="n"/>
      <c r="F85" s="45" t="n">
        <v>0.755729295937784</v>
      </c>
      <c r="G85" s="45" t="n"/>
      <c r="H85" s="45" t="n">
        <v>0.891503342666133</v>
      </c>
      <c r="I85" s="45" t="n">
        <v>0.796232876712329</v>
      </c>
      <c r="J85" s="45" t="n"/>
      <c r="K85" s="45" t="n">
        <v>0.873615405691025</v>
      </c>
      <c r="L85" s="45" t="n"/>
      <c r="M85" s="45" t="n"/>
      <c r="N85" s="45" t="n">
        <v>0.954503401360544</v>
      </c>
      <c r="O85" s="45" t="n"/>
      <c r="P85" s="45" t="n">
        <v>0.785932458593246</v>
      </c>
      <c r="Q85" s="45" t="n"/>
      <c r="R85" s="45" t="n">
        <v>0.9370690690690689</v>
      </c>
      <c r="S85" s="45" t="n">
        <v>0.843920145190563</v>
      </c>
      <c r="T85" s="45" t="n"/>
      <c r="U85" s="45" t="n">
        <v>0.956339174771841</v>
      </c>
      <c r="V85" s="45" t="n"/>
      <c r="W85" s="45" t="n"/>
      <c r="X85" s="45" t="n">
        <v>0.973361451800877</v>
      </c>
      <c r="Y85" s="45" t="n"/>
      <c r="Z85" s="45" t="n">
        <v>0.951609542660694</v>
      </c>
      <c r="AA85" s="45" t="n"/>
      <c r="AB85" s="45" t="n">
        <v>0.9482775387158729</v>
      </c>
      <c r="AC85" s="45" t="n">
        <v>0.933734939759036</v>
      </c>
      <c r="AD85" s="45" t="n"/>
      <c r="AE85" s="45" t="n">
        <v>0.909906237260497</v>
      </c>
      <c r="AF85" s="75">
        <f>IFERROR(AVERAGE(L85:U85),"")</f>
        <v/>
      </c>
      <c r="AG85" s="75">
        <f>IFERROR(AVERAGE(V85:AE85),"")</f>
        <v/>
      </c>
      <c r="AH85" s="75">
        <f>IFERROR(AVERAGE(B85:K85),"")</f>
        <v/>
      </c>
      <c r="AI85" s="45" t="n">
        <v>0.933906555175781</v>
      </c>
      <c r="AJ85" s="47" t="n">
        <v>0</v>
      </c>
    </row>
    <row r="86" ht="15" customHeight="1" s="30">
      <c r="A86" s="73" t="inlineStr">
        <is>
          <t>6895.jpg</t>
        </is>
      </c>
      <c r="B86" s="45" t="n"/>
      <c r="C86" s="45" t="n"/>
      <c r="D86" s="45" t="n">
        <v>0.933119886161508</v>
      </c>
      <c r="E86" s="45" t="n"/>
      <c r="F86" s="45" t="n">
        <v>0.768564892104124</v>
      </c>
      <c r="G86" s="45" t="n"/>
      <c r="H86" s="45" t="n">
        <v>0.895839365860721</v>
      </c>
      <c r="I86" s="45" t="n">
        <v>0.76299112801014</v>
      </c>
      <c r="J86" s="45" t="n"/>
      <c r="K86" s="45" t="n">
        <v>0.874910770152726</v>
      </c>
      <c r="L86" s="45" t="n"/>
      <c r="M86" s="45" t="n"/>
      <c r="N86" s="45" t="n">
        <v>0.958591026650174</v>
      </c>
      <c r="O86" s="45" t="n"/>
      <c r="P86" s="45" t="n">
        <v>0.828942980993665</v>
      </c>
      <c r="Q86" s="45" t="n"/>
      <c r="R86" s="45" t="n">
        <v>0.931949543443472</v>
      </c>
      <c r="S86" s="45" t="n">
        <v>0.797879390324718</v>
      </c>
      <c r="T86" s="45" t="n"/>
      <c r="U86" s="45" t="n">
        <v>0.956075810396965</v>
      </c>
      <c r="V86" s="45" t="n"/>
      <c r="W86" s="45" t="n"/>
      <c r="X86" s="45" t="n">
        <v>0.9723125178215</v>
      </c>
      <c r="Y86" s="45" t="n"/>
      <c r="Z86" s="45" t="n">
        <v>0.9134332745443861</v>
      </c>
      <c r="AA86" s="45" t="n"/>
      <c r="AB86" s="45" t="n">
        <v>0.958541095824095</v>
      </c>
      <c r="AC86" s="45" t="n">
        <v>0.945797329143755</v>
      </c>
      <c r="AD86" s="45" t="n"/>
      <c r="AE86" s="45" t="n">
        <v>0.911550821779451</v>
      </c>
      <c r="AF86" s="75">
        <f>IFERROR(AVERAGE(L86:U86),"")</f>
        <v/>
      </c>
      <c r="AG86" s="75">
        <f>IFERROR(AVERAGE(V86:AE86),"")</f>
        <v/>
      </c>
      <c r="AH86" s="75">
        <f>IFERROR(AVERAGE(B86:K86),"")</f>
        <v/>
      </c>
      <c r="AI86" s="45" t="n">
        <v>0.938457489013672</v>
      </c>
      <c r="AJ86" s="47" t="n">
        <v>0</v>
      </c>
    </row>
    <row r="87" ht="15" customHeight="1" s="30">
      <c r="A87" s="73" t="inlineStr">
        <is>
          <t>6896.jpg</t>
        </is>
      </c>
      <c r="B87" s="45" t="n"/>
      <c r="C87" s="45" t="n"/>
      <c r="D87" s="45" t="n">
        <v>0.889810273618998</v>
      </c>
      <c r="E87" s="45" t="n"/>
      <c r="F87" s="45" t="n">
        <v>0.73516073095905</v>
      </c>
      <c r="G87" s="45" t="n"/>
      <c r="H87" s="45" t="n">
        <v>0.929285968512643</v>
      </c>
      <c r="I87" s="45" t="n">
        <v>0.79609756097561</v>
      </c>
      <c r="J87" s="45" t="n"/>
      <c r="K87" s="45" t="n">
        <v>0.867400328413924</v>
      </c>
      <c r="L87" s="45" t="n"/>
      <c r="M87" s="45" t="n"/>
      <c r="N87" s="45" t="n">
        <v>0.924007371418998</v>
      </c>
      <c r="O87" s="45" t="n"/>
      <c r="P87" s="45" t="n">
        <v>0.808908784031702</v>
      </c>
      <c r="Q87" s="45" t="n"/>
      <c r="R87" s="45" t="n">
        <v>0.96016618938078</v>
      </c>
      <c r="S87" s="45" t="n">
        <v>0.813559322033898</v>
      </c>
      <c r="T87" s="45" t="n"/>
      <c r="U87" s="45" t="n">
        <v>0.946396180853076</v>
      </c>
      <c r="V87" s="45" t="n"/>
      <c r="W87" s="45" t="n"/>
      <c r="X87" s="45" t="n">
        <v>0.96006823562178</v>
      </c>
      <c r="Y87" s="45" t="n"/>
      <c r="Z87" s="45" t="n">
        <v>0.889669087974173</v>
      </c>
      <c r="AA87" s="45" t="n"/>
      <c r="AB87" s="45" t="n">
        <v>0.966549046171295</v>
      </c>
      <c r="AC87" s="45" t="n">
        <v>0.973747016706444</v>
      </c>
      <c r="AD87" s="45" t="n"/>
      <c r="AE87" s="45" t="n">
        <v>0.912217097500805</v>
      </c>
      <c r="AF87" s="75">
        <f>IFERROR(AVERAGE(L87:U87),"")</f>
        <v/>
      </c>
      <c r="AG87" s="75">
        <f>IFERROR(AVERAGE(V87:AE87),"")</f>
        <v/>
      </c>
      <c r="AH87" s="75">
        <f>IFERROR(AVERAGE(B87:K87),"")</f>
        <v/>
      </c>
      <c r="AI87" s="45" t="n">
        <v>0.942905426025391</v>
      </c>
      <c r="AJ87" s="47" t="n">
        <v>0</v>
      </c>
    </row>
    <row r="88" ht="15" customHeight="1" s="30">
      <c r="A88" s="73" t="inlineStr">
        <is>
          <t>6898.jpg</t>
        </is>
      </c>
      <c r="B88" s="45" t="n"/>
      <c r="C88" s="45" t="n"/>
      <c r="D88" s="45" t="n">
        <v>0.915450893329105</v>
      </c>
      <c r="E88" s="45" t="n"/>
      <c r="F88" s="45" t="n">
        <v>0.678366762177651</v>
      </c>
      <c r="G88" s="45" t="n"/>
      <c r="H88" s="45" t="n">
        <v>0.933930897374374</v>
      </c>
      <c r="I88" s="45" t="n">
        <v>0.813532651455547</v>
      </c>
      <c r="J88" s="45" t="n"/>
      <c r="K88" s="45" t="n">
        <v>0.881132165075747</v>
      </c>
      <c r="L88" s="45" t="n"/>
      <c r="M88" s="45" t="n"/>
      <c r="N88" s="45" t="n">
        <v>0.950756224094864</v>
      </c>
      <c r="O88" s="45" t="n"/>
      <c r="P88" s="45" t="n">
        <v>0.707100190062449</v>
      </c>
      <c r="Q88" s="45" t="n"/>
      <c r="R88" s="45" t="n">
        <v>0.970653984200354</v>
      </c>
      <c r="S88" s="45" t="n">
        <v>0.908611599297012</v>
      </c>
      <c r="T88" s="45" t="n"/>
      <c r="U88" s="45" t="n">
        <v>0.950882515733585</v>
      </c>
      <c r="V88" s="45" t="n"/>
      <c r="W88" s="45" t="n"/>
      <c r="X88" s="45" t="n">
        <v>0.96101770157039</v>
      </c>
      <c r="Y88" s="45" t="n"/>
      <c r="Z88" s="45" t="n">
        <v>0.943483380128612</v>
      </c>
      <c r="AA88" s="45" t="n"/>
      <c r="AB88" s="45" t="n">
        <v>0.961067362721669</v>
      </c>
      <c r="AC88" s="45" t="n">
        <v>0.8860325621251069</v>
      </c>
      <c r="AD88" s="45" t="n"/>
      <c r="AE88" s="45" t="n">
        <v>0.923148876041117</v>
      </c>
      <c r="AF88" s="75">
        <f>IFERROR(AVERAGE(L88:U88),"")</f>
        <v/>
      </c>
      <c r="AG88" s="75">
        <f>IFERROR(AVERAGE(V88:AE88),"")</f>
        <v/>
      </c>
      <c r="AH88" s="75">
        <f>IFERROR(AVERAGE(B88:K88),"")</f>
        <v/>
      </c>
      <c r="AI88" s="45" t="n">
        <v>0.9454498291015631</v>
      </c>
      <c r="AJ88" s="47" t="n">
        <v>0</v>
      </c>
    </row>
    <row r="89" ht="15" customHeight="1" s="30">
      <c r="A89" s="73" t="inlineStr">
        <is>
          <t>6905.jpg</t>
        </is>
      </c>
      <c r="B89" s="45" t="n"/>
      <c r="C89" s="45" t="n"/>
      <c r="D89" s="45" t="n">
        <v>0.905457930873967</v>
      </c>
      <c r="E89" s="45" t="n"/>
      <c r="F89" s="45" t="n">
        <v>0.7853205888509039</v>
      </c>
      <c r="G89" s="45" t="n"/>
      <c r="H89" s="45" t="n">
        <v>0.924679647195873</v>
      </c>
      <c r="I89" s="45" t="n">
        <v>0.72071129707113</v>
      </c>
      <c r="J89" s="45" t="n"/>
      <c r="K89" s="45" t="n">
        <v>0.905469538345106</v>
      </c>
      <c r="L89" s="45" t="n"/>
      <c r="M89" s="45" t="n"/>
      <c r="N89" s="45" t="n">
        <v>0.951289888739455</v>
      </c>
      <c r="O89" s="45" t="n"/>
      <c r="P89" s="45" t="n">
        <v>0.82389108476065</v>
      </c>
      <c r="Q89" s="45" t="n"/>
      <c r="R89" s="45" t="n">
        <v>0.940020752503835</v>
      </c>
      <c r="S89" s="45" t="n">
        <v>0.765555555555556</v>
      </c>
      <c r="T89" s="45" t="n"/>
      <c r="U89" s="45" t="n">
        <v>0.97317472018166</v>
      </c>
      <c r="V89" s="45" t="n"/>
      <c r="W89" s="45" t="n"/>
      <c r="X89" s="45" t="n">
        <v>0.949478925145828</v>
      </c>
      <c r="Y89" s="45" t="n"/>
      <c r="Z89" s="45" t="n">
        <v>0.943741091640815</v>
      </c>
      <c r="AA89" s="45" t="n"/>
      <c r="AB89" s="45" t="n">
        <v>0.982656778711815</v>
      </c>
      <c r="AC89" s="45" t="n">
        <v>0.924832214765101</v>
      </c>
      <c r="AD89" s="45" t="n"/>
      <c r="AE89" s="45" t="n">
        <v>0.928647660936919</v>
      </c>
      <c r="AF89" s="75">
        <f>IFERROR(AVERAGE(L89:U89),"")</f>
        <v/>
      </c>
      <c r="AG89" s="75">
        <f>IFERROR(AVERAGE(V89:AE89),"")</f>
        <v/>
      </c>
      <c r="AH89" s="75">
        <f>IFERROR(AVERAGE(B89:K89),"")</f>
        <v/>
      </c>
      <c r="AI89" s="45" t="n">
        <v>0.950054168701172</v>
      </c>
      <c r="AJ89" s="47" t="n">
        <v>0</v>
      </c>
    </row>
    <row r="90" ht="15" customHeight="1" s="30">
      <c r="A90" s="73" t="inlineStr">
        <is>
          <t>6906.jpg</t>
        </is>
      </c>
      <c r="B90" s="45" t="n"/>
      <c r="C90" s="45" t="n"/>
      <c r="D90" s="45" t="n">
        <v>0.922116567848753</v>
      </c>
      <c r="E90" s="45" t="n"/>
      <c r="F90" s="45" t="n">
        <v>0.742505811819405</v>
      </c>
      <c r="G90" s="45" t="n"/>
      <c r="H90" s="45" t="n">
        <v>0.917779225008141</v>
      </c>
      <c r="I90" s="45" t="n">
        <v>0.725264611136677</v>
      </c>
      <c r="J90" s="45" t="n"/>
      <c r="K90" s="45" t="n">
        <v>0.9064482587139649</v>
      </c>
      <c r="L90" s="45" t="n"/>
      <c r="M90" s="45" t="n"/>
      <c r="N90" s="45" t="n">
        <v>0.963146456030474</v>
      </c>
      <c r="O90" s="45" t="n"/>
      <c r="P90" s="45" t="n">
        <v>0.778861579926843</v>
      </c>
      <c r="Q90" s="45" t="n"/>
      <c r="R90" s="45" t="n">
        <v>0.980124921422553</v>
      </c>
      <c r="S90" s="45" t="n">
        <v>0.738519212746017</v>
      </c>
      <c r="T90" s="45" t="n"/>
      <c r="U90" s="45" t="n">
        <v>0.948237946227999</v>
      </c>
      <c r="V90" s="45" t="n"/>
      <c r="W90" s="45" t="n"/>
      <c r="X90" s="45" t="n">
        <v>0.955842107704439</v>
      </c>
      <c r="Y90" s="45" t="n"/>
      <c r="Z90" s="45" t="n">
        <v>0.940852713178295</v>
      </c>
      <c r="AA90" s="45" t="n"/>
      <c r="AB90" s="45" t="n">
        <v>0.935183767228178</v>
      </c>
      <c r="AC90" s="45" t="n">
        <v>0.9758513931888551</v>
      </c>
      <c r="AD90" s="45" t="n"/>
      <c r="AE90" s="45" t="n">
        <v>0.953634929568533</v>
      </c>
      <c r="AF90" s="75">
        <f>IFERROR(AVERAGE(L90:U90),"")</f>
        <v/>
      </c>
      <c r="AG90" s="75">
        <f>IFERROR(AVERAGE(V90:AE90),"")</f>
        <v/>
      </c>
      <c r="AH90" s="75">
        <f>IFERROR(AVERAGE(B90:K90),"")</f>
        <v/>
      </c>
      <c r="AI90" s="45" t="n">
        <v>0.947990417480469</v>
      </c>
      <c r="AJ90" s="47" t="n">
        <v>0</v>
      </c>
    </row>
    <row r="91" ht="15" customHeight="1" s="30">
      <c r="A91" s="73" t="inlineStr">
        <is>
          <t>6907.jpg</t>
        </is>
      </c>
      <c r="B91" s="45" t="n"/>
      <c r="C91" s="45" t="n"/>
      <c r="D91" s="45" t="n">
        <v>0.891957527062289</v>
      </c>
      <c r="E91" s="45" t="n"/>
      <c r="F91" s="45" t="n">
        <v>0.7387082348431609</v>
      </c>
      <c r="G91" s="45" t="n"/>
      <c r="H91" s="45" t="n">
        <v>0.925559239714192</v>
      </c>
      <c r="I91" s="45" t="n">
        <v>0.855140186915888</v>
      </c>
      <c r="J91" s="45" t="n"/>
      <c r="K91" s="45" t="n">
        <v>0.902760183018615</v>
      </c>
      <c r="L91" s="45" t="n"/>
      <c r="M91" s="45" t="n"/>
      <c r="N91" s="45" t="n">
        <v>0.926596886741814</v>
      </c>
      <c r="O91" s="45" t="n"/>
      <c r="P91" s="45" t="n">
        <v>0.750210860961526</v>
      </c>
      <c r="Q91" s="45" t="n"/>
      <c r="R91" s="45" t="n">
        <v>0.945427658255021</v>
      </c>
      <c r="S91" s="45" t="n">
        <v>0.893651654910472</v>
      </c>
      <c r="T91" s="45" t="n"/>
      <c r="U91" s="45" t="n">
        <v>0.978743859875905</v>
      </c>
      <c r="V91" s="45" t="n"/>
      <c r="W91" s="45" t="n"/>
      <c r="X91" s="45" t="n">
        <v>0.959774268875792</v>
      </c>
      <c r="Y91" s="45" t="n"/>
      <c r="Z91" s="45" t="n">
        <v>0.979666186562738</v>
      </c>
      <c r="AA91" s="45" t="n"/>
      <c r="AB91" s="45" t="n">
        <v>0.977798608712813</v>
      </c>
      <c r="AC91" s="45" t="n">
        <v>0.952023121387283</v>
      </c>
      <c r="AD91" s="45" t="n"/>
      <c r="AE91" s="45" t="n">
        <v>0.920813602608636</v>
      </c>
      <c r="AF91" s="75">
        <f>IFERROR(AVERAGE(L91:U91),"")</f>
        <v/>
      </c>
      <c r="AG91" s="75">
        <f>IFERROR(AVERAGE(V91:AE91),"")</f>
        <v/>
      </c>
      <c r="AH91" s="75">
        <f>IFERROR(AVERAGE(B91:K91),"")</f>
        <v/>
      </c>
      <c r="AI91" s="45" t="n">
        <v>0.9466400146484381</v>
      </c>
      <c r="AJ91" s="47" t="n">
        <v>0</v>
      </c>
    </row>
    <row r="92" ht="15" customHeight="1" s="30">
      <c r="A92" s="73" t="inlineStr">
        <is>
          <t>6910.jpg</t>
        </is>
      </c>
      <c r="B92" s="45" t="n"/>
      <c r="C92" s="45" t="n"/>
      <c r="D92" s="45" t="n">
        <v>0.8756678484046539</v>
      </c>
      <c r="E92" s="45" t="n"/>
      <c r="F92" s="45" t="n">
        <v>0.731103915815036</v>
      </c>
      <c r="G92" s="45" t="n">
        <v>0.697949709864604</v>
      </c>
      <c r="H92" s="45" t="n">
        <v>0.911501367496761</v>
      </c>
      <c r="I92" s="45" t="n">
        <v>0.8036036036036041</v>
      </c>
      <c r="J92" s="45" t="n"/>
      <c r="K92" s="45" t="n">
        <v>0.872553901919325</v>
      </c>
      <c r="L92" s="45" t="n"/>
      <c r="M92" s="45" t="n"/>
      <c r="N92" s="45" t="n">
        <v>0.966066214950697</v>
      </c>
      <c r="O92" s="45" t="n"/>
      <c r="P92" s="45" t="n">
        <v>0.821219526055578</v>
      </c>
      <c r="Q92" s="45" t="n">
        <v>0.993392798149984</v>
      </c>
      <c r="R92" s="45" t="n">
        <v>0.9435553568767699</v>
      </c>
      <c r="S92" s="45" t="n">
        <v>0.867704280155642</v>
      </c>
      <c r="T92" s="45" t="n"/>
      <c r="U92" s="45" t="n">
        <v>0.92440754194776</v>
      </c>
      <c r="V92" s="45" t="n"/>
      <c r="W92" s="45" t="n"/>
      <c r="X92" s="45" t="n">
        <v>0.903456802843748</v>
      </c>
      <c r="Y92" s="45" t="n"/>
      <c r="Z92" s="45" t="n">
        <v>0.869494584837545</v>
      </c>
      <c r="AA92" s="45" t="n">
        <v>0.701204819277108</v>
      </c>
      <c r="AB92" s="45" t="n">
        <v>0.964069303614385</v>
      </c>
      <c r="AC92" s="45" t="n">
        <v>0.915811088295688</v>
      </c>
      <c r="AD92" s="45" t="n"/>
      <c r="AE92" s="45" t="n">
        <v>0.93959613541859</v>
      </c>
      <c r="AF92" s="75">
        <f>IFERROR(AVERAGE(L92:U92),"")</f>
        <v/>
      </c>
      <c r="AG92" s="75">
        <f>IFERROR(AVERAGE(V92:AE92),"")</f>
        <v/>
      </c>
      <c r="AH92" s="75">
        <f>IFERROR(AVERAGE(B92:K92),"")</f>
        <v/>
      </c>
      <c r="AI92" s="45" t="n">
        <v>0.9298858642578131</v>
      </c>
      <c r="AJ92" s="47" t="n">
        <v>0</v>
      </c>
    </row>
    <row r="93" ht="15" customHeight="1" s="30">
      <c r="A93" s="73" t="inlineStr">
        <is>
          <t>6912.jpg</t>
        </is>
      </c>
      <c r="B93" s="45" t="n"/>
      <c r="C93" s="45" t="n"/>
      <c r="D93" s="45" t="n">
        <v>0.583431257344301</v>
      </c>
      <c r="E93" s="45" t="n"/>
      <c r="F93" s="45" t="n">
        <v>0.768914545613575</v>
      </c>
      <c r="G93" s="45" t="n"/>
      <c r="H93" s="45" t="n">
        <v>0.931116104148894</v>
      </c>
      <c r="I93" s="45" t="n"/>
      <c r="J93" s="45" t="n"/>
      <c r="K93" s="45" t="n">
        <v>0.864238719370046</v>
      </c>
      <c r="L93" s="45" t="n"/>
      <c r="M93" s="45" t="n"/>
      <c r="N93" s="45" t="n">
        <v>0.588967971530249</v>
      </c>
      <c r="O93" s="45" t="n"/>
      <c r="P93" s="45" t="n">
        <v>0.822049747521975</v>
      </c>
      <c r="Q93" s="45" t="n"/>
      <c r="R93" s="45" t="n">
        <v>0.955719033847406</v>
      </c>
      <c r="S93" s="45" t="n"/>
      <c r="T93" s="45" t="n"/>
      <c r="U93" s="45" t="n">
        <v>0.952246132770135</v>
      </c>
      <c r="V93" s="45" t="n"/>
      <c r="W93" s="45" t="n"/>
      <c r="X93" s="45" t="n">
        <v>0.98414271555996</v>
      </c>
      <c r="Y93" s="45" t="n"/>
      <c r="Z93" s="45" t="n">
        <v>0.922455403987408</v>
      </c>
      <c r="AA93" s="45" t="n"/>
      <c r="AB93" s="45" t="n">
        <v>0.973096507254839</v>
      </c>
      <c r="AC93" s="45" t="n"/>
      <c r="AD93" s="45" t="n"/>
      <c r="AE93" s="45" t="n">
        <v>0.903392106745224</v>
      </c>
      <c r="AF93" s="75">
        <f>IFERROR(AVERAGE(L93:U93),"")</f>
        <v/>
      </c>
      <c r="AG93" s="75">
        <f>IFERROR(AVERAGE(V93:AE93),"")</f>
        <v/>
      </c>
      <c r="AH93" s="75">
        <f>IFERROR(AVERAGE(B93:K93),"")</f>
        <v/>
      </c>
      <c r="AI93" s="45" t="n">
        <v>0.946746826171875</v>
      </c>
      <c r="AJ93" s="47" t="n">
        <v>0</v>
      </c>
    </row>
    <row r="94" ht="15" customHeight="1" s="30">
      <c r="A94" s="73" t="inlineStr">
        <is>
          <t>6915.jpg</t>
        </is>
      </c>
      <c r="B94" s="45" t="n">
        <v>0</v>
      </c>
      <c r="C94" s="45" t="n"/>
      <c r="D94" s="45" t="n">
        <v>0</v>
      </c>
      <c r="E94" s="45" t="n"/>
      <c r="F94" s="45" t="n">
        <v>0</v>
      </c>
      <c r="G94" s="45" t="n"/>
      <c r="H94" s="45" t="n">
        <v>0.970326392984721</v>
      </c>
      <c r="I94" s="45" t="n"/>
      <c r="J94" s="45" t="n"/>
      <c r="K94" s="45" t="n">
        <v>0.901666451362873</v>
      </c>
      <c r="L94" s="45" t="n"/>
      <c r="M94" s="45" t="n"/>
      <c r="N94" s="45" t="n">
        <v>0</v>
      </c>
      <c r="O94" s="45" t="n"/>
      <c r="P94" s="45" t="n">
        <v>0</v>
      </c>
      <c r="Q94" s="45" t="n"/>
      <c r="R94" s="45" t="n">
        <v>0.973131180107587</v>
      </c>
      <c r="S94" s="45" t="n"/>
      <c r="T94" s="45" t="n"/>
      <c r="U94" s="45" t="n">
        <v>0.977084062434381</v>
      </c>
      <c r="V94" s="45" t="n">
        <v>0</v>
      </c>
      <c r="W94" s="45" t="n"/>
      <c r="X94" s="45" t="n"/>
      <c r="Y94" s="45" t="n"/>
      <c r="Z94" s="45" t="n"/>
      <c r="AA94" s="45" t="n"/>
      <c r="AB94" s="45" t="n">
        <v>0.997038426135032</v>
      </c>
      <c r="AC94" s="45" t="n"/>
      <c r="AD94" s="45" t="n"/>
      <c r="AE94" s="45" t="n">
        <v>0.921146054663271</v>
      </c>
      <c r="AF94" s="75">
        <f>IFERROR(AVERAGE(L94:U94),"")</f>
        <v/>
      </c>
      <c r="AG94" s="75">
        <f>IFERROR(AVERAGE(V94:AE94),"")</f>
        <v/>
      </c>
      <c r="AH94" s="75">
        <f>IFERROR(AVERAGE(B94:K94),"")</f>
        <v/>
      </c>
      <c r="AI94" s="45" t="n">
        <v>0.931499481201172</v>
      </c>
      <c r="AJ94" s="47" t="n">
        <v>0</v>
      </c>
    </row>
    <row r="95" ht="15" customHeight="1" s="30">
      <c r="A95" s="73" t="inlineStr">
        <is>
          <t>6920.jpg</t>
        </is>
      </c>
      <c r="B95" s="45" t="n">
        <v>0</v>
      </c>
      <c r="C95" s="45" t="n"/>
      <c r="D95" s="45" t="n">
        <v>0</v>
      </c>
      <c r="E95" s="45" t="n"/>
      <c r="F95" s="45" t="n">
        <v>0.203432424149556</v>
      </c>
      <c r="G95" s="45" t="n">
        <v>0.744355796978442</v>
      </c>
      <c r="H95" s="45" t="n">
        <v>0.9088564335686879</v>
      </c>
      <c r="I95" s="45" t="n"/>
      <c r="J95" s="45" t="n"/>
      <c r="K95" s="45" t="n">
        <v>0.938861885394967</v>
      </c>
      <c r="L95" s="45" t="n"/>
      <c r="M95" s="45" t="n"/>
      <c r="N95" s="45" t="n">
        <v>0</v>
      </c>
      <c r="O95" s="45" t="n"/>
      <c r="P95" s="45" t="n">
        <v>0.234624628870352</v>
      </c>
      <c r="Q95" s="45" t="n">
        <v>0.952536113826436</v>
      </c>
      <c r="R95" s="45" t="n">
        <v>0.934898683381422</v>
      </c>
      <c r="S95" s="45" t="n"/>
      <c r="T95" s="45" t="n"/>
      <c r="U95" s="45" t="n">
        <v>0.957283975590843</v>
      </c>
      <c r="V95" s="45" t="n">
        <v>0</v>
      </c>
      <c r="W95" s="45" t="n"/>
      <c r="X95" s="45" t="n"/>
      <c r="Y95" s="45" t="n"/>
      <c r="Z95" s="45" t="n">
        <v>0.604774052478134</v>
      </c>
      <c r="AA95" s="45" t="n">
        <v>0.773027765535478</v>
      </c>
      <c r="AB95" s="45" t="n">
        <v>0.970262270255387</v>
      </c>
      <c r="AC95" s="45" t="n"/>
      <c r="AD95" s="45" t="n"/>
      <c r="AE95" s="45" t="n">
        <v>0.979914411927112</v>
      </c>
      <c r="AF95" s="75">
        <f>IFERROR(AVERAGE(L95:U95),"")</f>
        <v/>
      </c>
      <c r="AG95" s="75">
        <f>IFERROR(AVERAGE(V95:AE95),"")</f>
        <v/>
      </c>
      <c r="AH95" s="75">
        <f>IFERROR(AVERAGE(B95:K95),"")</f>
        <v/>
      </c>
      <c r="AI95" s="45" t="n">
        <v>0.911075592041016</v>
      </c>
      <c r="AJ95" s="47" t="n">
        <v>0</v>
      </c>
    </row>
    <row r="96" ht="15" customHeight="1" s="30">
      <c r="A96" s="73" t="inlineStr">
        <is>
          <t>6927.jpg</t>
        </is>
      </c>
      <c r="B96" s="45" t="n"/>
      <c r="C96" s="45" t="n"/>
      <c r="D96" s="45" t="n">
        <v>0.604798962386511</v>
      </c>
      <c r="E96" s="45" t="n"/>
      <c r="F96" s="45" t="n">
        <v>0.937084585268142</v>
      </c>
      <c r="G96" s="45" t="n"/>
      <c r="H96" s="45" t="n">
        <v>0.863753377784174</v>
      </c>
      <c r="I96" s="45" t="n">
        <v>0.468634686346863</v>
      </c>
      <c r="J96" s="45" t="n"/>
      <c r="K96" s="45" t="n">
        <v>0.787320661481877</v>
      </c>
      <c r="L96" s="45" t="n"/>
      <c r="M96" s="45" t="n"/>
      <c r="N96" s="45" t="n">
        <v>0.609542483660131</v>
      </c>
      <c r="O96" s="45" t="n"/>
      <c r="P96" s="45" t="n">
        <v>0.949818886556076</v>
      </c>
      <c r="Q96" s="45" t="n"/>
      <c r="R96" s="45" t="n">
        <v>0.872021695615678</v>
      </c>
      <c r="S96" s="45" t="n">
        <v>0.876428725469053</v>
      </c>
      <c r="T96" s="45" t="n"/>
      <c r="U96" s="45" t="n">
        <v>0.968970283344852</v>
      </c>
      <c r="V96" s="45" t="n"/>
      <c r="W96" s="45" t="n"/>
      <c r="X96" s="45" t="n">
        <v>0.987296210035994</v>
      </c>
      <c r="Y96" s="45" t="n"/>
      <c r="Z96" s="45" t="n">
        <v>0.985894580549369</v>
      </c>
      <c r="AA96" s="45" t="n"/>
      <c r="AB96" s="45" t="n">
        <v>0.989141779429806</v>
      </c>
      <c r="AC96" s="45" t="n">
        <v>0.501790344486974</v>
      </c>
      <c r="AD96" s="45" t="n"/>
      <c r="AE96" s="45" t="n">
        <v>0.80768455312653</v>
      </c>
      <c r="AF96" s="75">
        <f>IFERROR(AVERAGE(L96:U96),"")</f>
        <v/>
      </c>
      <c r="AG96" s="75">
        <f>IFERROR(AVERAGE(V96:AE96),"")</f>
        <v/>
      </c>
      <c r="AH96" s="75">
        <f>IFERROR(AVERAGE(B96:K96),"")</f>
        <v/>
      </c>
      <c r="AI96" s="45" t="n">
        <v>0.924434661865234</v>
      </c>
      <c r="AJ96" s="47" t="n">
        <v>0</v>
      </c>
    </row>
    <row r="97" ht="15" customHeight="1" s="30">
      <c r="A97" s="73" t="inlineStr">
        <is>
          <t>6951.jpg</t>
        </is>
      </c>
      <c r="B97" s="45" t="n"/>
      <c r="C97" s="45" t="n"/>
      <c r="D97" s="45" t="n">
        <v>0.9514978601997151</v>
      </c>
      <c r="E97" s="45" t="n"/>
      <c r="F97" s="45" t="n">
        <v>0.874487570867859</v>
      </c>
      <c r="G97" s="45" t="n">
        <v>0.827883607130374</v>
      </c>
      <c r="H97" s="45" t="n">
        <v>0.892087331386455</v>
      </c>
      <c r="I97" s="45" t="n"/>
      <c r="J97" s="45" t="n">
        <v>0.833333333333333</v>
      </c>
      <c r="K97" s="45" t="n">
        <v>0.6691870943263279</v>
      </c>
      <c r="L97" s="45" t="n"/>
      <c r="M97" s="45" t="n"/>
      <c r="N97" s="45" t="n">
        <v>0.96579185520362</v>
      </c>
      <c r="O97" s="45" t="n"/>
      <c r="P97" s="45" t="n">
        <v>0.8911207892631769</v>
      </c>
      <c r="Q97" s="45" t="n">
        <v>0.97219172318964</v>
      </c>
      <c r="R97" s="45" t="n">
        <v>0.943634661674245</v>
      </c>
      <c r="S97" s="45" t="n"/>
      <c r="T97" s="45" t="n">
        <v>0.978951984213988</v>
      </c>
      <c r="U97" s="45" t="n">
        <v>0.720156327471053</v>
      </c>
      <c r="V97" s="45" t="n"/>
      <c r="W97" s="45" t="n"/>
      <c r="X97" s="45" t="n">
        <v>0.984683520944824</v>
      </c>
      <c r="Y97" s="45" t="n"/>
      <c r="Z97" s="45" t="n">
        <v>0.9791015625</v>
      </c>
      <c r="AA97" s="45" t="n">
        <v>0.847963841403383</v>
      </c>
      <c r="AB97" s="45" t="n">
        <v>0.94229896108752</v>
      </c>
      <c r="AC97" s="45" t="n"/>
      <c r="AD97" s="45" t="n">
        <v>0.848536678069175</v>
      </c>
      <c r="AE97" s="45" t="n">
        <v>0.904352921786584</v>
      </c>
      <c r="AF97" s="75">
        <f>IFERROR(AVERAGE(L97:U97),"")</f>
        <v/>
      </c>
      <c r="AG97" s="75">
        <f>IFERROR(AVERAGE(V97:AE97),"")</f>
        <v/>
      </c>
      <c r="AH97" s="75">
        <f>IFERROR(AVERAGE(B97:K97),"")</f>
        <v/>
      </c>
      <c r="AI97" s="45" t="n">
        <v>0.894618988037109</v>
      </c>
      <c r="AJ97" s="47" t="n">
        <v>0</v>
      </c>
    </row>
    <row r="98" ht="15" customHeight="1" s="30">
      <c r="A98" s="73" t="inlineStr">
        <is>
          <t>6952.jpg</t>
        </is>
      </c>
      <c r="B98" s="45" t="n"/>
      <c r="C98" s="45" t="n"/>
      <c r="D98" s="45" t="n">
        <v>0.832316803677186</v>
      </c>
      <c r="E98" s="45" t="n"/>
      <c r="F98" s="45" t="n">
        <v>0.92807780906066</v>
      </c>
      <c r="G98" s="45" t="n">
        <v>0.95505655889126</v>
      </c>
      <c r="H98" s="45" t="n">
        <v>0.883570264576902</v>
      </c>
      <c r="I98" s="45" t="n"/>
      <c r="J98" s="45" t="n">
        <v>0.752096694622595</v>
      </c>
      <c r="K98" s="45" t="n">
        <v>0.865062624829672</v>
      </c>
      <c r="L98" s="45" t="n"/>
      <c r="M98" s="45" t="n"/>
      <c r="N98" s="45" t="n">
        <v>0.904428008836807</v>
      </c>
      <c r="O98" s="45" t="n"/>
      <c r="P98" s="45" t="n">
        <v>0.942226071892594</v>
      </c>
      <c r="Q98" s="45" t="n">
        <v>0.955814444303744</v>
      </c>
      <c r="R98" s="45" t="n">
        <v>0.967826667440646</v>
      </c>
      <c r="S98" s="45" t="n"/>
      <c r="T98" s="45" t="n">
        <v>0.990578297595842</v>
      </c>
      <c r="U98" s="45" t="n">
        <v>0.931593864956681</v>
      </c>
      <c r="V98" s="45" t="n"/>
      <c r="W98" s="45" t="n"/>
      <c r="X98" s="45" t="n">
        <v>0.912579957356077</v>
      </c>
      <c r="Y98" s="45" t="n"/>
      <c r="Z98" s="45" t="n">
        <v>0.9840781617514019</v>
      </c>
      <c r="AA98" s="45" t="n">
        <v>0.999170454044037</v>
      </c>
      <c r="AB98" s="45" t="n">
        <v>0.910308208894106</v>
      </c>
      <c r="AC98" s="45" t="n"/>
      <c r="AD98" s="45" t="n">
        <v>0.757515527950311</v>
      </c>
      <c r="AE98" s="45" t="n">
        <v>0.923739286426151</v>
      </c>
      <c r="AF98" s="75">
        <f>IFERROR(AVERAGE(L98:U98),"")</f>
        <v/>
      </c>
      <c r="AG98" s="75">
        <f>IFERROR(AVERAGE(V98:AE98),"")</f>
        <v/>
      </c>
      <c r="AH98" s="75">
        <f>IFERROR(AVERAGE(B98:K98),"")</f>
        <v/>
      </c>
      <c r="AI98" s="45" t="n">
        <v>0.952144622802734</v>
      </c>
      <c r="AJ98" s="47" t="n">
        <v>0</v>
      </c>
    </row>
    <row r="99" ht="15" customHeight="1" s="30">
      <c r="A99" s="73" t="inlineStr">
        <is>
          <t>6954.jpg</t>
        </is>
      </c>
      <c r="B99" s="45" t="n"/>
      <c r="C99" s="45" t="n"/>
      <c r="D99" s="45" t="n">
        <v>0.754332508093697</v>
      </c>
      <c r="E99" s="45" t="n"/>
      <c r="F99" s="45" t="n">
        <v>0.771591672263264</v>
      </c>
      <c r="G99" s="45" t="n">
        <v>0.978853888734021</v>
      </c>
      <c r="H99" s="45" t="n">
        <v>0.935428480153342</v>
      </c>
      <c r="I99" s="45" t="n"/>
      <c r="J99" s="45" t="n">
        <v>0.643916913946588</v>
      </c>
      <c r="K99" s="45" t="n">
        <v>0.78569392447882</v>
      </c>
      <c r="L99" s="45" t="n"/>
      <c r="M99" s="45" t="n"/>
      <c r="N99" s="45" t="n">
        <v>0.8393727484636579</v>
      </c>
      <c r="O99" s="45" t="n"/>
      <c r="P99" s="45" t="n">
        <v>0.906286976413978</v>
      </c>
      <c r="Q99" s="45" t="n">
        <v>0.98726754227417</v>
      </c>
      <c r="R99" s="45" t="n">
        <v>0.959498316525899</v>
      </c>
      <c r="S99" s="45" t="n"/>
      <c r="T99" s="45" t="n">
        <v>0.8198992443324939</v>
      </c>
      <c r="U99" s="45" t="n">
        <v>0.891034482758621</v>
      </c>
      <c r="V99" s="45" t="n"/>
      <c r="W99" s="45" t="n"/>
      <c r="X99" s="45" t="n">
        <v>0.881593590028934</v>
      </c>
      <c r="Y99" s="45" t="n"/>
      <c r="Z99" s="45" t="n">
        <v>0.838490731280105</v>
      </c>
      <c r="AA99" s="45" t="n">
        <v>0.991368879567637</v>
      </c>
      <c r="AB99" s="45" t="n">
        <v>0.973882892920692</v>
      </c>
      <c r="AC99" s="45" t="n"/>
      <c r="AD99" s="45" t="n">
        <v>0.75</v>
      </c>
      <c r="AE99" s="45" t="n">
        <v>0.869210553978766</v>
      </c>
      <c r="AF99" s="75">
        <f>IFERROR(AVERAGE(L99:U99),"")</f>
        <v/>
      </c>
      <c r="AG99" s="75">
        <f>IFERROR(AVERAGE(V99:AE99),"")</f>
        <v/>
      </c>
      <c r="AH99" s="75">
        <f>IFERROR(AVERAGE(B99:K99),"")</f>
        <v/>
      </c>
      <c r="AI99" s="45" t="n">
        <v>0.949710845947266</v>
      </c>
      <c r="AJ99" s="47" t="n">
        <v>0</v>
      </c>
    </row>
    <row r="100" ht="15" customHeight="1" s="30">
      <c r="A100" s="73" t="inlineStr">
        <is>
          <t>6959.jpg</t>
        </is>
      </c>
      <c r="B100" s="45" t="n"/>
      <c r="C100" s="45" t="n"/>
      <c r="D100" s="45" t="n">
        <v>0.930452904778274</v>
      </c>
      <c r="E100" s="45" t="n"/>
      <c r="F100" s="45" t="n">
        <v>0.810676673526208</v>
      </c>
      <c r="G100" s="45" t="n"/>
      <c r="H100" s="45" t="n">
        <v>0.889369116390794</v>
      </c>
      <c r="I100" s="45" t="n">
        <v>0.7698056801195819</v>
      </c>
      <c r="J100" s="45" t="n">
        <v>0.917652411282985</v>
      </c>
      <c r="K100" s="45" t="n">
        <v>0.840383373888861</v>
      </c>
      <c r="L100" s="45" t="n"/>
      <c r="M100" s="45" t="n"/>
      <c r="N100" s="45" t="n">
        <v>0.9769891939449999</v>
      </c>
      <c r="O100" s="45" t="n"/>
      <c r="P100" s="45" t="n">
        <v>0.934160970846701</v>
      </c>
      <c r="Q100" s="45" t="n"/>
      <c r="R100" s="45" t="n">
        <v>0.9313310423014241</v>
      </c>
      <c r="S100" s="45" t="n">
        <v>0.789877300613497</v>
      </c>
      <c r="T100" s="45" t="n">
        <v>0.976282671829623</v>
      </c>
      <c r="U100" s="45" t="n">
        <v>0.916648611171296</v>
      </c>
      <c r="V100" s="45" t="n"/>
      <c r="W100" s="45" t="n"/>
      <c r="X100" s="45" t="n">
        <v>0.951300412968983</v>
      </c>
      <c r="Y100" s="45" t="n"/>
      <c r="Z100" s="45" t="n">
        <v>0.859802285274105</v>
      </c>
      <c r="AA100" s="45" t="n"/>
      <c r="AB100" s="45" t="n">
        <v>0.951782255290646</v>
      </c>
      <c r="AC100" s="45" t="n">
        <v>0.968045112781955</v>
      </c>
      <c r="AD100" s="45" t="n">
        <v>0.938576081898558</v>
      </c>
      <c r="AE100" s="45" t="n">
        <v>0.9099160133776391</v>
      </c>
      <c r="AF100" s="75">
        <f>IFERROR(AVERAGE(L100:U100),"")</f>
        <v/>
      </c>
      <c r="AG100" s="75">
        <f>IFERROR(AVERAGE(V100:AE100),"")</f>
        <v/>
      </c>
      <c r="AH100" s="75">
        <f>IFERROR(AVERAGE(B100:K100),"")</f>
        <v/>
      </c>
      <c r="AI100" s="45" t="n">
        <v>0.933963775634766</v>
      </c>
      <c r="AJ100" s="47" t="n">
        <v>0</v>
      </c>
    </row>
    <row r="101" ht="15" customHeight="1" s="30">
      <c r="A101" s="73" t="inlineStr">
        <is>
          <t>6961.jpg</t>
        </is>
      </c>
      <c r="B101" s="45" t="n"/>
      <c r="C101" s="45" t="n"/>
      <c r="D101" s="45" t="n">
        <v>0.889276158287565</v>
      </c>
      <c r="E101" s="45" t="n"/>
      <c r="F101" s="45" t="n">
        <v>0.772073441702725</v>
      </c>
      <c r="G101" s="45" t="n">
        <v>0</v>
      </c>
      <c r="H101" s="45" t="n">
        <v>0.905651612903226</v>
      </c>
      <c r="I101" s="45" t="n">
        <v>0.681818181818182</v>
      </c>
      <c r="J101" s="45" t="n">
        <v>0.784656329553344</v>
      </c>
      <c r="K101" s="45" t="n">
        <v>0.801929893263448</v>
      </c>
      <c r="L101" s="45" t="n"/>
      <c r="M101" s="45" t="n"/>
      <c r="N101" s="45" t="n">
        <v>0.913394084038475</v>
      </c>
      <c r="O101" s="45" t="n"/>
      <c r="P101" s="45" t="n">
        <v>0.8871867231069011</v>
      </c>
      <c r="Q101" s="45" t="n">
        <v>0</v>
      </c>
      <c r="R101" s="45" t="n">
        <v>0.922972532270112</v>
      </c>
      <c r="S101" s="45" t="n">
        <v>0.809756097560976</v>
      </c>
      <c r="T101" s="45" t="n">
        <v>0.926999316473001</v>
      </c>
      <c r="U101" s="45" t="n">
        <v>0.93430118973807</v>
      </c>
      <c r="V101" s="45" t="n"/>
      <c r="W101" s="45" t="n"/>
      <c r="X101" s="45" t="n">
        <v>0.971163827905725</v>
      </c>
      <c r="Y101" s="45" t="n"/>
      <c r="Z101" s="45" t="n">
        <v>0.856123970693121</v>
      </c>
      <c r="AA101" s="45" t="n"/>
      <c r="AB101" s="45" t="n">
        <v>0.979699172557033</v>
      </c>
      <c r="AC101" s="45" t="n">
        <v>0.8118682751874799</v>
      </c>
      <c r="AD101" s="45" t="n">
        <v>0.836334484459793</v>
      </c>
      <c r="AE101" s="45" t="n">
        <v>0.849853684490556</v>
      </c>
      <c r="AF101" s="75">
        <f>IFERROR(AVERAGE(L101:U101),"")</f>
        <v/>
      </c>
      <c r="AG101" s="75">
        <f>IFERROR(AVERAGE(V101:AE101),"")</f>
        <v/>
      </c>
      <c r="AH101" s="75">
        <f>IFERROR(AVERAGE(B101:K101),"")</f>
        <v/>
      </c>
      <c r="AI101" s="45" t="n">
        <v>0.917789459228516</v>
      </c>
      <c r="AJ101" s="47" t="n">
        <v>0</v>
      </c>
    </row>
    <row r="102" ht="15" customHeight="1" s="30">
      <c r="A102" s="73" t="inlineStr">
        <is>
          <t>6963.jpg</t>
        </is>
      </c>
      <c r="B102" s="45" t="n"/>
      <c r="C102" s="45" t="n"/>
      <c r="D102" s="45" t="n">
        <v>0.899208711098807</v>
      </c>
      <c r="E102" s="45" t="n"/>
      <c r="F102" s="45" t="n">
        <v>0.792508093109296</v>
      </c>
      <c r="G102" s="45" t="n">
        <v>0</v>
      </c>
      <c r="H102" s="45" t="n">
        <v>0.847498917739731</v>
      </c>
      <c r="I102" s="45" t="n">
        <v>0.72850487081745</v>
      </c>
      <c r="J102" s="45" t="n">
        <v>0.479236436704622</v>
      </c>
      <c r="K102" s="45" t="n">
        <v>0.695366972907537</v>
      </c>
      <c r="L102" s="45" t="n"/>
      <c r="M102" s="45" t="n"/>
      <c r="N102" s="45" t="n">
        <v>0.9095109202912079</v>
      </c>
      <c r="O102" s="45" t="n"/>
      <c r="P102" s="45" t="n">
        <v>0.81177956734565</v>
      </c>
      <c r="Q102" s="45" t="n">
        <v>0</v>
      </c>
      <c r="R102" s="45" t="n">
        <v>0.885015290519878</v>
      </c>
      <c r="S102" s="45" t="n">
        <v>0.85444610034774</v>
      </c>
      <c r="T102" s="45" t="n">
        <v>1</v>
      </c>
      <c r="U102" s="45" t="n">
        <v>0.877555129207229</v>
      </c>
      <c r="V102" s="45" t="n"/>
      <c r="W102" s="45" t="n"/>
      <c r="X102" s="45" t="n">
        <v>0.9875598571030429</v>
      </c>
      <c r="Y102" s="45" t="n"/>
      <c r="Z102" s="45" t="n">
        <v>0.970915958451369</v>
      </c>
      <c r="AA102" s="45" t="n"/>
      <c r="AB102" s="45" t="n">
        <v>0.952364146246077</v>
      </c>
      <c r="AC102" s="45" t="n">
        <v>0.831721470019342</v>
      </c>
      <c r="AD102" s="45" t="n">
        <v>0.479236436704622</v>
      </c>
      <c r="AE102" s="45" t="n">
        <v>0.770083764627632</v>
      </c>
      <c r="AF102" s="75">
        <f>IFERROR(AVERAGE(L102:U102),"")</f>
        <v/>
      </c>
      <c r="AG102" s="75">
        <f>IFERROR(AVERAGE(V102:AE102),"")</f>
        <v/>
      </c>
      <c r="AH102" s="75">
        <f>IFERROR(AVERAGE(B102:K102),"")</f>
        <v/>
      </c>
      <c r="AI102" s="45" t="n">
        <v>0.874385833740234</v>
      </c>
      <c r="AJ102" s="47" t="n">
        <v>0</v>
      </c>
    </row>
    <row r="103" ht="15" customHeight="1" s="30">
      <c r="A103" s="73" t="inlineStr">
        <is>
          <t>6979.jpg</t>
        </is>
      </c>
      <c r="B103" s="45" t="n"/>
      <c r="C103" s="45" t="n"/>
      <c r="D103" s="45" t="n">
        <v>0.92416872126341</v>
      </c>
      <c r="E103" s="45" t="n"/>
      <c r="F103" s="45" t="n">
        <v>0.8094309875304569</v>
      </c>
      <c r="G103" s="45" t="n"/>
      <c r="H103" s="45" t="n">
        <v>0.8165114122996781</v>
      </c>
      <c r="I103" s="45" t="n">
        <v>0.856512141280353</v>
      </c>
      <c r="J103" s="45" t="n">
        <v>0</v>
      </c>
      <c r="K103" s="45" t="n">
        <v>0.757463236067574</v>
      </c>
      <c r="L103" s="45" t="n"/>
      <c r="M103" s="45" t="n"/>
      <c r="N103" s="45" t="n">
        <v>0.954026414748235</v>
      </c>
      <c r="O103" s="45" t="n"/>
      <c r="P103" s="45" t="n">
        <v>0.8504608156135171</v>
      </c>
      <c r="Q103" s="45" t="n"/>
      <c r="R103" s="45" t="n">
        <v>0.86902669836765</v>
      </c>
      <c r="S103" s="45" t="n">
        <v>0.938331318016929</v>
      </c>
      <c r="T103" s="45" t="n">
        <v>0</v>
      </c>
      <c r="U103" s="45" t="n">
        <v>0.92271911840082</v>
      </c>
      <c r="V103" s="45" t="n"/>
      <c r="W103" s="45" t="n"/>
      <c r="X103" s="45" t="n">
        <v>0.967244746140971</v>
      </c>
      <c r="Y103" s="45" t="n"/>
      <c r="Z103" s="45" t="n">
        <v>0.94375</v>
      </c>
      <c r="AA103" s="45" t="n"/>
      <c r="AB103" s="45" t="n">
        <v>0.931090034032099</v>
      </c>
      <c r="AC103" s="45" t="n">
        <v>0.907602339181287</v>
      </c>
      <c r="AD103" s="45" t="n"/>
      <c r="AE103" s="45" t="n">
        <v>0.808771831302297</v>
      </c>
      <c r="AF103" s="75">
        <f>IFERROR(AVERAGE(L103:U103),"")</f>
        <v/>
      </c>
      <c r="AG103" s="75">
        <f>IFERROR(AVERAGE(V103:AE103),"")</f>
        <v/>
      </c>
      <c r="AH103" s="75">
        <f>IFERROR(AVERAGE(B103:K103),"")</f>
        <v/>
      </c>
      <c r="AI103" s="45" t="n">
        <v>0.896846771240234</v>
      </c>
      <c r="AJ103" s="47" t="n">
        <v>0</v>
      </c>
    </row>
    <row r="104" ht="15" customHeight="1" s="30">
      <c r="A104" s="73" t="inlineStr">
        <is>
          <t>7004.jpg</t>
        </is>
      </c>
      <c r="B104" s="45" t="n"/>
      <c r="C104" s="45" t="n"/>
      <c r="D104" s="45" t="n">
        <v>0.919313102799341</v>
      </c>
      <c r="E104" s="45" t="n"/>
      <c r="F104" s="45" t="n">
        <v>0</v>
      </c>
      <c r="G104" s="45" t="n"/>
      <c r="H104" s="45" t="n">
        <v>0.859699089216525</v>
      </c>
      <c r="I104" s="45" t="n"/>
      <c r="J104" s="45" t="n"/>
      <c r="K104" s="45" t="n">
        <v>0.906266456029489</v>
      </c>
      <c r="L104" s="45" t="n"/>
      <c r="M104" s="45" t="n"/>
      <c r="N104" s="45" t="n">
        <v>0.944874274661509</v>
      </c>
      <c r="O104" s="45" t="n"/>
      <c r="P104" s="45" t="n">
        <v>0</v>
      </c>
      <c r="Q104" s="45" t="n"/>
      <c r="R104" s="45" t="n">
        <v>0.918004599479872</v>
      </c>
      <c r="S104" s="45" t="n"/>
      <c r="T104" s="45" t="n"/>
      <c r="U104" s="45" t="n">
        <v>0.960603309739073</v>
      </c>
      <c r="V104" s="45" t="n"/>
      <c r="W104" s="45" t="n"/>
      <c r="X104" s="45" t="n">
        <v>0.971414367387522</v>
      </c>
      <c r="Y104" s="45" t="n"/>
      <c r="Z104" s="45" t="n"/>
      <c r="AA104" s="45" t="n"/>
      <c r="AB104" s="45" t="n">
        <v>0.931204011555023</v>
      </c>
      <c r="AC104" s="45" t="n"/>
      <c r="AD104" s="45" t="n"/>
      <c r="AE104" s="45" t="n">
        <v>0.941251066796485</v>
      </c>
      <c r="AF104" s="75">
        <f>IFERROR(AVERAGE(L104:U104),"")</f>
        <v/>
      </c>
      <c r="AG104" s="75">
        <f>IFERROR(AVERAGE(V104:AE104),"")</f>
        <v/>
      </c>
      <c r="AH104" s="75">
        <f>IFERROR(AVERAGE(B104:K104),"")</f>
        <v/>
      </c>
      <c r="AI104" s="45" t="n">
        <v>0.938198089599609</v>
      </c>
      <c r="AJ104" s="47" t="n">
        <v>0</v>
      </c>
    </row>
    <row r="105" ht="15" customHeight="1" s="30">
      <c r="A105" s="73" t="inlineStr">
        <is>
          <t>7016.jpg</t>
        </is>
      </c>
      <c r="B105" s="45" t="n"/>
      <c r="C105" s="45" t="n"/>
      <c r="D105" s="45" t="n"/>
      <c r="E105" s="45" t="n"/>
      <c r="F105" s="45" t="n"/>
      <c r="G105" s="45" t="n"/>
      <c r="H105" s="45" t="n">
        <v>0.932840183469737</v>
      </c>
      <c r="I105" s="45" t="n"/>
      <c r="J105" s="45" t="n"/>
      <c r="K105" s="45" t="n">
        <v>0.8757849211959911</v>
      </c>
      <c r="L105" s="45" t="n"/>
      <c r="M105" s="45" t="n"/>
      <c r="N105" s="45" t="n"/>
      <c r="O105" s="45" t="n"/>
      <c r="P105" s="45" t="n"/>
      <c r="Q105" s="45" t="n"/>
      <c r="R105" s="45" t="n">
        <v>0.948911036016719</v>
      </c>
      <c r="S105" s="45" t="n"/>
      <c r="T105" s="45" t="n"/>
      <c r="U105" s="45" t="n">
        <v>0.96546823604919</v>
      </c>
      <c r="V105" s="45" t="n"/>
      <c r="W105" s="45" t="n"/>
      <c r="X105" s="45" t="n"/>
      <c r="Y105" s="45" t="n"/>
      <c r="Z105" s="45" t="n"/>
      <c r="AA105" s="45" t="n"/>
      <c r="AB105" s="45" t="n">
        <v>0.9821683267344899</v>
      </c>
      <c r="AC105" s="45" t="n"/>
      <c r="AD105" s="45" t="n"/>
      <c r="AE105" s="45" t="n">
        <v>0.90410517842769</v>
      </c>
      <c r="AF105" s="75">
        <f>IFERROR(AVERAGE(L105:U105),"")</f>
        <v/>
      </c>
      <c r="AG105" s="75">
        <f>IFERROR(AVERAGE(V105:AE105),"")</f>
        <v/>
      </c>
      <c r="AH105" s="75">
        <f>IFERROR(AVERAGE(B105:K105),"")</f>
        <v/>
      </c>
      <c r="AI105" s="45" t="n">
        <v>0.9544219970703131</v>
      </c>
      <c r="AJ105" s="47" t="n">
        <v>0</v>
      </c>
    </row>
    <row r="106" ht="15" customHeight="1" s="30">
      <c r="A106" s="73" t="inlineStr">
        <is>
          <t>7023.jpg</t>
        </is>
      </c>
      <c r="B106" s="45" t="n"/>
      <c r="C106" s="45" t="n"/>
      <c r="D106" s="45" t="n"/>
      <c r="E106" s="45" t="n"/>
      <c r="F106" s="45" t="n"/>
      <c r="G106" s="45" t="n"/>
      <c r="H106" s="45" t="n">
        <v>0.752050202249681</v>
      </c>
      <c r="I106" s="45" t="n"/>
      <c r="J106" s="45" t="n"/>
      <c r="K106" s="45" t="n">
        <v>0.7668885039657219</v>
      </c>
      <c r="L106" s="45" t="n"/>
      <c r="M106" s="45" t="n"/>
      <c r="N106" s="45" t="n"/>
      <c r="O106" s="45" t="n"/>
      <c r="P106" s="45" t="n"/>
      <c r="Q106" s="45" t="n"/>
      <c r="R106" s="45" t="n">
        <v>0.7922394419636341</v>
      </c>
      <c r="S106" s="45" t="n"/>
      <c r="T106" s="45" t="n"/>
      <c r="U106" s="45" t="n">
        <v>0.941451091996291</v>
      </c>
      <c r="V106" s="45" t="n"/>
      <c r="W106" s="45" t="n"/>
      <c r="X106" s="45" t="n"/>
      <c r="Y106" s="45" t="n"/>
      <c r="Z106" s="45" t="n"/>
      <c r="AA106" s="45" t="n"/>
      <c r="AB106" s="45" t="n">
        <v>0.936808683197874</v>
      </c>
      <c r="AC106" s="45" t="n"/>
      <c r="AD106" s="45" t="n"/>
      <c r="AE106" s="45" t="n">
        <v>0.805295332394251</v>
      </c>
      <c r="AF106" s="75">
        <f>IFERROR(AVERAGE(L106:U106),"")</f>
        <v/>
      </c>
      <c r="AG106" s="75">
        <f>IFERROR(AVERAGE(V106:AE106),"")</f>
        <v/>
      </c>
      <c r="AH106" s="75">
        <f>IFERROR(AVERAGE(B106:K106),"")</f>
        <v/>
      </c>
      <c r="AI106" s="45" t="n">
        <v>0.863441467285156</v>
      </c>
      <c r="AJ106" s="47" t="n">
        <v>0</v>
      </c>
    </row>
    <row r="107" ht="15" customHeight="1" s="30">
      <c r="A107" s="73" t="inlineStr">
        <is>
          <t>7029.jpg</t>
        </is>
      </c>
      <c r="B107" s="45" t="n"/>
      <c r="C107" s="45" t="n"/>
      <c r="D107" s="45" t="n"/>
      <c r="E107" s="45" t="n"/>
      <c r="F107" s="45" t="n"/>
      <c r="G107" s="45" t="n"/>
      <c r="H107" s="45" t="n">
        <v>0.871970741651178</v>
      </c>
      <c r="I107" s="45" t="n"/>
      <c r="J107" s="45" t="n"/>
      <c r="K107" s="45" t="n">
        <v>0.943634981470337</v>
      </c>
      <c r="L107" s="45" t="n"/>
      <c r="M107" s="45" t="n"/>
      <c r="N107" s="45" t="n"/>
      <c r="O107" s="45" t="n"/>
      <c r="P107" s="45" t="n"/>
      <c r="Q107" s="45" t="n"/>
      <c r="R107" s="45" t="n">
        <v>0.9917082617352641</v>
      </c>
      <c r="S107" s="45" t="n"/>
      <c r="T107" s="45" t="n"/>
      <c r="U107" s="45" t="n">
        <v>0.946673516296116</v>
      </c>
      <c r="V107" s="45" t="n"/>
      <c r="W107" s="45" t="n"/>
      <c r="X107" s="45" t="n"/>
      <c r="Y107" s="45" t="n"/>
      <c r="Z107" s="45" t="n"/>
      <c r="AA107" s="45" t="n"/>
      <c r="AB107" s="45" t="n">
        <v>0.878374624035175</v>
      </c>
      <c r="AC107" s="45" t="n"/>
      <c r="AD107" s="45" t="n"/>
      <c r="AE107" s="45" t="n">
        <v>0.996610112791806</v>
      </c>
      <c r="AF107" s="75">
        <f>IFERROR(AVERAGE(L107:U107),"")</f>
        <v/>
      </c>
      <c r="AG107" s="75">
        <f>IFERROR(AVERAGE(V107:AE107),"")</f>
        <v/>
      </c>
      <c r="AH107" s="75">
        <f>IFERROR(AVERAGE(B107:K107),"")</f>
        <v/>
      </c>
      <c r="AI107" s="45" t="n">
        <v>0.959270477294922</v>
      </c>
      <c r="AJ107" s="47" t="n">
        <v>0</v>
      </c>
    </row>
    <row r="108" ht="15" customHeight="1" s="30">
      <c r="A108" s="73" t="inlineStr">
        <is>
          <t>7031.jpg</t>
        </is>
      </c>
      <c r="B108" s="45" t="n"/>
      <c r="C108" s="45" t="n"/>
      <c r="D108" s="45" t="n"/>
      <c r="E108" s="45" t="n"/>
      <c r="F108" s="45" t="n"/>
      <c r="G108" s="45" t="n"/>
      <c r="H108" s="45" t="n">
        <v>0.871934821337388</v>
      </c>
      <c r="I108" s="45" t="n"/>
      <c r="J108" s="45" t="n"/>
      <c r="K108" s="45" t="n">
        <v>0.939094348175691</v>
      </c>
      <c r="L108" s="45" t="n"/>
      <c r="M108" s="45" t="n"/>
      <c r="N108" s="45" t="n"/>
      <c r="O108" s="45" t="n"/>
      <c r="P108" s="45" t="n"/>
      <c r="Q108" s="45" t="n"/>
      <c r="R108" s="45" t="n">
        <v>0.966979173220915</v>
      </c>
      <c r="S108" s="45" t="n"/>
      <c r="T108" s="45" t="n"/>
      <c r="U108" s="45" t="n">
        <v>0.9525834934502601</v>
      </c>
      <c r="V108" s="45" t="n"/>
      <c r="W108" s="45" t="n"/>
      <c r="X108" s="45" t="n"/>
      <c r="Y108" s="45" t="n"/>
      <c r="Z108" s="45" t="n"/>
      <c r="AA108" s="45" t="n"/>
      <c r="AB108" s="45" t="n">
        <v>0.8986936130895991</v>
      </c>
      <c r="AC108" s="45" t="n"/>
      <c r="AD108" s="45" t="n"/>
      <c r="AE108" s="45" t="n">
        <v>0.985145011633766</v>
      </c>
      <c r="AF108" s="75">
        <f>IFERROR(AVERAGE(L108:U108),"")</f>
        <v/>
      </c>
      <c r="AG108" s="75">
        <f>IFERROR(AVERAGE(V108:AE108),"")</f>
        <v/>
      </c>
      <c r="AH108" s="75">
        <f>IFERROR(AVERAGE(B108:K108),"")</f>
        <v/>
      </c>
      <c r="AI108" s="45" t="n">
        <v>0.956947326660156</v>
      </c>
      <c r="AJ108" s="47" t="n">
        <v>0</v>
      </c>
    </row>
    <row r="109" ht="15" customHeight="1" s="30">
      <c r="A109" s="73" t="inlineStr">
        <is>
          <t>7035.jpg</t>
        </is>
      </c>
      <c r="B109" s="45" t="n"/>
      <c r="C109" s="45" t="n"/>
      <c r="D109" s="45" t="n"/>
      <c r="E109" s="45" t="n"/>
      <c r="F109" s="45" t="n">
        <v>0</v>
      </c>
      <c r="G109" s="45" t="n"/>
      <c r="H109" s="45" t="n">
        <v>0.810388746674698</v>
      </c>
      <c r="I109" s="45" t="n"/>
      <c r="J109" s="45" t="n"/>
      <c r="K109" s="45" t="n">
        <v>0.772674291816124</v>
      </c>
      <c r="L109" s="45" t="n"/>
      <c r="M109" s="45" t="n"/>
      <c r="N109" s="45" t="n"/>
      <c r="O109" s="45" t="n"/>
      <c r="P109" s="45" t="n">
        <v>0</v>
      </c>
      <c r="Q109" s="45" t="n"/>
      <c r="R109" s="45" t="n">
        <v>0.888787201100981</v>
      </c>
      <c r="S109" s="45" t="n"/>
      <c r="T109" s="45" t="n"/>
      <c r="U109" s="45" t="n">
        <v>0.879642153925178</v>
      </c>
      <c r="V109" s="45" t="n"/>
      <c r="W109" s="45" t="n"/>
      <c r="X109" s="45" t="n"/>
      <c r="Y109" s="45" t="n"/>
      <c r="Z109" s="45" t="n"/>
      <c r="AA109" s="45" t="n"/>
      <c r="AB109" s="45" t="n">
        <v>0.901837706497605</v>
      </c>
      <c r="AC109" s="45" t="n"/>
      <c r="AD109" s="45" t="n"/>
      <c r="AE109" s="45" t="n">
        <v>0.864020114024318</v>
      </c>
      <c r="AF109" s="75">
        <f>IFERROR(AVERAGE(L109:U109),"")</f>
        <v/>
      </c>
      <c r="AG109" s="75">
        <f>IFERROR(AVERAGE(V109:AE109),"")</f>
        <v/>
      </c>
      <c r="AH109" s="75">
        <f>IFERROR(AVERAGE(B109:K109),"")</f>
        <v/>
      </c>
      <c r="AI109" s="45" t="n">
        <v>0.884681701660156</v>
      </c>
      <c r="AJ109" s="47" t="n">
        <v>0</v>
      </c>
    </row>
    <row r="110" ht="15" customHeight="1" s="30">
      <c r="A110" s="73" t="inlineStr">
        <is>
          <t>7041.jpg</t>
        </is>
      </c>
      <c r="B110" s="45" t="n"/>
      <c r="C110" s="45" t="n"/>
      <c r="D110" s="45" t="n">
        <v>0.665012406947891</v>
      </c>
      <c r="E110" s="45" t="n"/>
      <c r="F110" s="45" t="n">
        <v>0</v>
      </c>
      <c r="G110" s="45" t="n"/>
      <c r="H110" s="45" t="n">
        <v>0.773420397425659</v>
      </c>
      <c r="I110" s="45" t="n">
        <v>0.631511254019293</v>
      </c>
      <c r="J110" s="45" t="n">
        <v>0.659883720930233</v>
      </c>
      <c r="K110" s="45" t="n">
        <v>0.802525368308015</v>
      </c>
      <c r="L110" s="45" t="n"/>
      <c r="M110" s="45" t="n"/>
      <c r="N110" s="45" t="n">
        <v>0.691330061658487</v>
      </c>
      <c r="O110" s="45" t="n"/>
      <c r="P110" s="45" t="n">
        <v>0</v>
      </c>
      <c r="Q110" s="45" t="n"/>
      <c r="R110" s="45" t="n">
        <v>0.936581980362486</v>
      </c>
      <c r="S110" s="45" t="n">
        <v>0.651193633952255</v>
      </c>
      <c r="T110" s="45" t="n">
        <v>0.923515052888527</v>
      </c>
      <c r="U110" s="45" t="n">
        <v>0.8764791924729201</v>
      </c>
      <c r="V110" s="45" t="n"/>
      <c r="W110" s="45" t="n"/>
      <c r="X110" s="45" t="n">
        <v>0.945855212189033</v>
      </c>
      <c r="Y110" s="45" t="n"/>
      <c r="Z110" s="45" t="n"/>
      <c r="AA110" s="45" t="n"/>
      <c r="AB110" s="45" t="n">
        <v>0.81616283796512</v>
      </c>
      <c r="AC110" s="45" t="n">
        <v>0.954324586977648</v>
      </c>
      <c r="AD110" s="45" t="n">
        <v>0.698031980319803</v>
      </c>
      <c r="AE110" s="45" t="n">
        <v>0.904864261857956</v>
      </c>
      <c r="AF110" s="75">
        <f>IFERROR(AVERAGE(L110:U110),"")</f>
        <v/>
      </c>
      <c r="AG110" s="75">
        <f>IFERROR(AVERAGE(V110:AE110),"")</f>
        <v/>
      </c>
      <c r="AH110" s="75">
        <f>IFERROR(AVERAGE(B110:K110),"")</f>
        <v/>
      </c>
      <c r="AI110" s="45" t="n">
        <v>0.871463775634766</v>
      </c>
      <c r="AJ110" s="47" t="n">
        <v>0</v>
      </c>
    </row>
    <row r="111" ht="15" customHeight="1" s="30">
      <c r="A111" s="73" t="inlineStr">
        <is>
          <t>7042.jpg</t>
        </is>
      </c>
      <c r="B111" s="45" t="n"/>
      <c r="C111" s="45" t="n">
        <v>0</v>
      </c>
      <c r="D111" s="45" t="n">
        <v>0.668792809770594</v>
      </c>
      <c r="E111" s="45" t="n"/>
      <c r="F111" s="45" t="n">
        <v>0</v>
      </c>
      <c r="G111" s="45" t="n"/>
      <c r="H111" s="45" t="n">
        <v>0.801405456478091</v>
      </c>
      <c r="I111" s="45" t="n">
        <v>0.616724738675958</v>
      </c>
      <c r="J111" s="45" t="n">
        <v>0.679263565891473</v>
      </c>
      <c r="K111" s="45" t="n">
        <v>0.774133875786663</v>
      </c>
      <c r="L111" s="45" t="n"/>
      <c r="M111" s="45" t="n">
        <v>0</v>
      </c>
      <c r="N111" s="45" t="n">
        <v>0.691161048689139</v>
      </c>
      <c r="O111" s="45" t="n"/>
      <c r="P111" s="45" t="n">
        <v>0</v>
      </c>
      <c r="Q111" s="45" t="n"/>
      <c r="R111" s="45" t="n">
        <v>0.922705587725362</v>
      </c>
      <c r="S111" s="45" t="n">
        <v>0.659627329192547</v>
      </c>
      <c r="T111" s="45" t="n">
        <v>0.987323943661972</v>
      </c>
      <c r="U111" s="45" t="n">
        <v>0.886542325500131</v>
      </c>
      <c r="V111" s="45" t="n"/>
      <c r="W111" s="45" t="n"/>
      <c r="X111" s="45" t="n">
        <v>0.95384297307076</v>
      </c>
      <c r="Y111" s="45" t="n"/>
      <c r="Z111" s="45" t="n"/>
      <c r="AA111" s="45" t="n"/>
      <c r="AB111" s="45" t="n">
        <v>0.8590781047234211</v>
      </c>
      <c r="AC111" s="45" t="n">
        <v>0.904599659284498</v>
      </c>
      <c r="AD111" s="45" t="n">
        <v>0.685239491691105</v>
      </c>
      <c r="AE111" s="45" t="n">
        <v>0.859262656553184</v>
      </c>
      <c r="AF111" s="75">
        <f>IFERROR(AVERAGE(L111:U111),"")</f>
        <v/>
      </c>
      <c r="AG111" s="75">
        <f>IFERROR(AVERAGE(V111:AE111),"")</f>
        <v/>
      </c>
      <c r="AH111" s="75">
        <f>IFERROR(AVERAGE(B111:K111),"")</f>
        <v/>
      </c>
      <c r="AI111" s="45" t="n">
        <v>0.862983703613281</v>
      </c>
      <c r="AJ111" s="47" t="n">
        <v>0</v>
      </c>
    </row>
    <row r="112" ht="15" customHeight="1" s="30">
      <c r="A112" s="73" t="inlineStr">
        <is>
          <t>7054.jpg</t>
        </is>
      </c>
      <c r="B112" s="45" t="n"/>
      <c r="C112" s="45" t="n"/>
      <c r="D112" s="45" t="n"/>
      <c r="E112" s="45" t="n"/>
      <c r="F112" s="45" t="n"/>
      <c r="G112" s="45" t="n">
        <v>0.801677910396125</v>
      </c>
      <c r="H112" s="45" t="n"/>
      <c r="I112" s="45" t="n"/>
      <c r="J112" s="45" t="n"/>
      <c r="K112" s="45" t="n">
        <v>0.981174519511014</v>
      </c>
      <c r="L112" s="45" t="n"/>
      <c r="M112" s="45" t="n"/>
      <c r="N112" s="45" t="n"/>
      <c r="O112" s="45" t="n"/>
      <c r="P112" s="45" t="n"/>
      <c r="Q112" s="45" t="n">
        <v>0.92242623277106</v>
      </c>
      <c r="R112" s="45" t="n"/>
      <c r="S112" s="45" t="n"/>
      <c r="T112" s="45" t="n"/>
      <c r="U112" s="45" t="n">
        <v>0.9874941643565091</v>
      </c>
      <c r="V112" s="45" t="n"/>
      <c r="W112" s="45" t="n"/>
      <c r="X112" s="45" t="n"/>
      <c r="Y112" s="45" t="n"/>
      <c r="Z112" s="45" t="n"/>
      <c r="AA112" s="45" t="n">
        <v>0.859633665661952</v>
      </c>
      <c r="AB112" s="45" t="n"/>
      <c r="AC112" s="45" t="n"/>
      <c r="AD112" s="45" t="n"/>
      <c r="AE112" s="45" t="n">
        <v>0.993519800148808</v>
      </c>
      <c r="AF112" s="75">
        <f>IFERROR(AVERAGE(L112:U112),"")</f>
        <v/>
      </c>
      <c r="AG112" s="75">
        <f>IFERROR(AVERAGE(V112:AE112),"")</f>
        <v/>
      </c>
      <c r="AH112" s="75">
        <f>IFERROR(AVERAGE(B112:K112),"")</f>
        <v/>
      </c>
      <c r="AI112" s="45" t="n">
        <v>0.982505798339844</v>
      </c>
      <c r="AJ112" s="47" t="n">
        <v>0</v>
      </c>
    </row>
    <row r="113" ht="15" customHeight="1" s="30">
      <c r="A113" s="73" t="inlineStr">
        <is>
          <t>7056.jpg</t>
        </is>
      </c>
      <c r="B113" s="45" t="n"/>
      <c r="C113" s="45" t="n"/>
      <c r="D113" s="45" t="n"/>
      <c r="E113" s="45" t="n"/>
      <c r="F113" s="45" t="n"/>
      <c r="G113" s="45" t="n">
        <v>0.740753709458572</v>
      </c>
      <c r="H113" s="45" t="n"/>
      <c r="I113" s="45" t="n"/>
      <c r="J113" s="45" t="n"/>
      <c r="K113" s="45" t="n">
        <v>0.9758461789413591</v>
      </c>
      <c r="L113" s="45" t="n"/>
      <c r="M113" s="45" t="n"/>
      <c r="N113" s="45" t="n"/>
      <c r="O113" s="45" t="n"/>
      <c r="P113" s="45" t="n"/>
      <c r="Q113" s="45" t="n">
        <v>0.865058270292374</v>
      </c>
      <c r="R113" s="45" t="n"/>
      <c r="S113" s="45" t="n"/>
      <c r="T113" s="45" t="n"/>
      <c r="U113" s="45" t="n">
        <v>0.9864663203891501</v>
      </c>
      <c r="V113" s="45" t="n"/>
      <c r="W113" s="45" t="n"/>
      <c r="X113" s="45" t="n"/>
      <c r="Y113" s="45" t="n"/>
      <c r="Z113" s="45" t="n"/>
      <c r="AA113" s="45" t="n">
        <v>0.837531548473301</v>
      </c>
      <c r="AB113" s="45" t="n"/>
      <c r="AC113" s="45" t="n"/>
      <c r="AD113" s="45" t="n"/>
      <c r="AE113" s="45" t="n">
        <v>0.989088068381438</v>
      </c>
      <c r="AF113" s="75">
        <f>IFERROR(AVERAGE(L113:U113),"")</f>
        <v/>
      </c>
      <c r="AG113" s="75">
        <f>IFERROR(AVERAGE(V113:AE113),"")</f>
        <v/>
      </c>
      <c r="AH113" s="75">
        <f>IFERROR(AVERAGE(B113:K113),"")</f>
        <v/>
      </c>
      <c r="AI113" s="45" t="n">
        <v>0.977405548095703</v>
      </c>
      <c r="AJ113" s="47" t="n">
        <v>0</v>
      </c>
    </row>
    <row r="114" ht="15" customHeight="1" s="30">
      <c r="A114" s="73" t="inlineStr">
        <is>
          <t>7057.jpg</t>
        </is>
      </c>
      <c r="B114" s="45" t="n"/>
      <c r="C114" s="45" t="n"/>
      <c r="D114" s="45" t="n"/>
      <c r="E114" s="45" t="n"/>
      <c r="F114" s="45" t="n"/>
      <c r="G114" s="45" t="n">
        <v>0.824996303780001</v>
      </c>
      <c r="H114" s="45" t="n"/>
      <c r="I114" s="45" t="n"/>
      <c r="J114" s="45" t="n"/>
      <c r="K114" s="45" t="n">
        <v>0.985529983211358</v>
      </c>
      <c r="L114" s="45" t="n"/>
      <c r="M114" s="45" t="n"/>
      <c r="N114" s="45" t="n"/>
      <c r="O114" s="45" t="n"/>
      <c r="P114" s="45" t="n"/>
      <c r="Q114" s="45" t="n">
        <v>0.90184247387135</v>
      </c>
      <c r="R114" s="45" t="n"/>
      <c r="S114" s="45" t="n"/>
      <c r="T114" s="45" t="n"/>
      <c r="U114" s="45" t="n">
        <v>0.992901774351143</v>
      </c>
      <c r="V114" s="45" t="n"/>
      <c r="W114" s="45" t="n"/>
      <c r="X114" s="45" t="n"/>
      <c r="Y114" s="45" t="n"/>
      <c r="Z114" s="45" t="n"/>
      <c r="AA114" s="45" t="n">
        <v>0.906383669933402</v>
      </c>
      <c r="AB114" s="45" t="n"/>
      <c r="AC114" s="45" t="n"/>
      <c r="AD114" s="45" t="n"/>
      <c r="AE114" s="45" t="n">
        <v>0.992522827536678</v>
      </c>
      <c r="AF114" s="75">
        <f>IFERROR(AVERAGE(L114:U114),"")</f>
        <v/>
      </c>
      <c r="AG114" s="75">
        <f>IFERROR(AVERAGE(V114:AE114),"")</f>
        <v/>
      </c>
      <c r="AH114" s="75">
        <f>IFERROR(AVERAGE(B114:K114),"")</f>
        <v/>
      </c>
      <c r="AI114" s="45" t="n">
        <v>0.986454010009766</v>
      </c>
      <c r="AJ114" s="47" t="n">
        <v>0</v>
      </c>
    </row>
    <row r="115" ht="15" customHeight="1" s="30">
      <c r="A115" s="73" t="inlineStr">
        <is>
          <t>7063.jpg</t>
        </is>
      </c>
      <c r="B115" s="45" t="n"/>
      <c r="C115" s="45" t="n"/>
      <c r="D115" s="45" t="n"/>
      <c r="E115" s="45" t="n"/>
      <c r="F115" s="45" t="n">
        <v>0.5353170189099</v>
      </c>
      <c r="G115" s="45" t="n">
        <v>0.79035288144199</v>
      </c>
      <c r="H115" s="45" t="n"/>
      <c r="I115" s="45" t="n"/>
      <c r="J115" s="45" t="n"/>
      <c r="K115" s="45" t="n">
        <v>0.969220691473584</v>
      </c>
      <c r="L115" s="45" t="n"/>
      <c r="M115" s="45" t="n"/>
      <c r="N115" s="45" t="n"/>
      <c r="O115" s="45" t="n"/>
      <c r="P115" s="45" t="n">
        <v>0.92927830074825</v>
      </c>
      <c r="Q115" s="45" t="n">
        <v>0.907956136257583</v>
      </c>
      <c r="R115" s="45" t="n"/>
      <c r="S115" s="45" t="n"/>
      <c r="T115" s="45" t="n"/>
      <c r="U115" s="45" t="n">
        <v>0.976749689649875</v>
      </c>
      <c r="V115" s="45" t="n"/>
      <c r="W115" s="45" t="n"/>
      <c r="X115" s="45" t="n"/>
      <c r="Y115" s="45" t="n"/>
      <c r="Z115" s="45" t="n">
        <v>0.55805189157849</v>
      </c>
      <c r="AA115" s="45" t="n">
        <v>0.8591930231274491</v>
      </c>
      <c r="AB115" s="45" t="n"/>
      <c r="AC115" s="45" t="n"/>
      <c r="AD115" s="45" t="n"/>
      <c r="AE115" s="45" t="n">
        <v>0.992109746634729</v>
      </c>
      <c r="AF115" s="75">
        <f>IFERROR(AVERAGE(L115:U115),"")</f>
        <v/>
      </c>
      <c r="AG115" s="75">
        <f>IFERROR(AVERAGE(V115:AE115),"")</f>
        <v/>
      </c>
      <c r="AH115" s="75">
        <f>IFERROR(AVERAGE(B115:K115),"")</f>
        <v/>
      </c>
      <c r="AI115" s="45" t="n">
        <v>0.971500396728516</v>
      </c>
      <c r="AJ115" s="47" t="n">
        <v>0</v>
      </c>
    </row>
    <row r="116" ht="15" customHeight="1" s="30">
      <c r="A116" s="73" t="inlineStr">
        <is>
          <t>7069.jpg</t>
        </is>
      </c>
      <c r="B116" s="45" t="n"/>
      <c r="C116" s="45" t="n"/>
      <c r="D116" s="45" t="n"/>
      <c r="E116" s="45" t="n"/>
      <c r="F116" s="45" t="n">
        <v>0.738372093023256</v>
      </c>
      <c r="G116" s="45" t="n">
        <v>0.857170625510244</v>
      </c>
      <c r="H116" s="45" t="n"/>
      <c r="I116" s="45" t="n"/>
      <c r="J116" s="45" t="n"/>
      <c r="K116" s="45" t="n">
        <v>0.975068269522519</v>
      </c>
      <c r="L116" s="45" t="n"/>
      <c r="M116" s="45" t="n"/>
      <c r="N116" s="45" t="n"/>
      <c r="O116" s="45" t="n"/>
      <c r="P116" s="45" t="n">
        <v>0.966391883322765</v>
      </c>
      <c r="Q116" s="45" t="n">
        <v>0.89390253790643</v>
      </c>
      <c r="R116" s="45" t="n"/>
      <c r="S116" s="45" t="n"/>
      <c r="T116" s="45" t="n"/>
      <c r="U116" s="45" t="n">
        <v>0.987000908422373</v>
      </c>
      <c r="V116" s="45" t="n"/>
      <c r="W116" s="45" t="n"/>
      <c r="X116" s="45" t="n"/>
      <c r="Y116" s="45" t="n"/>
      <c r="Z116" s="45" t="n">
        <v>0.757831924415714</v>
      </c>
      <c r="AA116" s="45" t="n">
        <v>0.954254306240803</v>
      </c>
      <c r="AB116" s="45" t="n"/>
      <c r="AC116" s="45" t="n"/>
      <c r="AD116" s="45" t="n"/>
      <c r="AE116" s="45" t="n">
        <v>0.987752928647497</v>
      </c>
      <c r="AF116" s="75">
        <f>IFERROR(AVERAGE(L116:U116),"")</f>
        <v/>
      </c>
      <c r="AG116" s="75">
        <f>IFERROR(AVERAGE(V116:AE116),"")</f>
        <v/>
      </c>
      <c r="AH116" s="75">
        <f>IFERROR(AVERAGE(B116:K116),"")</f>
        <v/>
      </c>
      <c r="AI116" s="45" t="n">
        <v>0.977745056152344</v>
      </c>
      <c r="AJ116" s="47" t="n">
        <v>0</v>
      </c>
    </row>
    <row r="117" ht="15" customHeight="1" s="30">
      <c r="A117" s="73" t="inlineStr">
        <is>
          <t>7085.jpg</t>
        </is>
      </c>
      <c r="B117" s="45" t="n"/>
      <c r="C117" s="45" t="n"/>
      <c r="D117" s="45" t="n"/>
      <c r="E117" s="45" t="n"/>
      <c r="F117" s="45" t="n"/>
      <c r="G117" s="45" t="n">
        <v>0.781093443694184</v>
      </c>
      <c r="H117" s="45" t="n"/>
      <c r="I117" s="45" t="n"/>
      <c r="J117" s="45" t="n"/>
      <c r="K117" s="45" t="n">
        <v>0.992116781450512</v>
      </c>
      <c r="L117" s="45" t="n"/>
      <c r="M117" s="45" t="n"/>
      <c r="N117" s="45" t="n"/>
      <c r="O117" s="45" t="n"/>
      <c r="P117" s="45" t="n"/>
      <c r="Q117" s="45" t="n">
        <v>0.844062610333059</v>
      </c>
      <c r="R117" s="45" t="n"/>
      <c r="S117" s="45" t="n"/>
      <c r="T117" s="45" t="n"/>
      <c r="U117" s="45" t="n">
        <v>0.99729939640524</v>
      </c>
      <c r="V117" s="45" t="n"/>
      <c r="W117" s="45" t="n"/>
      <c r="X117" s="45" t="n"/>
      <c r="Y117" s="45" t="n"/>
      <c r="Z117" s="45" t="n"/>
      <c r="AA117" s="45" t="n">
        <v>0.9128165966653941</v>
      </c>
      <c r="AB117" s="45" t="n"/>
      <c r="AC117" s="45" t="n"/>
      <c r="AD117" s="45" t="n"/>
      <c r="AE117" s="45" t="n">
        <v>0.994789352188669</v>
      </c>
      <c r="AF117" s="75">
        <f>IFERROR(AVERAGE(L117:U117),"")</f>
        <v/>
      </c>
      <c r="AG117" s="75">
        <f>IFERROR(AVERAGE(V117:AE117),"")</f>
        <v/>
      </c>
      <c r="AH117" s="75">
        <f>IFERROR(AVERAGE(B117:K117),"")</f>
        <v/>
      </c>
      <c r="AI117" s="45" t="n">
        <v>0.992332458496094</v>
      </c>
      <c r="AJ117" s="47" t="n">
        <v>0</v>
      </c>
    </row>
    <row r="118" ht="15" customHeight="1" s="30">
      <c r="A118" s="73" t="inlineStr">
        <is>
          <t>7092.jpg</t>
        </is>
      </c>
      <c r="B118" s="45" t="n"/>
      <c r="C118" s="45" t="n"/>
      <c r="D118" s="45" t="n"/>
      <c r="E118" s="45" t="n"/>
      <c r="F118" s="45" t="n"/>
      <c r="G118" s="45" t="n">
        <v>0.746666666666667</v>
      </c>
      <c r="H118" s="45" t="n">
        <v>0.101449275362319</v>
      </c>
      <c r="I118" s="45" t="n"/>
      <c r="J118" s="45" t="n"/>
      <c r="K118" s="45" t="n">
        <v>0.985080754452257</v>
      </c>
      <c r="L118" s="45" t="n"/>
      <c r="M118" s="45" t="n"/>
      <c r="N118" s="45" t="n"/>
      <c r="O118" s="45" t="n"/>
      <c r="P118" s="45" t="n"/>
      <c r="Q118" s="45" t="n">
        <v>0.838361577627479</v>
      </c>
      <c r="R118" s="45" t="n">
        <v>0.25</v>
      </c>
      <c r="S118" s="45" t="n"/>
      <c r="T118" s="45" t="n"/>
      <c r="U118" s="45" t="n">
        <v>0.993264125843491</v>
      </c>
      <c r="V118" s="45" t="n"/>
      <c r="W118" s="45" t="n"/>
      <c r="X118" s="45" t="n"/>
      <c r="Y118" s="45" t="n"/>
      <c r="Z118" s="45" t="n"/>
      <c r="AA118" s="45" t="n">
        <v>0.872232764073371</v>
      </c>
      <c r="AB118" s="45" t="n">
        <v>0.145833333333333</v>
      </c>
      <c r="AC118" s="45" t="n"/>
      <c r="AD118" s="45" t="n"/>
      <c r="AE118" s="45" t="n">
        <v>0.991705723732785</v>
      </c>
      <c r="AF118" s="75">
        <f>IFERROR(AVERAGE(L118:U118),"")</f>
        <v/>
      </c>
      <c r="AG118" s="75">
        <f>IFERROR(AVERAGE(V118:AE118),"")</f>
        <v/>
      </c>
      <c r="AH118" s="75">
        <f>IFERROR(AVERAGE(B118:K118),"")</f>
        <v/>
      </c>
      <c r="AI118" s="45" t="n">
        <v>0.985012054443359</v>
      </c>
      <c r="AJ118" s="47" t="n">
        <v>0</v>
      </c>
    </row>
    <row r="119" ht="15" customHeight="1" s="30">
      <c r="A119" s="73" t="inlineStr">
        <is>
          <t>7105.jpg</t>
        </is>
      </c>
      <c r="B119" s="45" t="n"/>
      <c r="C119" s="45" t="n"/>
      <c r="D119" s="45" t="n">
        <v>0.748980516538287</v>
      </c>
      <c r="E119" s="45" t="n"/>
      <c r="F119" s="45" t="n">
        <v>0.383258975993202</v>
      </c>
      <c r="G119" s="45" t="n">
        <v>0.673662396382818</v>
      </c>
      <c r="H119" s="45" t="n">
        <v>0.68366432216246</v>
      </c>
      <c r="I119" s="45" t="n"/>
      <c r="J119" s="45" t="n"/>
      <c r="K119" s="45" t="n">
        <v>0.962102660976235</v>
      </c>
      <c r="L119" s="45" t="n"/>
      <c r="M119" s="45" t="n"/>
      <c r="N119" s="45" t="n">
        <v>0.9945848375451261</v>
      </c>
      <c r="O119" s="45" t="n"/>
      <c r="P119" s="45" t="n">
        <v>0.824874256973022</v>
      </c>
      <c r="Q119" s="45" t="n">
        <v>0.962426656618399</v>
      </c>
      <c r="R119" s="45" t="n">
        <v>0.711584009186823</v>
      </c>
      <c r="S119" s="45" t="n"/>
      <c r="T119" s="45" t="n"/>
      <c r="U119" s="45" t="n">
        <v>0.973651417026981</v>
      </c>
      <c r="V119" s="45" t="n"/>
      <c r="W119" s="45" t="n"/>
      <c r="X119" s="45" t="n">
        <v>0.752047315741583</v>
      </c>
      <c r="Y119" s="45" t="n"/>
      <c r="Z119" s="45" t="n">
        <v>0.417206290471785</v>
      </c>
      <c r="AA119" s="45" t="n">
        <v>0.691858215308413</v>
      </c>
      <c r="AB119" s="45" t="n">
        <v>0.945724233319025</v>
      </c>
      <c r="AC119" s="45" t="n"/>
      <c r="AD119" s="45" t="n"/>
      <c r="AE119" s="45" t="n">
        <v>0.987821639457314</v>
      </c>
      <c r="AF119" s="75">
        <f>IFERROR(AVERAGE(L119:U119),"")</f>
        <v/>
      </c>
      <c r="AG119" s="75">
        <f>IFERROR(AVERAGE(V119:AE119),"")</f>
        <v/>
      </c>
      <c r="AH119" s="75">
        <f>IFERROR(AVERAGE(B119:K119),"")</f>
        <v/>
      </c>
      <c r="AI119" s="45" t="n">
        <v>0.943889617919922</v>
      </c>
      <c r="AJ119" s="47" t="n">
        <v>0</v>
      </c>
    </row>
    <row r="120" ht="15" customHeight="1" s="30">
      <c r="A120" s="73" t="inlineStr">
        <is>
          <t>7126.jpg</t>
        </is>
      </c>
      <c r="B120" s="45" t="n"/>
      <c r="C120" s="45" t="n"/>
      <c r="D120" s="45" t="n">
        <v>0.865426356589147</v>
      </c>
      <c r="E120" s="45" t="n"/>
      <c r="F120" s="45" t="n">
        <v>0.717324223054882</v>
      </c>
      <c r="G120" s="45" t="n">
        <v>0.742359806151716</v>
      </c>
      <c r="H120" s="45" t="n">
        <v>0.812865137445422</v>
      </c>
      <c r="I120" s="45" t="n"/>
      <c r="J120" s="45" t="n"/>
      <c r="K120" s="45" t="n">
        <v>0.911767079384842</v>
      </c>
      <c r="L120" s="45" t="n"/>
      <c r="M120" s="45" t="n"/>
      <c r="N120" s="45" t="n">
        <v>0.969939183318853</v>
      </c>
      <c r="O120" s="45" t="n"/>
      <c r="P120" s="45" t="n">
        <v>0.89249965720554</v>
      </c>
      <c r="Q120" s="45" t="n">
        <v>0.816135696422747</v>
      </c>
      <c r="R120" s="45" t="n">
        <v>0.926876472568159</v>
      </c>
      <c r="S120" s="45" t="n"/>
      <c r="T120" s="45" t="n"/>
      <c r="U120" s="45" t="n">
        <v>0.938206945638957</v>
      </c>
      <c r="V120" s="45" t="n"/>
      <c r="W120" s="45" t="n"/>
      <c r="X120" s="45" t="n">
        <v>0.889278317667676</v>
      </c>
      <c r="Y120" s="45" t="n"/>
      <c r="Z120" s="45" t="n">
        <v>0.785162846803378</v>
      </c>
      <c r="AA120" s="45" t="n">
        <v>0.89144893111639</v>
      </c>
      <c r="AB120" s="45" t="n">
        <v>0.868565270531338</v>
      </c>
      <c r="AC120" s="45" t="n"/>
      <c r="AD120" s="45" t="n"/>
      <c r="AE120" s="45" t="n">
        <v>0.970018274808973</v>
      </c>
      <c r="AF120" s="75">
        <f>IFERROR(AVERAGE(L120:U120),"")</f>
        <v/>
      </c>
      <c r="AG120" s="75">
        <f>IFERROR(AVERAGE(V120:AE120),"")</f>
        <v/>
      </c>
      <c r="AH120" s="75">
        <f>IFERROR(AVERAGE(B120:K120),"")</f>
        <v/>
      </c>
      <c r="AI120" s="45" t="n">
        <v>0.930267333984375</v>
      </c>
      <c r="AJ120" s="47" t="n">
        <v>0</v>
      </c>
    </row>
    <row r="121" ht="15" customHeight="1" s="30">
      <c r="A121" s="73" t="inlineStr">
        <is>
          <t>7141.jpg</t>
        </is>
      </c>
      <c r="B121" s="45" t="n"/>
      <c r="C121" s="45" t="n"/>
      <c r="D121" s="45" t="n">
        <v>0.734448669201521</v>
      </c>
      <c r="E121" s="45" t="n"/>
      <c r="F121" s="45" t="n">
        <v>0.8265962488997221</v>
      </c>
      <c r="G121" s="45" t="n"/>
      <c r="H121" s="45" t="n">
        <v>0.724938834333211</v>
      </c>
      <c r="I121" s="45" t="n">
        <v>0</v>
      </c>
      <c r="J121" s="45" t="n"/>
      <c r="K121" s="45" t="n">
        <v>0.868134278233931</v>
      </c>
      <c r="L121" s="45" t="n"/>
      <c r="M121" s="45" t="n"/>
      <c r="N121" s="45" t="n">
        <v>0.991174055829228</v>
      </c>
      <c r="O121" s="45" t="n"/>
      <c r="P121" s="45" t="n">
        <v>0.894068904907879</v>
      </c>
      <c r="Q121" s="45" t="n"/>
      <c r="R121" s="45" t="n">
        <v>0.864542947360006</v>
      </c>
      <c r="S121" s="45" t="n">
        <v>0</v>
      </c>
      <c r="T121" s="45" t="n"/>
      <c r="U121" s="45" t="n">
        <v>0.926828911360543</v>
      </c>
      <c r="V121" s="45" t="n"/>
      <c r="W121" s="45" t="n"/>
      <c r="X121" s="45" t="n">
        <v>0.739283527250459</v>
      </c>
      <c r="Y121" s="45" t="n"/>
      <c r="Z121" s="45" t="n">
        <v>0.91633961697656</v>
      </c>
      <c r="AA121" s="45" t="n"/>
      <c r="AB121" s="45" t="n">
        <v>0.817831215970962</v>
      </c>
      <c r="AC121" s="45" t="n"/>
      <c r="AD121" s="45" t="n"/>
      <c r="AE121" s="45" t="n">
        <v>0.932011831707209</v>
      </c>
      <c r="AF121" s="75">
        <f>IFERROR(AVERAGE(L121:U121),"")</f>
        <v/>
      </c>
      <c r="AG121" s="75">
        <f>IFERROR(AVERAGE(V121:AE121),"")</f>
        <v/>
      </c>
      <c r="AH121" s="75">
        <f>IFERROR(AVERAGE(B121:K121),"")</f>
        <v/>
      </c>
      <c r="AI121" s="45" t="n">
        <v>0.910114288330078</v>
      </c>
      <c r="AJ121" s="47" t="n">
        <v>0</v>
      </c>
    </row>
    <row r="122" ht="15" customHeight="1" s="30">
      <c r="A122" s="73" t="inlineStr">
        <is>
          <t>7143.jpg</t>
        </is>
      </c>
      <c r="B122" s="45" t="n"/>
      <c r="C122" s="45" t="n"/>
      <c r="D122" s="45" t="n">
        <v>0.788607499812129</v>
      </c>
      <c r="E122" s="45" t="n"/>
      <c r="F122" s="45" t="n">
        <v>0.851818138719006</v>
      </c>
      <c r="G122" s="45" t="n"/>
      <c r="H122" s="45" t="n">
        <v>0.644447208058699</v>
      </c>
      <c r="I122" s="45" t="n"/>
      <c r="J122" s="45" t="n"/>
      <c r="K122" s="45" t="n">
        <v>0.884241452233277</v>
      </c>
      <c r="L122" s="45" t="n"/>
      <c r="M122" s="45" t="n"/>
      <c r="N122" s="45" t="n">
        <v>0.970588235294118</v>
      </c>
      <c r="O122" s="45" t="n"/>
      <c r="P122" s="45" t="n">
        <v>0.917809198831246</v>
      </c>
      <c r="Q122" s="45" t="n"/>
      <c r="R122" s="45" t="n">
        <v>0.852723383248313</v>
      </c>
      <c r="S122" s="45" t="n"/>
      <c r="T122" s="45" t="n"/>
      <c r="U122" s="45" t="n">
        <v>0.921482927695073</v>
      </c>
      <c r="V122" s="45" t="n"/>
      <c r="W122" s="45" t="n"/>
      <c r="X122" s="45" t="n">
        <v>0.807914389098468</v>
      </c>
      <c r="Y122" s="45" t="n"/>
      <c r="Z122" s="45" t="n">
        <v>0.9221617737630881</v>
      </c>
      <c r="AA122" s="45" t="n"/>
      <c r="AB122" s="45" t="n">
        <v>0.725160929191156</v>
      </c>
      <c r="AC122" s="45" t="n"/>
      <c r="AD122" s="45" t="n"/>
      <c r="AE122" s="45" t="n">
        <v>0.956292163288487</v>
      </c>
      <c r="AF122" s="75">
        <f>IFERROR(AVERAGE(L122:U122),"")</f>
        <v/>
      </c>
      <c r="AG122" s="75">
        <f>IFERROR(AVERAGE(V122:AE122),"")</f>
        <v/>
      </c>
      <c r="AH122" s="75">
        <f>IFERROR(AVERAGE(B122:K122),"")</f>
        <v/>
      </c>
      <c r="AI122" s="45" t="n">
        <v>0.917354583740234</v>
      </c>
      <c r="AJ122" s="47" t="n">
        <v>0</v>
      </c>
    </row>
    <row r="123" ht="15" customHeight="1" s="30">
      <c r="A123" s="73" t="inlineStr">
        <is>
          <t>7149.jpg</t>
        </is>
      </c>
      <c r="B123" s="45" t="n"/>
      <c r="C123" s="45" t="n"/>
      <c r="D123" s="45" t="n">
        <v>0.919577058635053</v>
      </c>
      <c r="E123" s="45" t="n"/>
      <c r="F123" s="45" t="n">
        <v>0.848510926456273</v>
      </c>
      <c r="G123" s="45" t="n"/>
      <c r="H123" s="45" t="n">
        <v>0.720384565415097</v>
      </c>
      <c r="I123" s="45" t="n">
        <v>0.57014157014157</v>
      </c>
      <c r="J123" s="45" t="n"/>
      <c r="K123" s="45" t="n">
        <v>0.873097880372261</v>
      </c>
      <c r="L123" s="45" t="n"/>
      <c r="M123" s="45" t="n"/>
      <c r="N123" s="45" t="n">
        <v>0.983737669954679</v>
      </c>
      <c r="O123" s="45" t="n"/>
      <c r="P123" s="45" t="n">
        <v>0.8812970723558891</v>
      </c>
      <c r="Q123" s="45" t="n"/>
      <c r="R123" s="45" t="n">
        <v>0.806399069226294</v>
      </c>
      <c r="S123" s="45" t="n">
        <v>0.682588597842835</v>
      </c>
      <c r="T123" s="45" t="n"/>
      <c r="U123" s="45" t="n">
        <v>0.955758151600157</v>
      </c>
      <c r="V123" s="45" t="n"/>
      <c r="W123" s="45" t="n"/>
      <c r="X123" s="45" t="n">
        <v>0.933771961535681</v>
      </c>
      <c r="Y123" s="45" t="n"/>
      <c r="Z123" s="45" t="n">
        <v>0.957997515211366</v>
      </c>
      <c r="AA123" s="45" t="n"/>
      <c r="AB123" s="45" t="n">
        <v>0.871029564233875</v>
      </c>
      <c r="AC123" s="45" t="n">
        <v>0.775831873905429</v>
      </c>
      <c r="AD123" s="45" t="n"/>
      <c r="AE123" s="45" t="n">
        <v>0.909870782483848</v>
      </c>
      <c r="AF123" s="75">
        <f>IFERROR(AVERAGE(L123:U123),"")</f>
        <v/>
      </c>
      <c r="AG123" s="75">
        <f>IFERROR(AVERAGE(V123:AE123),"")</f>
        <v/>
      </c>
      <c r="AH123" s="75">
        <f>IFERROR(AVERAGE(B123:K123),"")</f>
        <v/>
      </c>
      <c r="AI123" s="45" t="n">
        <v>0.918910980224609</v>
      </c>
      <c r="AJ123" s="47" t="n">
        <v>0</v>
      </c>
    </row>
    <row r="124" ht="15" customHeight="1" s="30">
      <c r="A124" s="73" t="inlineStr">
        <is>
          <t>7154.jpg</t>
        </is>
      </c>
      <c r="B124" s="45" t="n"/>
      <c r="C124" s="45" t="n"/>
      <c r="D124" s="45" t="n">
        <v>0.952640799563457</v>
      </c>
      <c r="E124" s="45" t="n"/>
      <c r="F124" s="45" t="n">
        <v>0.840734930308333</v>
      </c>
      <c r="G124" s="45" t="n"/>
      <c r="H124" s="45" t="n">
        <v>0.652979991485739</v>
      </c>
      <c r="I124" s="45" t="n">
        <v>0.625948406676783</v>
      </c>
      <c r="J124" s="45" t="n"/>
      <c r="K124" s="45" t="n">
        <v>0.845464896186118</v>
      </c>
      <c r="L124" s="45" t="n"/>
      <c r="M124" s="45" t="n"/>
      <c r="N124" s="45" t="n">
        <v>0.962649098876861</v>
      </c>
      <c r="O124" s="45" t="n"/>
      <c r="P124" s="45" t="n">
        <v>0.882062482195423</v>
      </c>
      <c r="Q124" s="45" t="n"/>
      <c r="R124" s="45" t="n">
        <v>0.776122046248039</v>
      </c>
      <c r="S124" s="45" t="n">
        <v>0.81041257367387</v>
      </c>
      <c r="T124" s="45" t="n"/>
      <c r="U124" s="45" t="n">
        <v>0.940503561718983</v>
      </c>
      <c r="V124" s="45" t="n"/>
      <c r="W124" s="45" t="n"/>
      <c r="X124" s="45" t="n">
        <v>0.989204342120959</v>
      </c>
      <c r="Y124" s="45" t="n"/>
      <c r="Z124" s="45" t="n">
        <v>0.947212780421482</v>
      </c>
      <c r="AA124" s="45" t="n"/>
      <c r="AB124" s="45" t="n">
        <v>0.804516010595054</v>
      </c>
      <c r="AC124" s="45" t="n">
        <v>0.7333333333333329</v>
      </c>
      <c r="AD124" s="45" t="n"/>
      <c r="AE124" s="45" t="n">
        <v>0.893239143093567</v>
      </c>
      <c r="AF124" s="75">
        <f>IFERROR(AVERAGE(L124:U124),"")</f>
        <v/>
      </c>
      <c r="AG124" s="75">
        <f>IFERROR(AVERAGE(V124:AE124),"")</f>
        <v/>
      </c>
      <c r="AH124" s="75">
        <f>IFERROR(AVERAGE(B124:K124),"")</f>
        <v/>
      </c>
      <c r="AI124" s="45" t="n">
        <v>0.9040374755859381</v>
      </c>
      <c r="AJ124" s="47" t="n">
        <v>0</v>
      </c>
    </row>
    <row r="125" ht="15" customHeight="1" s="30">
      <c r="A125" s="73" t="inlineStr">
        <is>
          <t>7158.jpg</t>
        </is>
      </c>
      <c r="B125" s="45" t="n"/>
      <c r="C125" s="45" t="n"/>
      <c r="D125" s="45" t="n"/>
      <c r="E125" s="45" t="n"/>
      <c r="F125" s="45" t="n"/>
      <c r="G125" s="45" t="n">
        <v>0.849658314350797</v>
      </c>
      <c r="H125" s="45" t="n">
        <v>0.820912841670965</v>
      </c>
      <c r="I125" s="45" t="n"/>
      <c r="J125" s="45" t="n"/>
      <c r="K125" s="45" t="n">
        <v>0.935899718142709</v>
      </c>
      <c r="L125" s="45" t="n"/>
      <c r="M125" s="45" t="n"/>
      <c r="N125" s="45" t="n"/>
      <c r="O125" s="45" t="n"/>
      <c r="P125" s="45" t="n"/>
      <c r="Q125" s="45" t="n">
        <v>0.896326810847923</v>
      </c>
      <c r="R125" s="45" t="n">
        <v>0.912584405656772</v>
      </c>
      <c r="S125" s="45" t="n"/>
      <c r="T125" s="45" t="n"/>
      <c r="U125" s="45" t="n">
        <v>0.963489938352364</v>
      </c>
      <c r="V125" s="45" t="n"/>
      <c r="W125" s="45" t="n"/>
      <c r="X125" s="45" t="n"/>
      <c r="Y125" s="45" t="n"/>
      <c r="Z125" s="45" t="n"/>
      <c r="AA125" s="45" t="n">
        <v>0.9422591122338509</v>
      </c>
      <c r="AB125" s="45" t="n">
        <v>0.890974111793516</v>
      </c>
      <c r="AC125" s="45" t="n"/>
      <c r="AD125" s="45" t="n"/>
      <c r="AE125" s="45" t="n">
        <v>0.9703113945595671</v>
      </c>
      <c r="AF125" s="75">
        <f>IFERROR(AVERAGE(L125:U125),"")</f>
        <v/>
      </c>
      <c r="AG125" s="75">
        <f>IFERROR(AVERAGE(V125:AE125),"")</f>
        <v/>
      </c>
      <c r="AH125" s="75">
        <f>IFERROR(AVERAGE(B125:K125),"")</f>
        <v/>
      </c>
      <c r="AI125" s="45" t="n">
        <v>0.950550079345703</v>
      </c>
      <c r="AJ125" s="47" t="n">
        <v>0</v>
      </c>
    </row>
    <row r="126" ht="15" customHeight="1" s="30">
      <c r="A126" s="73" t="inlineStr">
        <is>
          <t>7172.jpg</t>
        </is>
      </c>
      <c r="B126" s="45" t="n"/>
      <c r="C126" s="45" t="n"/>
      <c r="D126" s="45" t="n"/>
      <c r="E126" s="45" t="n"/>
      <c r="F126" s="45" t="n"/>
      <c r="G126" s="45" t="n"/>
      <c r="H126" s="45" t="n">
        <v>0.694296702397513</v>
      </c>
      <c r="I126" s="45" t="n"/>
      <c r="J126" s="45" t="n"/>
      <c r="K126" s="45" t="n">
        <v>0.969523685219477</v>
      </c>
      <c r="L126" s="45" t="n"/>
      <c r="M126" s="45" t="n"/>
      <c r="N126" s="45" t="n"/>
      <c r="O126" s="45" t="n"/>
      <c r="P126" s="45" t="n"/>
      <c r="Q126" s="45" t="n"/>
      <c r="R126" s="45" t="n">
        <v>0.920931242198947</v>
      </c>
      <c r="S126" s="45" t="n"/>
      <c r="T126" s="45" t="n"/>
      <c r="U126" s="45" t="n">
        <v>0.975319735594973</v>
      </c>
      <c r="V126" s="45" t="n"/>
      <c r="W126" s="45" t="n"/>
      <c r="X126" s="45" t="n"/>
      <c r="Y126" s="45" t="n"/>
      <c r="Z126" s="45" t="n"/>
      <c r="AA126" s="45" t="n"/>
      <c r="AB126" s="45" t="n">
        <v>0.738307591907766</v>
      </c>
      <c r="AC126" s="45" t="n"/>
      <c r="AD126" s="45" t="n"/>
      <c r="AE126" s="45" t="n">
        <v>0.9939078186478451</v>
      </c>
      <c r="AF126" s="75">
        <f>IFERROR(AVERAGE(L126:U126),"")</f>
        <v/>
      </c>
      <c r="AG126" s="75">
        <f>IFERROR(AVERAGE(V126:AE126),"")</f>
        <v/>
      </c>
      <c r="AH126" s="75">
        <f>IFERROR(AVERAGE(B126:K126),"")</f>
        <v/>
      </c>
      <c r="AI126" s="45" t="n">
        <v>0.97149658203125</v>
      </c>
      <c r="AJ126" s="47" t="n">
        <v>0</v>
      </c>
    </row>
    <row r="127" ht="15" customHeight="1" s="30">
      <c r="A127" s="73" t="inlineStr">
        <is>
          <t>7191.jpg</t>
        </is>
      </c>
      <c r="B127" s="45" t="n"/>
      <c r="C127" s="45" t="n"/>
      <c r="D127" s="45" t="n"/>
      <c r="E127" s="45" t="n"/>
      <c r="F127" s="45" t="n"/>
      <c r="G127" s="45" t="n"/>
      <c r="H127" s="45" t="n">
        <v>0.822268841999411</v>
      </c>
      <c r="I127" s="45" t="n"/>
      <c r="J127" s="45" t="n"/>
      <c r="K127" s="45" t="n">
        <v>0.95225831090081</v>
      </c>
      <c r="L127" s="45" t="n"/>
      <c r="M127" s="45" t="n"/>
      <c r="N127" s="45" t="n"/>
      <c r="O127" s="45" t="n"/>
      <c r="P127" s="45" t="n"/>
      <c r="Q127" s="45" t="n"/>
      <c r="R127" s="45" t="n">
        <v>0.873567876220298</v>
      </c>
      <c r="S127" s="45" t="n"/>
      <c r="T127" s="45" t="n"/>
      <c r="U127" s="45" t="n">
        <v>0.983704908252908</v>
      </c>
      <c r="V127" s="45" t="n"/>
      <c r="W127" s="45" t="n"/>
      <c r="X127" s="45" t="n"/>
      <c r="Y127" s="45" t="n"/>
      <c r="Z127" s="45" t="n"/>
      <c r="AA127" s="45" t="n"/>
      <c r="AB127" s="45" t="n">
        <v>0.933343829335013</v>
      </c>
      <c r="AC127" s="45" t="n"/>
      <c r="AD127" s="45" t="n"/>
      <c r="AE127" s="45" t="n">
        <v>0.967520146121487</v>
      </c>
      <c r="AF127" s="75">
        <f>IFERROR(AVERAGE(L127:U127),"")</f>
        <v/>
      </c>
      <c r="AG127" s="75">
        <f>IFERROR(AVERAGE(V127:AE127),"")</f>
        <v/>
      </c>
      <c r="AH127" s="75">
        <f>IFERROR(AVERAGE(B127:K127),"")</f>
        <v/>
      </c>
      <c r="AI127" s="45" t="n">
        <v>0.960895538330078</v>
      </c>
      <c r="AJ127" s="47" t="n">
        <v>0</v>
      </c>
    </row>
    <row r="128" ht="15" customHeight="1" s="30">
      <c r="A128" s="73" t="inlineStr">
        <is>
          <t>7213.jpg</t>
        </is>
      </c>
      <c r="B128" s="45" t="n"/>
      <c r="C128" s="45" t="n"/>
      <c r="D128" s="45" t="n"/>
      <c r="E128" s="45" t="n"/>
      <c r="F128" s="45" t="n">
        <v>0.900206250991591</v>
      </c>
      <c r="G128" s="45" t="n">
        <v>0.901383414483345</v>
      </c>
      <c r="H128" s="45" t="n">
        <v>0.934009356882233</v>
      </c>
      <c r="I128" s="45" t="n"/>
      <c r="J128" s="45" t="n"/>
      <c r="K128" s="45" t="n">
        <v>0.896023259683507</v>
      </c>
      <c r="L128" s="45" t="n"/>
      <c r="M128" s="45" t="n"/>
      <c r="N128" s="45" t="n"/>
      <c r="O128" s="45" t="n"/>
      <c r="P128" s="45" t="n">
        <v>0.948036758563074</v>
      </c>
      <c r="Q128" s="45" t="n">
        <v>0.920680781193262</v>
      </c>
      <c r="R128" s="45" t="n">
        <v>0.946273869460698</v>
      </c>
      <c r="S128" s="45" t="n"/>
      <c r="T128" s="45" t="n"/>
      <c r="U128" s="45" t="n">
        <v>0.9778652802202</v>
      </c>
      <c r="V128" s="45" t="n"/>
      <c r="W128" s="45" t="n"/>
      <c r="X128" s="45" t="n"/>
      <c r="Y128" s="45" t="n"/>
      <c r="Z128" s="45" t="n">
        <v>0.946929238985314</v>
      </c>
      <c r="AA128" s="45" t="n">
        <v>0.9772753934071829</v>
      </c>
      <c r="AB128" s="45" t="n">
        <v>0.986313350983359</v>
      </c>
      <c r="AC128" s="45" t="n"/>
      <c r="AD128" s="45" t="n"/>
      <c r="AE128" s="45" t="n">
        <v>0.914572774485354</v>
      </c>
      <c r="AF128" s="75">
        <f>IFERROR(AVERAGE(L128:U128),"")</f>
        <v/>
      </c>
      <c r="AG128" s="75">
        <f>IFERROR(AVERAGE(V128:AE128),"")</f>
        <v/>
      </c>
      <c r="AH128" s="75">
        <f>IFERROR(AVERAGE(B128:K128),"")</f>
        <v/>
      </c>
      <c r="AI128" s="45" t="n">
        <v>0.952739715576172</v>
      </c>
      <c r="AJ128" s="47" t="n">
        <v>0</v>
      </c>
    </row>
    <row r="129" ht="15" customHeight="1" s="30">
      <c r="A129" s="73" t="inlineStr">
        <is>
          <t>7215.jpg</t>
        </is>
      </c>
      <c r="B129" s="45" t="n"/>
      <c r="C129" s="45" t="n"/>
      <c r="D129" s="45" t="n"/>
      <c r="E129" s="45" t="n"/>
      <c r="F129" s="45" t="n">
        <v>0.712990545266157</v>
      </c>
      <c r="G129" s="45" t="n">
        <v>0.841959936440126</v>
      </c>
      <c r="H129" s="45" t="n">
        <v>0.933676231727125</v>
      </c>
      <c r="I129" s="45" t="n"/>
      <c r="J129" s="45" t="n"/>
      <c r="K129" s="45" t="n">
        <v>0.9285265270572201</v>
      </c>
      <c r="L129" s="45" t="n"/>
      <c r="M129" s="45" t="n"/>
      <c r="N129" s="45" t="n"/>
      <c r="O129" s="45" t="n"/>
      <c r="P129" s="45" t="n">
        <v>0.8279440517371029</v>
      </c>
      <c r="Q129" s="45" t="n">
        <v>0.878052755969683</v>
      </c>
      <c r="R129" s="45" t="n">
        <v>0.951256510623853</v>
      </c>
      <c r="S129" s="45" t="n"/>
      <c r="T129" s="45" t="n"/>
      <c r="U129" s="45" t="n">
        <v>0.985395651649721</v>
      </c>
      <c r="V129" s="45" t="n"/>
      <c r="W129" s="45" t="n"/>
      <c r="X129" s="45" t="n"/>
      <c r="Y129" s="45" t="n"/>
      <c r="Z129" s="45" t="n">
        <v>0.837007754295271</v>
      </c>
      <c r="AA129" s="45" t="n">
        <v>0.953451327433628</v>
      </c>
      <c r="AB129" s="45" t="n">
        <v>0.980590274360573</v>
      </c>
      <c r="AC129" s="45" t="n"/>
      <c r="AD129" s="45" t="n"/>
      <c r="AE129" s="45" t="n">
        <v>0.941482744321062</v>
      </c>
      <c r="AF129" s="75">
        <f>IFERROR(AVERAGE(L129:U129),"")</f>
        <v/>
      </c>
      <c r="AG129" s="75">
        <f>IFERROR(AVERAGE(V129:AE129),"")</f>
        <v/>
      </c>
      <c r="AH129" s="75">
        <f>IFERROR(AVERAGE(B129:K129),"")</f>
        <v/>
      </c>
      <c r="AI129" s="45" t="n">
        <v>0.954051971435547</v>
      </c>
      <c r="AJ129" s="47" t="n">
        <v>0</v>
      </c>
    </row>
    <row r="130" ht="15" customHeight="1" s="30">
      <c r="A130" s="73" t="inlineStr">
        <is>
          <t>7220.jpg</t>
        </is>
      </c>
      <c r="B130" s="45" t="n"/>
      <c r="C130" s="45" t="n"/>
      <c r="D130" s="45" t="n"/>
      <c r="E130" s="45" t="n"/>
      <c r="F130" s="45" t="n">
        <v>0.7949119373776909</v>
      </c>
      <c r="G130" s="45" t="n"/>
      <c r="H130" s="45" t="n">
        <v>0.858329248248219</v>
      </c>
      <c r="I130" s="45" t="n"/>
      <c r="J130" s="45" t="n"/>
      <c r="K130" s="45" t="n">
        <v>0.966101618644335</v>
      </c>
      <c r="L130" s="45" t="n"/>
      <c r="M130" s="45" t="n"/>
      <c r="N130" s="45" t="n"/>
      <c r="O130" s="45" t="n"/>
      <c r="P130" s="45" t="n">
        <v>0.90799356223176</v>
      </c>
      <c r="Q130" s="45" t="n"/>
      <c r="R130" s="45" t="n">
        <v>0.913207547169811</v>
      </c>
      <c r="S130" s="45" t="n"/>
      <c r="T130" s="45" t="n"/>
      <c r="U130" s="45" t="n">
        <v>0.983170379868569</v>
      </c>
      <c r="V130" s="45" t="n"/>
      <c r="W130" s="45" t="n"/>
      <c r="X130" s="45" t="n"/>
      <c r="Y130" s="45" t="n"/>
      <c r="Z130" s="45" t="n">
        <v>0.86454963391793</v>
      </c>
      <c r="AA130" s="45" t="n"/>
      <c r="AB130" s="45" t="n">
        <v>0.934568288854003</v>
      </c>
      <c r="AC130" s="45" t="n"/>
      <c r="AD130" s="45" t="n"/>
      <c r="AE130" s="45" t="n">
        <v>0.982347127404506</v>
      </c>
      <c r="AF130" s="75">
        <f>IFERROR(AVERAGE(L130:U130),"")</f>
        <v/>
      </c>
      <c r="AG130" s="75">
        <f>IFERROR(AVERAGE(V130:AE130),"")</f>
        <v/>
      </c>
      <c r="AH130" s="75">
        <f>IFERROR(AVERAGE(B130:K130),"")</f>
        <v/>
      </c>
      <c r="AI130" s="45" t="n">
        <v>0.971263885498047</v>
      </c>
      <c r="AJ130" s="47" t="n">
        <v>0</v>
      </c>
    </row>
    <row r="131" ht="15" customHeight="1" s="30">
      <c r="A131" s="73" t="inlineStr">
        <is>
          <t>7223.jpg</t>
        </is>
      </c>
      <c r="B131" s="45" t="n"/>
      <c r="C131" s="45" t="n"/>
      <c r="D131" s="45" t="n"/>
      <c r="E131" s="45" t="n"/>
      <c r="F131" s="45" t="n">
        <v>0.875585854282062</v>
      </c>
      <c r="G131" s="45" t="n"/>
      <c r="H131" s="45" t="n">
        <v>0.905370259726567</v>
      </c>
      <c r="I131" s="45" t="n"/>
      <c r="J131" s="45" t="n"/>
      <c r="K131" s="45" t="n">
        <v>0.925101792747972</v>
      </c>
      <c r="L131" s="45" t="n"/>
      <c r="M131" s="45" t="n"/>
      <c r="N131" s="45" t="n"/>
      <c r="O131" s="45" t="n"/>
      <c r="P131" s="45" t="n">
        <v>0.932924753149472</v>
      </c>
      <c r="Q131" s="45" t="n"/>
      <c r="R131" s="45" t="n">
        <v>0.917078293683639</v>
      </c>
      <c r="S131" s="45" t="n"/>
      <c r="T131" s="45" t="n"/>
      <c r="U131" s="45" t="n">
        <v>0.987948132279711</v>
      </c>
      <c r="V131" s="45" t="n"/>
      <c r="W131" s="45" t="n"/>
      <c r="X131" s="45" t="n"/>
      <c r="Y131" s="45" t="n"/>
      <c r="Z131" s="45" t="n">
        <v>0.934409457769694</v>
      </c>
      <c r="AA131" s="45" t="n"/>
      <c r="AB131" s="45" t="n">
        <v>0.986095028470262</v>
      </c>
      <c r="AC131" s="45" t="n"/>
      <c r="AD131" s="45" t="n"/>
      <c r="AE131" s="45" t="n">
        <v>0.9356609249455839</v>
      </c>
      <c r="AF131" s="75">
        <f>IFERROR(AVERAGE(L131:U131),"")</f>
        <v/>
      </c>
      <c r="AG131" s="75">
        <f>IFERROR(AVERAGE(V131:AE131),"")</f>
        <v/>
      </c>
      <c r="AH131" s="75">
        <f>IFERROR(AVERAGE(B131:K131),"")</f>
        <v/>
      </c>
      <c r="AI131" s="45" t="n">
        <v>0.955722808837891</v>
      </c>
      <c r="AJ131" s="47" t="n">
        <v>0</v>
      </c>
    </row>
    <row r="132" ht="15" customHeight="1" s="30">
      <c r="A132" s="73" t="inlineStr">
        <is>
          <t>7231.jpg</t>
        </is>
      </c>
      <c r="B132" s="45" t="n"/>
      <c r="C132" s="45" t="n"/>
      <c r="D132" s="45" t="n">
        <v>0.923408778291859</v>
      </c>
      <c r="E132" s="45" t="n"/>
      <c r="F132" s="45" t="n">
        <v>0.795740812881444</v>
      </c>
      <c r="G132" s="45" t="n"/>
      <c r="H132" s="45" t="n">
        <v>0.931074947564356</v>
      </c>
      <c r="I132" s="45" t="n"/>
      <c r="J132" s="45" t="n"/>
      <c r="K132" s="45" t="n">
        <v>0.86892840040807</v>
      </c>
      <c r="L132" s="45" t="n"/>
      <c r="M132" s="45" t="n"/>
      <c r="N132" s="45" t="n">
        <v>0.943223911099757</v>
      </c>
      <c r="O132" s="45" t="n"/>
      <c r="P132" s="45" t="n">
        <v>0.889340396197664</v>
      </c>
      <c r="Q132" s="45" t="n"/>
      <c r="R132" s="45" t="n">
        <v>0.955233278210992</v>
      </c>
      <c r="S132" s="45" t="n"/>
      <c r="T132" s="45" t="n"/>
      <c r="U132" s="45" t="n">
        <v>0.94661933815691</v>
      </c>
      <c r="V132" s="45" t="n"/>
      <c r="W132" s="45" t="n"/>
      <c r="X132" s="45" t="n">
        <v>0.977755710029791</v>
      </c>
      <c r="Y132" s="45" t="n"/>
      <c r="Z132" s="45" t="n">
        <v>0.883188008935649</v>
      </c>
      <c r="AA132" s="45" t="n"/>
      <c r="AB132" s="45" t="n">
        <v>0.973555607269035</v>
      </c>
      <c r="AC132" s="45" t="n"/>
      <c r="AD132" s="45" t="n"/>
      <c r="AE132" s="45" t="n">
        <v>0.913699304909419</v>
      </c>
      <c r="AF132" s="75">
        <f>IFERROR(AVERAGE(L132:U132),"")</f>
        <v/>
      </c>
      <c r="AG132" s="75">
        <f>IFERROR(AVERAGE(V132:AE132),"")</f>
        <v/>
      </c>
      <c r="AH132" s="75">
        <f>IFERROR(AVERAGE(B132:K132),"")</f>
        <v/>
      </c>
      <c r="AI132" s="45" t="n">
        <v>0.948154449462891</v>
      </c>
      <c r="AJ132" s="47" t="n">
        <v>0</v>
      </c>
    </row>
    <row r="133" ht="15" customHeight="1" s="30">
      <c r="A133" s="73" t="inlineStr">
        <is>
          <t>7232.jpg</t>
        </is>
      </c>
      <c r="B133" s="45" t="n"/>
      <c r="C133" s="45" t="n"/>
      <c r="D133" s="45" t="n">
        <v>0.921748422903237</v>
      </c>
      <c r="E133" s="45" t="n"/>
      <c r="F133" s="45" t="n">
        <v>0.692537936795211</v>
      </c>
      <c r="G133" s="45" t="n"/>
      <c r="H133" s="45" t="n">
        <v>0.901628940131162</v>
      </c>
      <c r="I133" s="45" t="n"/>
      <c r="J133" s="45" t="n"/>
      <c r="K133" s="45" t="n">
        <v>0.859554892874389</v>
      </c>
      <c r="L133" s="45" t="n"/>
      <c r="M133" s="45" t="n"/>
      <c r="N133" s="45" t="n">
        <v>0.94728451482623</v>
      </c>
      <c r="O133" s="45" t="n"/>
      <c r="P133" s="45" t="n">
        <v>0.868832416382849</v>
      </c>
      <c r="Q133" s="45" t="n"/>
      <c r="R133" s="45" t="n">
        <v>0.955673949700427</v>
      </c>
      <c r="S133" s="45" t="n"/>
      <c r="T133" s="45" t="n"/>
      <c r="U133" s="45" t="n">
        <v>0.91427721808712</v>
      </c>
      <c r="V133" s="45" t="n"/>
      <c r="W133" s="45" t="n"/>
      <c r="X133" s="45" t="n">
        <v>0.971585334835217</v>
      </c>
      <c r="Y133" s="45" t="n"/>
      <c r="Z133" s="45" t="n">
        <v>0.773398631840796</v>
      </c>
      <c r="AA133" s="45" t="n"/>
      <c r="AB133" s="45" t="n">
        <v>0.940980102973515</v>
      </c>
      <c r="AC133" s="45" t="n"/>
      <c r="AD133" s="45" t="n"/>
      <c r="AE133" s="45" t="n">
        <v>0.934900392532665</v>
      </c>
      <c r="AF133" s="75">
        <f>IFERROR(AVERAGE(L133:U133),"")</f>
        <v/>
      </c>
      <c r="AG133" s="75">
        <f>IFERROR(AVERAGE(V133:AE133),"")</f>
        <v/>
      </c>
      <c r="AH133" s="75">
        <f>IFERROR(AVERAGE(B133:K133),"")</f>
        <v/>
      </c>
      <c r="AI133" s="45" t="n">
        <v>0.933452606201172</v>
      </c>
      <c r="AJ133" s="47" t="n">
        <v>0</v>
      </c>
    </row>
    <row r="134" ht="15" customHeight="1" s="30">
      <c r="A134" s="73" t="inlineStr">
        <is>
          <t>7233.jpg</t>
        </is>
      </c>
      <c r="B134" s="45" t="n"/>
      <c r="C134" s="45" t="n"/>
      <c r="D134" s="45" t="n">
        <v>0.918852823477101</v>
      </c>
      <c r="E134" s="45" t="n"/>
      <c r="F134" s="45" t="n">
        <v>0.838150289017341</v>
      </c>
      <c r="G134" s="45" t="n"/>
      <c r="H134" s="45" t="n">
        <v>0.883995237406389</v>
      </c>
      <c r="I134" s="45" t="n"/>
      <c r="J134" s="45" t="n"/>
      <c r="K134" s="45" t="n">
        <v>0.891277814988465</v>
      </c>
      <c r="L134" s="45" t="n"/>
      <c r="M134" s="45" t="n"/>
      <c r="N134" s="45" t="n">
        <v>0.944146202170188</v>
      </c>
      <c r="O134" s="45" t="n"/>
      <c r="P134" s="45" t="n">
        <v>0.966151385927505</v>
      </c>
      <c r="Q134" s="45" t="n"/>
      <c r="R134" s="45" t="n">
        <v>0.975993906334464</v>
      </c>
      <c r="S134" s="45" t="n"/>
      <c r="T134" s="45" t="n"/>
      <c r="U134" s="45" t="n">
        <v>0.916164320685435</v>
      </c>
      <c r="V134" s="45" t="n"/>
      <c r="W134" s="45" t="n"/>
      <c r="X134" s="45" t="n">
        <v>0.971670389091337</v>
      </c>
      <c r="Y134" s="45" t="n"/>
      <c r="Z134" s="45" t="n">
        <v>0.863506431634111</v>
      </c>
      <c r="AA134" s="45" t="n"/>
      <c r="AB134" s="45" t="n">
        <v>0.903643374699988</v>
      </c>
      <c r="AC134" s="45" t="n"/>
      <c r="AD134" s="45" t="n"/>
      <c r="AE134" s="45" t="n">
        <v>0.970424030272828</v>
      </c>
      <c r="AF134" s="75">
        <f>IFERROR(AVERAGE(L134:U134),"")</f>
        <v/>
      </c>
      <c r="AG134" s="75">
        <f>IFERROR(AVERAGE(V134:AE134),"")</f>
        <v/>
      </c>
      <c r="AH134" s="75">
        <f>IFERROR(AVERAGE(B134:K134),"")</f>
        <v/>
      </c>
      <c r="AI134" s="45" t="n">
        <v>0.941341400146484</v>
      </c>
      <c r="AJ134" s="47" t="n">
        <v>0</v>
      </c>
    </row>
    <row r="135" ht="15" customHeight="1" s="30">
      <c r="A135" s="73" t="inlineStr">
        <is>
          <t>7241.jpg</t>
        </is>
      </c>
      <c r="B135" s="45" t="n"/>
      <c r="C135" s="45" t="n">
        <v>0.887669464170433</v>
      </c>
      <c r="D135" s="45" t="n"/>
      <c r="E135" s="45" t="n">
        <v>0.733370459748778</v>
      </c>
      <c r="F135" s="45" t="n"/>
      <c r="G135" s="45" t="n">
        <v>0.633781668723835</v>
      </c>
      <c r="H135" s="45" t="n">
        <v>0.825532275439679</v>
      </c>
      <c r="I135" s="45" t="n">
        <v>0.630666141111549</v>
      </c>
      <c r="J135" s="45" t="n">
        <v>0.715056400196175</v>
      </c>
      <c r="K135" s="45" t="n">
        <v>0</v>
      </c>
      <c r="L135" s="45" t="n"/>
      <c r="M135" s="45" t="n">
        <v>0.909391534391534</v>
      </c>
      <c r="N135" s="45" t="n"/>
      <c r="O135" s="45" t="n">
        <v>0.7878092959103981</v>
      </c>
      <c r="P135" s="45" t="n"/>
      <c r="Q135" s="45" t="n">
        <v>0.9662443983161</v>
      </c>
      <c r="R135" s="45" t="n">
        <v>0.914997518077785</v>
      </c>
      <c r="S135" s="45" t="n">
        <v>0.717488789237668</v>
      </c>
      <c r="T135" s="45" t="n">
        <v>0.759770713913497</v>
      </c>
      <c r="U135" s="45" t="n">
        <v>0</v>
      </c>
      <c r="V135" s="45" t="n"/>
      <c r="W135" s="45" t="n">
        <v>0.973796033994334</v>
      </c>
      <c r="X135" s="45" t="n"/>
      <c r="Y135" s="45" t="n">
        <v>0.913889156626506</v>
      </c>
      <c r="Z135" s="45" t="n"/>
      <c r="AA135" s="45" t="n">
        <v>0.6481320025505229</v>
      </c>
      <c r="AB135" s="45" t="n">
        <v>0.894102069978107</v>
      </c>
      <c r="AC135" s="45" t="n">
        <v>0.839014158363922</v>
      </c>
      <c r="AD135" s="45" t="n">
        <v>0.923954372623574</v>
      </c>
      <c r="AE135" s="45" t="n"/>
      <c r="AF135" s="75">
        <f>IFERROR(AVERAGE(L135:U135),"")</f>
        <v/>
      </c>
      <c r="AG135" s="75">
        <f>IFERROR(AVERAGE(V135:AE135),"")</f>
        <v/>
      </c>
      <c r="AH135" s="75">
        <f>IFERROR(AVERAGE(B135:K135),"")</f>
        <v/>
      </c>
      <c r="AI135" s="45" t="n">
        <v>0.842002868652344</v>
      </c>
      <c r="AJ135" s="47" t="n">
        <v>0</v>
      </c>
    </row>
    <row r="136" ht="15" customHeight="1" s="30">
      <c r="A136" s="73" t="inlineStr">
        <is>
          <t>7253.jpg</t>
        </is>
      </c>
      <c r="B136" s="45" t="n"/>
      <c r="C136" s="45" t="n">
        <v>0.889971632127157</v>
      </c>
      <c r="D136" s="45" t="n"/>
      <c r="E136" s="45" t="n">
        <v>0.907266334602989</v>
      </c>
      <c r="F136" s="45" t="n"/>
      <c r="G136" s="45" t="n">
        <v>0.763849551678089</v>
      </c>
      <c r="H136" s="45" t="n">
        <v>0.811167140885145</v>
      </c>
      <c r="I136" s="45" t="n">
        <v>0.495677233429395</v>
      </c>
      <c r="J136" s="45" t="n">
        <v>0.8578383641674781</v>
      </c>
      <c r="K136" s="45" t="n">
        <v>0</v>
      </c>
      <c r="L136" s="45" t="n"/>
      <c r="M136" s="45" t="n">
        <v>0.936578473599052</v>
      </c>
      <c r="N136" s="45" t="n"/>
      <c r="O136" s="45" t="n">
        <v>0.933835433795753</v>
      </c>
      <c r="P136" s="45" t="n"/>
      <c r="Q136" s="45" t="n">
        <v>0.9200353513035791</v>
      </c>
      <c r="R136" s="45" t="n">
        <v>0.8840650905741479</v>
      </c>
      <c r="S136" s="45" t="n">
        <v>0.731914893617021</v>
      </c>
      <c r="T136" s="45" t="n">
        <v>0.887210473313192</v>
      </c>
      <c r="U136" s="45" t="n">
        <v>0</v>
      </c>
      <c r="V136" s="45" t="n"/>
      <c r="W136" s="45" t="n">
        <v>0.947045810673795</v>
      </c>
      <c r="X136" s="45" t="n"/>
      <c r="Y136" s="45" t="n">
        <v>0.969593842959203</v>
      </c>
      <c r="Z136" s="45" t="n"/>
      <c r="AA136" s="45" t="n">
        <v>0.8181675285685091</v>
      </c>
      <c r="AB136" s="45" t="n">
        <v>0.90772674253649</v>
      </c>
      <c r="AC136" s="45" t="n">
        <v>0.605633802816901</v>
      </c>
      <c r="AD136" s="45" t="n">
        <v>0.962841530054645</v>
      </c>
      <c r="AE136" s="45" t="n"/>
      <c r="AF136" s="75">
        <f>IFERROR(AVERAGE(L136:U136),"")</f>
        <v/>
      </c>
      <c r="AG136" s="75">
        <f>IFERROR(AVERAGE(V136:AE136),"")</f>
        <v/>
      </c>
      <c r="AH136" s="75">
        <f>IFERROR(AVERAGE(B136:K136),"")</f>
        <v/>
      </c>
      <c r="AI136" s="45" t="n">
        <v>0.920024871826172</v>
      </c>
      <c r="AJ136" s="47" t="n">
        <v>0</v>
      </c>
    </row>
    <row r="137" ht="15" customHeight="1" s="30">
      <c r="A137" s="73" t="inlineStr">
        <is>
          <t>7268.jpg</t>
        </is>
      </c>
      <c r="B137" s="45" t="n">
        <v>0</v>
      </c>
      <c r="C137" s="45" t="n"/>
      <c r="D137" s="45" t="n"/>
      <c r="E137" s="45" t="n"/>
      <c r="F137" s="45" t="n"/>
      <c r="G137" s="45" t="n">
        <v>0.96659020979021</v>
      </c>
      <c r="H137" s="45" t="n">
        <v>0.9337230658961611</v>
      </c>
      <c r="I137" s="45" t="n"/>
      <c r="J137" s="45" t="n"/>
      <c r="K137" s="45" t="n">
        <v>0</v>
      </c>
      <c r="L137" s="45" t="n"/>
      <c r="M137" s="45" t="n"/>
      <c r="N137" s="45" t="n"/>
      <c r="O137" s="45" t="n"/>
      <c r="P137" s="45" t="n"/>
      <c r="Q137" s="45" t="n">
        <v>0.985933817613257</v>
      </c>
      <c r="R137" s="45" t="n">
        <v>0.960032241349531</v>
      </c>
      <c r="S137" s="45" t="n"/>
      <c r="T137" s="45" t="n"/>
      <c r="U137" s="45" t="n">
        <v>0</v>
      </c>
      <c r="V137" s="45" t="n">
        <v>0</v>
      </c>
      <c r="W137" s="45" t="n"/>
      <c r="X137" s="45" t="n"/>
      <c r="Y137" s="45" t="n"/>
      <c r="Z137" s="45" t="n"/>
      <c r="AA137" s="45" t="n">
        <v>0.980106078225601</v>
      </c>
      <c r="AB137" s="45" t="n">
        <v>0.97148716514606</v>
      </c>
      <c r="AC137" s="45" t="n"/>
      <c r="AD137" s="45" t="n"/>
      <c r="AE137" s="45" t="n"/>
      <c r="AF137" s="75">
        <f>IFERROR(AVERAGE(L137:U137),"")</f>
        <v/>
      </c>
      <c r="AG137" s="75">
        <f>IFERROR(AVERAGE(V137:AE137),"")</f>
        <v/>
      </c>
      <c r="AH137" s="75">
        <f>IFERROR(AVERAGE(B137:K137),"")</f>
        <v/>
      </c>
      <c r="AI137" s="45" t="n">
        <v>0.977142333984375</v>
      </c>
      <c r="AJ137" s="47" t="n">
        <v>0</v>
      </c>
    </row>
    <row r="138" ht="15" customHeight="1" s="30">
      <c r="A138" s="73" t="inlineStr">
        <is>
          <t>7279.jpg</t>
        </is>
      </c>
      <c r="B138" s="45" t="n"/>
      <c r="C138" s="45" t="n">
        <v>0.792256637168142</v>
      </c>
      <c r="D138" s="45" t="n">
        <v>0.604834471886495</v>
      </c>
      <c r="E138" s="45" t="n">
        <v>0</v>
      </c>
      <c r="F138" s="45" t="n">
        <v>0</v>
      </c>
      <c r="G138" s="45" t="n">
        <v>0.712827481067825</v>
      </c>
      <c r="H138" s="45" t="n">
        <v>0.743617599130907</v>
      </c>
      <c r="I138" s="45" t="n"/>
      <c r="J138" s="45" t="n">
        <v>0.209273182957394</v>
      </c>
      <c r="K138" s="45" t="n">
        <v>0</v>
      </c>
      <c r="L138" s="45" t="n"/>
      <c r="M138" s="45" t="n">
        <v>0.922225083698172</v>
      </c>
      <c r="N138" s="45" t="n">
        <v>0.6802600472813241</v>
      </c>
      <c r="O138" s="45" t="n"/>
      <c r="P138" s="45" t="n"/>
      <c r="Q138" s="45" t="n">
        <v>0.989089822149156</v>
      </c>
      <c r="R138" s="45" t="n">
        <v>0.950529421975352</v>
      </c>
      <c r="S138" s="45" t="n"/>
      <c r="T138" s="45" t="n">
        <v>0.76605504587156</v>
      </c>
      <c r="U138" s="45" t="n">
        <v>0</v>
      </c>
      <c r="V138" s="45" t="n"/>
      <c r="W138" s="45" t="n">
        <v>0.848980559506875</v>
      </c>
      <c r="X138" s="45" t="n">
        <v>0.845080763582966</v>
      </c>
      <c r="Y138" s="45" t="n">
        <v>0</v>
      </c>
      <c r="Z138" s="45" t="n">
        <v>0</v>
      </c>
      <c r="AA138" s="45" t="n">
        <v>0.718476763121633</v>
      </c>
      <c r="AB138" s="45" t="n">
        <v>0.773555586947309</v>
      </c>
      <c r="AC138" s="45" t="n"/>
      <c r="AD138" s="45" t="n">
        <v>0.223560910307898</v>
      </c>
      <c r="AE138" s="45" t="n"/>
      <c r="AF138" s="75">
        <f>IFERROR(AVERAGE(L138:U138),"")</f>
        <v/>
      </c>
      <c r="AG138" s="75">
        <f>IFERROR(AVERAGE(V138:AE138),"")</f>
        <v/>
      </c>
      <c r="AH138" s="75">
        <f>IFERROR(AVERAGE(B138:K138),"")</f>
        <v/>
      </c>
      <c r="AI138" s="45" t="n">
        <v>0.695964813232422</v>
      </c>
      <c r="AJ138" s="47" t="n">
        <v>0</v>
      </c>
    </row>
    <row r="139" ht="15" customHeight="1" s="30">
      <c r="A139" s="73" t="inlineStr">
        <is>
          <t>7284.jpg</t>
        </is>
      </c>
      <c r="B139" s="45" t="n"/>
      <c r="C139" s="45" t="n">
        <v>0.346494657284337</v>
      </c>
      <c r="D139" s="45" t="n">
        <v>0.292395104895105</v>
      </c>
      <c r="E139" s="45" t="n">
        <v>0</v>
      </c>
      <c r="F139" s="45" t="n"/>
      <c r="G139" s="45" t="n">
        <v>0.915361850097787</v>
      </c>
      <c r="H139" s="45" t="n">
        <v>0.352897196261682</v>
      </c>
      <c r="I139" s="45" t="n">
        <v>0</v>
      </c>
      <c r="J139" s="45" t="n">
        <v>0.787620064034152</v>
      </c>
      <c r="K139" s="45" t="n">
        <v>0</v>
      </c>
      <c r="L139" s="45" t="n"/>
      <c r="M139" s="45" t="n">
        <v>0.361719493946402</v>
      </c>
      <c r="N139" s="45" t="n">
        <v>0.820858895705522</v>
      </c>
      <c r="O139" s="45" t="n">
        <v>0</v>
      </c>
      <c r="P139" s="45" t="n"/>
      <c r="Q139" s="45" t="n">
        <v>0.99240392629347</v>
      </c>
      <c r="R139" s="45" t="n">
        <v>0.959349593495935</v>
      </c>
      <c r="S139" s="45" t="n">
        <v>0</v>
      </c>
      <c r="T139" s="45" t="n">
        <v>0.846330275229358</v>
      </c>
      <c r="U139" s="45" t="n">
        <v>0</v>
      </c>
      <c r="V139" s="45" t="n"/>
      <c r="W139" s="45" t="n">
        <v>0.891683433936955</v>
      </c>
      <c r="X139" s="45" t="n">
        <v>0.312324929971989</v>
      </c>
      <c r="Y139" s="45" t="n"/>
      <c r="Z139" s="45" t="n"/>
      <c r="AA139" s="45" t="n">
        <v>0.921820471885053</v>
      </c>
      <c r="AB139" s="45" t="n">
        <v>0.358254269449715</v>
      </c>
      <c r="AC139" s="45" t="n"/>
      <c r="AD139" s="45" t="n">
        <v>0.9190535491905359</v>
      </c>
      <c r="AE139" s="45" t="n"/>
      <c r="AF139" s="75">
        <f>IFERROR(AVERAGE(L139:U139),"")</f>
        <v/>
      </c>
      <c r="AG139" s="75">
        <f>IFERROR(AVERAGE(V139:AE139),"")</f>
        <v/>
      </c>
      <c r="AH139" s="75">
        <f>IFERROR(AVERAGE(B139:K139),"")</f>
        <v/>
      </c>
      <c r="AI139" s="45" t="n">
        <v>0.9008636474609381</v>
      </c>
      <c r="AJ139" s="47" t="n">
        <v>0</v>
      </c>
    </row>
    <row r="140" ht="15" customHeight="1" s="30">
      <c r="A140" s="73" t="inlineStr">
        <is>
          <t>7291.jpg</t>
        </is>
      </c>
      <c r="B140" s="45" t="n"/>
      <c r="C140" s="45" t="n">
        <v>0</v>
      </c>
      <c r="D140" s="45" t="n">
        <v>0.421672077922078</v>
      </c>
      <c r="E140" s="45" t="n">
        <v>0.745251396648045</v>
      </c>
      <c r="F140" s="45" t="n"/>
      <c r="G140" s="45" t="n">
        <v>0.935164637927096</v>
      </c>
      <c r="H140" s="45" t="n">
        <v>0.7600664635834949</v>
      </c>
      <c r="I140" s="45" t="n">
        <v>0.455916473317865</v>
      </c>
      <c r="J140" s="45" t="n"/>
      <c r="K140" s="45" t="n">
        <v>0.856953570261735</v>
      </c>
      <c r="L140" s="45" t="n"/>
      <c r="M140" s="45" t="n">
        <v>0</v>
      </c>
      <c r="N140" s="45" t="n">
        <v>0.974671669793621</v>
      </c>
      <c r="O140" s="45" t="n">
        <v>0.776546629732225</v>
      </c>
      <c r="P140" s="45" t="n"/>
      <c r="Q140" s="45" t="n">
        <v>0.964329281117234</v>
      </c>
      <c r="R140" s="45" t="n">
        <v>0.9205742268732811</v>
      </c>
      <c r="S140" s="45" t="n">
        <v>0.539094650205761</v>
      </c>
      <c r="T140" s="45" t="n"/>
      <c r="U140" s="45" t="n">
        <v>0.934679534768622</v>
      </c>
      <c r="V140" s="45" t="n"/>
      <c r="W140" s="45" t="n"/>
      <c r="X140" s="45" t="n">
        <v>0.426343865408289</v>
      </c>
      <c r="Y140" s="45" t="n">
        <v>0.948697827259797</v>
      </c>
      <c r="Z140" s="45" t="n"/>
      <c r="AA140" s="45" t="n">
        <v>0.968672886455059</v>
      </c>
      <c r="AB140" s="45" t="n">
        <v>0.813407622547567</v>
      </c>
      <c r="AC140" s="45" t="n">
        <v>0.747148288973384</v>
      </c>
      <c r="AD140" s="45" t="n"/>
      <c r="AE140" s="45" t="n">
        <v>0.91154466207802</v>
      </c>
      <c r="AF140" s="75">
        <f>IFERROR(AVERAGE(L140:U140),"")</f>
        <v/>
      </c>
      <c r="AG140" s="75">
        <f>IFERROR(AVERAGE(V140:AE140),"")</f>
        <v/>
      </c>
      <c r="AH140" s="75">
        <f>IFERROR(AVERAGE(B140:K140),"")</f>
        <v/>
      </c>
      <c r="AI140" s="45" t="n">
        <v>0.929065704345703</v>
      </c>
      <c r="AJ140" s="47" t="n">
        <v>0</v>
      </c>
    </row>
    <row r="141" ht="15" customHeight="1" s="30">
      <c r="A141" s="73" t="inlineStr">
        <is>
          <t>7294.jpg</t>
        </is>
      </c>
      <c r="B141" s="45" t="n"/>
      <c r="C141" s="45" t="n">
        <v>0.800312314098751</v>
      </c>
      <c r="D141" s="45" t="n">
        <v>0</v>
      </c>
      <c r="E141" s="45" t="n">
        <v>0.6745033981856901</v>
      </c>
      <c r="F141" s="45" t="n"/>
      <c r="G141" s="45" t="n">
        <v>0</v>
      </c>
      <c r="H141" s="45" t="n">
        <v>0.790778398079315</v>
      </c>
      <c r="I141" s="45" t="n">
        <v>0.451127819548872</v>
      </c>
      <c r="J141" s="45" t="n">
        <v>0.489893617021277</v>
      </c>
      <c r="K141" s="45" t="n">
        <v>0.547920061433575</v>
      </c>
      <c r="L141" s="45" t="n"/>
      <c r="M141" s="45" t="n">
        <v>0.862705805024288</v>
      </c>
      <c r="N141" s="45" t="n">
        <v>0</v>
      </c>
      <c r="O141" s="45" t="n">
        <v>0.728509994801758</v>
      </c>
      <c r="P141" s="45" t="n"/>
      <c r="Q141" s="45" t="n"/>
      <c r="R141" s="45" t="n">
        <v>0.871969890278132</v>
      </c>
      <c r="S141" s="45" t="n">
        <v>0.540946656649136</v>
      </c>
      <c r="T141" s="45" t="n">
        <v>0.8889961389961391</v>
      </c>
      <c r="U141" s="45" t="n">
        <v>0.776277033302375</v>
      </c>
      <c r="V141" s="45" t="n"/>
      <c r="W141" s="45" t="n">
        <v>0.9171211398186651</v>
      </c>
      <c r="X141" s="45" t="n">
        <v>0</v>
      </c>
      <c r="Y141" s="45" t="n">
        <v>0.9009760183904461</v>
      </c>
      <c r="Z141" s="45" t="n"/>
      <c r="AA141" s="45" t="n">
        <v>0</v>
      </c>
      <c r="AB141" s="45" t="n">
        <v>0.894655888994339</v>
      </c>
      <c r="AC141" s="45" t="n">
        <v>0.730964467005076</v>
      </c>
      <c r="AD141" s="45" t="n">
        <v>0.521813031161473</v>
      </c>
      <c r="AE141" s="45" t="n">
        <v>0.650667259786477</v>
      </c>
      <c r="AF141" s="75">
        <f>IFERROR(AVERAGE(L141:U141),"")</f>
        <v/>
      </c>
      <c r="AG141" s="75">
        <f>IFERROR(AVERAGE(V141:AE141),"")</f>
        <v/>
      </c>
      <c r="AH141" s="75">
        <f>IFERROR(AVERAGE(B141:K141),"")</f>
        <v/>
      </c>
      <c r="AI141" s="45" t="n">
        <v>0.812416076660156</v>
      </c>
      <c r="AJ141" s="47" t="n">
        <v>0</v>
      </c>
    </row>
    <row r="142" ht="15" customHeight="1" s="30">
      <c r="A142" s="73" t="inlineStr">
        <is>
          <t>7300.jpg</t>
        </is>
      </c>
      <c r="B142" s="45" t="n"/>
      <c r="C142" s="45" t="n">
        <v>0.858267586298153</v>
      </c>
      <c r="D142" s="45" t="n">
        <v>0</v>
      </c>
      <c r="E142" s="45" t="n">
        <v>0.766333144547228</v>
      </c>
      <c r="F142" s="45" t="n">
        <v>0</v>
      </c>
      <c r="G142" s="45" t="n"/>
      <c r="H142" s="45" t="n">
        <v>0.757055184175474</v>
      </c>
      <c r="I142" s="45" t="n">
        <v>0.499158249158249</v>
      </c>
      <c r="J142" s="45" t="n">
        <v>0.643830947511929</v>
      </c>
      <c r="K142" s="45" t="n">
        <v>0.715304826720313</v>
      </c>
      <c r="L142" s="45" t="n"/>
      <c r="M142" s="45" t="n">
        <v>0.94271751176353</v>
      </c>
      <c r="N142" s="45" t="n">
        <v>0</v>
      </c>
      <c r="O142" s="45" t="n">
        <v>0.818400537634409</v>
      </c>
      <c r="P142" s="45" t="n"/>
      <c r="Q142" s="45" t="n"/>
      <c r="R142" s="45" t="n">
        <v>0.898367678558239</v>
      </c>
      <c r="S142" s="45" t="n">
        <v>0.692757009345794</v>
      </c>
      <c r="T142" s="45" t="n">
        <v>0.7141776937618149</v>
      </c>
      <c r="U142" s="45" t="n">
        <v>0.829129938644219</v>
      </c>
      <c r="V142" s="45" t="n"/>
      <c r="W142" s="45" t="n">
        <v>0.905489826545213</v>
      </c>
      <c r="X142" s="45" t="n"/>
      <c r="Y142" s="45" t="n">
        <v>0.923344049496543</v>
      </c>
      <c r="Z142" s="45" t="n">
        <v>0</v>
      </c>
      <c r="AA142" s="45" t="n"/>
      <c r="AB142" s="45" t="n">
        <v>0.827966943949027</v>
      </c>
      <c r="AC142" s="45" t="n">
        <v>0.641081081081081</v>
      </c>
      <c r="AD142" s="45" t="n">
        <v>0.867309458218549</v>
      </c>
      <c r="AE142" s="45" t="n">
        <v>0.838981207222585</v>
      </c>
      <c r="AF142" s="75">
        <f>IFERROR(AVERAGE(L142:U142),"")</f>
        <v/>
      </c>
      <c r="AG142" s="75">
        <f>IFERROR(AVERAGE(V142:AE142),"")</f>
        <v/>
      </c>
      <c r="AH142" s="75">
        <f>IFERROR(AVERAGE(B142:K142),"")</f>
        <v/>
      </c>
      <c r="AI142" s="45" t="n">
        <v>0.862926483154297</v>
      </c>
      <c r="AJ142" s="47" t="n">
        <v>0</v>
      </c>
    </row>
    <row r="143" ht="15" customHeight="1" s="30">
      <c r="A143" s="73" t="inlineStr">
        <is>
          <t>7301.jpg</t>
        </is>
      </c>
      <c r="B143" s="45" t="n"/>
      <c r="C143" s="45" t="n">
        <v>0.791168582375479</v>
      </c>
      <c r="D143" s="45" t="n">
        <v>0</v>
      </c>
      <c r="E143" s="45" t="n">
        <v>0.741264927023441</v>
      </c>
      <c r="F143" s="45" t="n">
        <v>0</v>
      </c>
      <c r="G143" s="45" t="n"/>
      <c r="H143" s="45" t="n">
        <v>0.750478323766858</v>
      </c>
      <c r="I143" s="45" t="n">
        <v>0.5883928571428571</v>
      </c>
      <c r="J143" s="45" t="n">
        <v>0.731388329979879</v>
      </c>
      <c r="K143" s="45" t="n">
        <v>0.6695548804649319</v>
      </c>
      <c r="L143" s="45" t="n"/>
      <c r="M143" s="45" t="n">
        <v>0.875256967256543</v>
      </c>
      <c r="N143" s="45" t="n">
        <v>0</v>
      </c>
      <c r="O143" s="45" t="n">
        <v>0.809759632805895</v>
      </c>
      <c r="P143" s="45" t="n"/>
      <c r="Q143" s="45" t="n"/>
      <c r="R143" s="45" t="n">
        <v>0.841185777987002</v>
      </c>
      <c r="S143" s="45" t="n">
        <v>0.794933655006031</v>
      </c>
      <c r="T143" s="45" t="n">
        <v>0.830857142857143</v>
      </c>
      <c r="U143" s="45" t="n">
        <v>0.8413470315845381</v>
      </c>
      <c r="V143" s="45" t="n"/>
      <c r="W143" s="45" t="n">
        <v>0.891717407263463</v>
      </c>
      <c r="X143" s="45" t="n">
        <v>0</v>
      </c>
      <c r="Y143" s="45" t="n">
        <v>0.89757665015397</v>
      </c>
      <c r="Z143" s="45" t="n">
        <v>0</v>
      </c>
      <c r="AA143" s="45" t="n"/>
      <c r="AB143" s="45" t="n">
        <v>0.874366258444224</v>
      </c>
      <c r="AC143" s="45" t="n">
        <v>0.693684210526316</v>
      </c>
      <c r="AD143" s="45" t="n">
        <v>0.859338061465721</v>
      </c>
      <c r="AE143" s="45" t="n">
        <v>0.766307387643422</v>
      </c>
      <c r="AF143" s="75">
        <f>IFERROR(AVERAGE(L143:U143),"")</f>
        <v/>
      </c>
      <c r="AG143" s="75">
        <f>IFERROR(AVERAGE(V143:AE143),"")</f>
        <v/>
      </c>
      <c r="AH143" s="75">
        <f>IFERROR(AVERAGE(B143:K143),"")</f>
        <v/>
      </c>
      <c r="AI143" s="45" t="n">
        <v>0.837306976318359</v>
      </c>
      <c r="AJ143" s="47" t="n">
        <v>0</v>
      </c>
    </row>
    <row r="144" ht="15" customHeight="1" s="30">
      <c r="A144" s="73" t="inlineStr">
        <is>
          <t>7307.jpg</t>
        </is>
      </c>
      <c r="B144" s="45" t="n"/>
      <c r="C144" s="45" t="n">
        <v>0.730530100626732</v>
      </c>
      <c r="D144" s="45" t="n">
        <v>0.183395067305086</v>
      </c>
      <c r="E144" s="45" t="n">
        <v>0.800594848143392</v>
      </c>
      <c r="F144" s="45" t="n"/>
      <c r="G144" s="45" t="n">
        <v>0</v>
      </c>
      <c r="H144" s="45" t="n">
        <v>0.79477730767481</v>
      </c>
      <c r="I144" s="45" t="n">
        <v>0.541353383458647</v>
      </c>
      <c r="J144" s="45" t="n">
        <v>0.741973840665874</v>
      </c>
      <c r="K144" s="45" t="n">
        <v>0.800386169556303</v>
      </c>
      <c r="L144" s="45" t="n"/>
      <c r="M144" s="45" t="n">
        <v>0.777512025299636</v>
      </c>
      <c r="N144" s="45" t="n">
        <v>0.833333333333333</v>
      </c>
      <c r="O144" s="45" t="n">
        <v>0.924402420574887</v>
      </c>
      <c r="P144" s="45" t="n"/>
      <c r="Q144" s="45" t="n"/>
      <c r="R144" s="45" t="n">
        <v>0.888425549227014</v>
      </c>
      <c r="S144" s="45" t="n">
        <v>0.661224489795918</v>
      </c>
      <c r="T144" s="45" t="n">
        <v>0.835341365461847</v>
      </c>
      <c r="U144" s="45" t="n">
        <v>0.8441948351879069</v>
      </c>
      <c r="V144" s="45" t="n"/>
      <c r="W144" s="45" t="n">
        <v>0.923603876629731</v>
      </c>
      <c r="X144" s="45" t="n">
        <v>0.190377942417706</v>
      </c>
      <c r="Y144" s="45" t="n">
        <v>0.856684192078514</v>
      </c>
      <c r="Z144" s="45" t="n"/>
      <c r="AA144" s="45" t="n">
        <v>0</v>
      </c>
      <c r="AB144" s="45" t="n">
        <v>0.882902916055996</v>
      </c>
      <c r="AC144" s="45" t="n">
        <v>0.749132947976879</v>
      </c>
      <c r="AD144" s="45" t="n">
        <v>0.86908077994429</v>
      </c>
      <c r="AE144" s="45" t="n">
        <v>0.9391115470852019</v>
      </c>
      <c r="AF144" s="75">
        <f>IFERROR(AVERAGE(L144:U144),"")</f>
        <v/>
      </c>
      <c r="AG144" s="75">
        <f>IFERROR(AVERAGE(V144:AE144),"")</f>
        <v/>
      </c>
      <c r="AH144" s="75">
        <f>IFERROR(AVERAGE(B144:K144),"")</f>
        <v/>
      </c>
      <c r="AI144" s="45" t="n">
        <v>0.863990783691406</v>
      </c>
      <c r="AJ144" s="47" t="n">
        <v>0</v>
      </c>
    </row>
    <row r="145" ht="15" customHeight="1" s="30">
      <c r="A145" s="73" t="inlineStr">
        <is>
          <t>7308.jpg</t>
        </is>
      </c>
      <c r="B145" s="45" t="n"/>
      <c r="C145" s="45" t="n">
        <v>0.710193505443826</v>
      </c>
      <c r="D145" s="45" t="n">
        <v>0.193065992113682</v>
      </c>
      <c r="E145" s="45" t="n">
        <v>0.836773778920309</v>
      </c>
      <c r="F145" s="45" t="n"/>
      <c r="G145" s="45" t="n"/>
      <c r="H145" s="45" t="n">
        <v>0.813675902061856</v>
      </c>
      <c r="I145" s="45" t="n">
        <v>0.517006802721089</v>
      </c>
      <c r="J145" s="45" t="n">
        <v>0</v>
      </c>
      <c r="K145" s="45" t="n">
        <v>0.805670461064646</v>
      </c>
      <c r="L145" s="45" t="n"/>
      <c r="M145" s="45" t="n">
        <v>0.74889702195929</v>
      </c>
      <c r="N145" s="45" t="n">
        <v>0.936147186147186</v>
      </c>
      <c r="O145" s="45" t="n">
        <v>0.919207037261906</v>
      </c>
      <c r="P145" s="45" t="n"/>
      <c r="Q145" s="45" t="n"/>
      <c r="R145" s="45" t="n">
        <v>0.920896229854882</v>
      </c>
      <c r="S145" s="45" t="n">
        <v>0.813704496788009</v>
      </c>
      <c r="T145" s="45" t="n">
        <v>0</v>
      </c>
      <c r="U145" s="45" t="n">
        <v>0.8603533887921579</v>
      </c>
      <c r="V145" s="45" t="n"/>
      <c r="W145" s="45" t="n">
        <v>0.932166370245562</v>
      </c>
      <c r="X145" s="45" t="n">
        <v>0.195642340168878</v>
      </c>
      <c r="Y145" s="45" t="n">
        <v>0.903202086628375</v>
      </c>
      <c r="Z145" s="45" t="n"/>
      <c r="AA145" s="45" t="n"/>
      <c r="AB145" s="45" t="n">
        <v>0.874820318318006</v>
      </c>
      <c r="AC145" s="45" t="n">
        <v>0.58641975308642</v>
      </c>
      <c r="AD145" s="45" t="n"/>
      <c r="AE145" s="45" t="n">
        <v>0.926879255245241</v>
      </c>
      <c r="AF145" s="75">
        <f>IFERROR(AVERAGE(L145:U145),"")</f>
        <v/>
      </c>
      <c r="AG145" s="75">
        <f>IFERROR(AVERAGE(V145:AE145),"")</f>
        <v/>
      </c>
      <c r="AH145" s="75">
        <f>IFERROR(AVERAGE(B145:K145),"")</f>
        <v/>
      </c>
      <c r="AI145" s="45" t="n">
        <v>0.871707916259766</v>
      </c>
      <c r="AJ145" s="47" t="n">
        <v>0</v>
      </c>
    </row>
    <row r="146" ht="15" customHeight="1" s="30">
      <c r="A146" s="73" t="inlineStr">
        <is>
          <t>7315.jpg</t>
        </is>
      </c>
      <c r="B146" s="45" t="n">
        <v>0</v>
      </c>
      <c r="C146" s="45" t="n">
        <v>0.850656074898929</v>
      </c>
      <c r="D146" s="45" t="n">
        <v>0</v>
      </c>
      <c r="E146" s="45" t="n">
        <v>0.7934394488030579</v>
      </c>
      <c r="F146" s="45" t="n"/>
      <c r="G146" s="45" t="n">
        <v>0</v>
      </c>
      <c r="H146" s="45" t="n">
        <v>0.80344567731206</v>
      </c>
      <c r="I146" s="45" t="n">
        <v>0.451388888888889</v>
      </c>
      <c r="J146" s="45" t="n">
        <v>0.758691733195983</v>
      </c>
      <c r="K146" s="45" t="n">
        <v>0</v>
      </c>
      <c r="L146" s="45" t="n"/>
      <c r="M146" s="45" t="n">
        <v>0.922044374740532</v>
      </c>
      <c r="N146" s="45" t="n">
        <v>0</v>
      </c>
      <c r="O146" s="45" t="n">
        <v>0.884532903497092</v>
      </c>
      <c r="P146" s="45" t="n"/>
      <c r="Q146" s="45" t="n">
        <v>0</v>
      </c>
      <c r="R146" s="45" t="n">
        <v>0.870357077509888</v>
      </c>
      <c r="S146" s="45" t="n">
        <v>0.524546065904506</v>
      </c>
      <c r="T146" s="45" t="n">
        <v>0.792148426996505</v>
      </c>
      <c r="U146" s="45" t="n">
        <v>0</v>
      </c>
      <c r="V146" s="45" t="n">
        <v>0</v>
      </c>
      <c r="W146" s="45" t="n">
        <v>0.916576232327092</v>
      </c>
      <c r="X146" s="45" t="n"/>
      <c r="Y146" s="45" t="n">
        <v>0.885115992033437</v>
      </c>
      <c r="Z146" s="45" t="n"/>
      <c r="AA146" s="45" t="n"/>
      <c r="AB146" s="45" t="n">
        <v>0.912670651612427</v>
      </c>
      <c r="AC146" s="45" t="n">
        <v>0.763956904995103</v>
      </c>
      <c r="AD146" s="45" t="n">
        <v>0.947266881028939</v>
      </c>
      <c r="AE146" s="45" t="n"/>
      <c r="AF146" s="75">
        <f>IFERROR(AVERAGE(L146:U146),"")</f>
        <v/>
      </c>
      <c r="AG146" s="75">
        <f>IFERROR(AVERAGE(V146:AE146),"")</f>
        <v/>
      </c>
      <c r="AH146" s="75">
        <f>IFERROR(AVERAGE(B146:K146),"")</f>
        <v/>
      </c>
      <c r="AI146" s="45" t="n">
        <v>0.719596862792969</v>
      </c>
      <c r="AJ146" s="47" t="n">
        <v>0</v>
      </c>
    </row>
    <row r="147" ht="15" customHeight="1" s="30">
      <c r="A147" s="73" t="inlineStr">
        <is>
          <t>7320.jpg</t>
        </is>
      </c>
      <c r="B147" s="45" t="n"/>
      <c r="C147" s="45" t="n">
        <v>0.869854160013383</v>
      </c>
      <c r="D147" s="45" t="n"/>
      <c r="E147" s="45" t="n">
        <v>0.801988893542852</v>
      </c>
      <c r="F147" s="45" t="n"/>
      <c r="G147" s="45" t="n">
        <v>0</v>
      </c>
      <c r="H147" s="45" t="n">
        <v>0.861213045808766</v>
      </c>
      <c r="I147" s="45" t="n">
        <v>0.583865814696486</v>
      </c>
      <c r="J147" s="45" t="n">
        <v>0.534849951597289</v>
      </c>
      <c r="K147" s="45" t="n">
        <v>0.575840270142925</v>
      </c>
      <c r="L147" s="45" t="n"/>
      <c r="M147" s="45" t="n">
        <v>0.916298218633859</v>
      </c>
      <c r="N147" s="45" t="n"/>
      <c r="O147" s="45" t="n">
        <v>0.8519959234644811</v>
      </c>
      <c r="P147" s="45" t="n"/>
      <c r="Q147" s="45" t="n">
        <v>0</v>
      </c>
      <c r="R147" s="45" t="n">
        <v>0.919150246982849</v>
      </c>
      <c r="S147" s="45" t="n">
        <v>0.643485915492958</v>
      </c>
      <c r="T147" s="45" t="n">
        <v>0.635422656699253</v>
      </c>
      <c r="U147" s="45" t="n">
        <v>0.83459480992488</v>
      </c>
      <c r="V147" s="45" t="n"/>
      <c r="W147" s="45" t="n">
        <v>0.944938214498117</v>
      </c>
      <c r="X147" s="45" t="n"/>
      <c r="Y147" s="45" t="n">
        <v>0.931805337519623</v>
      </c>
      <c r="Z147" s="45" t="n"/>
      <c r="AA147" s="45" t="n"/>
      <c r="AB147" s="45" t="n">
        <v>0.931800185137682</v>
      </c>
      <c r="AC147" s="45" t="n">
        <v>0.863046044864227</v>
      </c>
      <c r="AD147" s="45" t="n">
        <v>0.771648044692737</v>
      </c>
      <c r="AE147" s="45" t="n">
        <v>0.6500232697294061</v>
      </c>
      <c r="AF147" s="75">
        <f>IFERROR(AVERAGE(L147:U147),"")</f>
        <v/>
      </c>
      <c r="AG147" s="75">
        <f>IFERROR(AVERAGE(V147:AE147),"")</f>
        <v/>
      </c>
      <c r="AH147" s="75">
        <f>IFERROR(AVERAGE(B147:K147),"")</f>
        <v/>
      </c>
      <c r="AI147" s="45" t="n">
        <v>0.885013580322266</v>
      </c>
      <c r="AJ147" s="47" t="n">
        <v>0</v>
      </c>
    </row>
    <row r="148" ht="15" customHeight="1" s="30">
      <c r="A148" s="73" t="inlineStr">
        <is>
          <t>7323.jpg</t>
        </is>
      </c>
      <c r="B148" s="45" t="n"/>
      <c r="C148" s="45" t="n">
        <v>0.799991891015245</v>
      </c>
      <c r="D148" s="45" t="n">
        <v>0</v>
      </c>
      <c r="E148" s="45" t="n">
        <v>0.722455938768324</v>
      </c>
      <c r="F148" s="45" t="n"/>
      <c r="G148" s="45" t="n">
        <v>0</v>
      </c>
      <c r="H148" s="45" t="n">
        <v>0.784947919802517</v>
      </c>
      <c r="I148" s="45" t="n">
        <v>0.512458471760797</v>
      </c>
      <c r="J148" s="45" t="n">
        <v>0.761702127659575</v>
      </c>
      <c r="K148" s="45" t="n">
        <v>0.744735285798771</v>
      </c>
      <c r="L148" s="45" t="n"/>
      <c r="M148" s="45" t="n">
        <v>0.829568069064103</v>
      </c>
      <c r="N148" s="45" t="n"/>
      <c r="O148" s="45" t="n">
        <v>0.833041285579964</v>
      </c>
      <c r="P148" s="45" t="n"/>
      <c r="Q148" s="45" t="n">
        <v>0</v>
      </c>
      <c r="R148" s="45" t="n">
        <v>0.892763229976991</v>
      </c>
      <c r="S148" s="45" t="n">
        <v>0.6054955839057899</v>
      </c>
      <c r="T148" s="45" t="n">
        <v>0.809039548022599</v>
      </c>
      <c r="U148" s="45" t="n">
        <v>0.8801087848308971</v>
      </c>
      <c r="V148" s="45" t="n"/>
      <c r="W148" s="45" t="n">
        <v>0.957335317235691</v>
      </c>
      <c r="X148" s="45" t="n">
        <v>0</v>
      </c>
      <c r="Y148" s="45" t="n">
        <v>0.844775278464006</v>
      </c>
      <c r="Z148" s="45" t="n"/>
      <c r="AA148" s="45" t="n"/>
      <c r="AB148" s="45" t="n">
        <v>0.866662234926544</v>
      </c>
      <c r="AC148" s="45" t="n">
        <v>0.769326683291771</v>
      </c>
      <c r="AD148" s="45" t="n">
        <v>0.928664072632944</v>
      </c>
      <c r="AE148" s="45" t="n">
        <v>0.828819161265399</v>
      </c>
      <c r="AF148" s="75">
        <f>IFERROR(AVERAGE(L148:U148),"")</f>
        <v/>
      </c>
      <c r="AG148" s="75">
        <f>IFERROR(AVERAGE(V148:AE148),"")</f>
        <v/>
      </c>
      <c r="AH148" s="75">
        <f>IFERROR(AVERAGE(B148:K148),"")</f>
        <v/>
      </c>
      <c r="AI148" s="45" t="n">
        <v>0.851589202880859</v>
      </c>
      <c r="AJ148" s="47" t="n">
        <v>0</v>
      </c>
    </row>
    <row r="149" ht="15" customHeight="1" s="30">
      <c r="A149" s="73" t="inlineStr">
        <is>
          <t>7333.jpg</t>
        </is>
      </c>
      <c r="B149" s="45" t="n"/>
      <c r="C149" s="45" t="n">
        <v>0.874265200807718</v>
      </c>
      <c r="D149" s="45" t="n"/>
      <c r="E149" s="45" t="n">
        <v>0.875534154365885</v>
      </c>
      <c r="F149" s="45" t="n"/>
      <c r="G149" s="45" t="n">
        <v>0</v>
      </c>
      <c r="H149" s="45" t="n">
        <v>0.787170516366567</v>
      </c>
      <c r="I149" s="45" t="n">
        <v>0.459016393442623</v>
      </c>
      <c r="J149" s="45" t="n">
        <v>0.676355066771406</v>
      </c>
      <c r="K149" s="45" t="n">
        <v>0.153766022011867</v>
      </c>
      <c r="L149" s="45" t="n"/>
      <c r="M149" s="45" t="n">
        <v>0.936592635323527</v>
      </c>
      <c r="N149" s="45" t="n"/>
      <c r="O149" s="45" t="n">
        <v>0.91676675950002</v>
      </c>
      <c r="P149" s="45" t="n"/>
      <c r="Q149" s="45" t="n">
        <v>0</v>
      </c>
      <c r="R149" s="45" t="n">
        <v>0.915821328105021</v>
      </c>
      <c r="S149" s="45" t="n">
        <v>0.573378839590444</v>
      </c>
      <c r="T149" s="45" t="n">
        <v>0.949283351708931</v>
      </c>
      <c r="U149" s="45" t="n">
        <v>0.81886155330439</v>
      </c>
      <c r="V149" s="45" t="n"/>
      <c r="W149" s="45" t="n">
        <v>0.929266431365067</v>
      </c>
      <c r="X149" s="45" t="n"/>
      <c r="Y149" s="45" t="n">
        <v>0.951140020540911</v>
      </c>
      <c r="Z149" s="45" t="n"/>
      <c r="AA149" s="45" t="n"/>
      <c r="AB149" s="45" t="n">
        <v>0.848567422940979</v>
      </c>
      <c r="AC149" s="45" t="n">
        <v>0.697095435684647</v>
      </c>
      <c r="AD149" s="45" t="n">
        <v>0.701711491442543</v>
      </c>
      <c r="AE149" s="45" t="n">
        <v>0.159180420105026</v>
      </c>
      <c r="AF149" s="75">
        <f>IFERROR(AVERAGE(L149:U149),"")</f>
        <v/>
      </c>
      <c r="AG149" s="75">
        <f>IFERROR(AVERAGE(V149:AE149),"")</f>
        <v/>
      </c>
      <c r="AH149" s="75">
        <f>IFERROR(AVERAGE(B149:K149),"")</f>
        <v/>
      </c>
      <c r="AI149" s="45" t="n">
        <v>0.861289978027344</v>
      </c>
      <c r="AJ149" s="47" t="n">
        <v>0</v>
      </c>
    </row>
    <row r="150" ht="15" customHeight="1" s="30">
      <c r="A150" s="73" t="inlineStr">
        <is>
          <t>7339.jpg</t>
        </is>
      </c>
      <c r="B150" s="45" t="n"/>
      <c r="C150" s="45" t="n">
        <v>0.889848844547285</v>
      </c>
      <c r="D150" s="45" t="n"/>
      <c r="E150" s="45" t="n">
        <v>0.868092479190349</v>
      </c>
      <c r="F150" s="45" t="n"/>
      <c r="G150" s="45" t="n">
        <v>0</v>
      </c>
      <c r="H150" s="45" t="n">
        <v>0.79115997138662</v>
      </c>
      <c r="I150" s="45" t="n">
        <v>0.396513187304426</v>
      </c>
      <c r="J150" s="45" t="n"/>
      <c r="K150" s="45" t="n">
        <v>0.178161042061952</v>
      </c>
      <c r="L150" s="45" t="n"/>
      <c r="M150" s="45" t="n">
        <v>0.928041996395832</v>
      </c>
      <c r="N150" s="45" t="n"/>
      <c r="O150" s="45" t="n">
        <v>0.940078029603598</v>
      </c>
      <c r="P150" s="45" t="n"/>
      <c r="Q150" s="45" t="n">
        <v>0</v>
      </c>
      <c r="R150" s="45" t="n">
        <v>0.938145940757606</v>
      </c>
      <c r="S150" s="45" t="n">
        <v>0.484170305676856</v>
      </c>
      <c r="T150" s="45" t="n"/>
      <c r="U150" s="45" t="n">
        <v>0.855111020157577</v>
      </c>
      <c r="V150" s="45" t="n"/>
      <c r="W150" s="45" t="n">
        <v>0.95579548755689</v>
      </c>
      <c r="X150" s="45" t="n"/>
      <c r="Y150" s="45" t="n">
        <v>0.918940687834795</v>
      </c>
      <c r="Z150" s="45" t="n"/>
      <c r="AA150" s="45" t="n"/>
      <c r="AB150" s="45" t="n">
        <v>0.834700403169748</v>
      </c>
      <c r="AC150" s="45" t="n">
        <v>0.686532507739938</v>
      </c>
      <c r="AD150" s="45" t="n"/>
      <c r="AE150" s="45" t="n">
        <v>0.183706667252863</v>
      </c>
      <c r="AF150" s="75">
        <f>IFERROR(AVERAGE(L150:U150),"")</f>
        <v/>
      </c>
      <c r="AG150" s="75">
        <f>IFERROR(AVERAGE(V150:AE150),"")</f>
        <v/>
      </c>
      <c r="AH150" s="75">
        <f>IFERROR(AVERAGE(B150:K150),"")</f>
        <v/>
      </c>
      <c r="AI150" s="45" t="n">
        <v>0.782737731933594</v>
      </c>
      <c r="AJ150" s="47" t="n">
        <v>0</v>
      </c>
    </row>
    <row r="151" ht="15" customHeight="1" s="30">
      <c r="A151" s="73" t="inlineStr">
        <is>
          <t>7348.jpg</t>
        </is>
      </c>
      <c r="B151" s="45" t="n"/>
      <c r="C151" s="45" t="n"/>
      <c r="D151" s="45" t="n"/>
      <c r="E151" s="45" t="n">
        <v>0</v>
      </c>
      <c r="F151" s="45" t="n"/>
      <c r="G151" s="45" t="n">
        <v>0</v>
      </c>
      <c r="H151" s="45" t="n">
        <v>0.967134713241765</v>
      </c>
      <c r="I151" s="45" t="n"/>
      <c r="J151" s="45" t="n"/>
      <c r="K151" s="45" t="n">
        <v>0</v>
      </c>
      <c r="L151" s="45" t="n"/>
      <c r="M151" s="45" t="n"/>
      <c r="N151" s="45" t="n"/>
      <c r="O151" s="45" t="n">
        <v>0</v>
      </c>
      <c r="P151" s="45" t="n"/>
      <c r="Q151" s="45" t="n"/>
      <c r="R151" s="45" t="n">
        <v>0.97696529334467</v>
      </c>
      <c r="S151" s="45" t="n"/>
      <c r="T151" s="45" t="n"/>
      <c r="U151" s="45" t="n">
        <v>0</v>
      </c>
      <c r="V151" s="45" t="n"/>
      <c r="W151" s="45" t="n"/>
      <c r="X151" s="45" t="n"/>
      <c r="Y151" s="45" t="n"/>
      <c r="Z151" s="45" t="n"/>
      <c r="AA151" s="45" t="n">
        <v>0</v>
      </c>
      <c r="AB151" s="45" t="n">
        <v>0.989702830742727</v>
      </c>
      <c r="AC151" s="45" t="n"/>
      <c r="AD151" s="45" t="n"/>
      <c r="AE151" s="45" t="n"/>
      <c r="AF151" s="75">
        <f>IFERROR(AVERAGE(L151:U151),"")</f>
        <v/>
      </c>
      <c r="AG151" s="75">
        <f>IFERROR(AVERAGE(V151:AE151),"")</f>
        <v/>
      </c>
      <c r="AH151" s="75">
        <f>IFERROR(AVERAGE(B151:K151),"")</f>
        <v/>
      </c>
      <c r="AI151" s="45" t="n">
        <v>0.09642791748046881</v>
      </c>
      <c r="AJ151" s="47" t="n">
        <v>0</v>
      </c>
    </row>
    <row r="152" ht="15" customHeight="1" s="30">
      <c r="A152" s="73" t="inlineStr">
        <is>
          <t>7355.jpg</t>
        </is>
      </c>
      <c r="B152" s="45" t="n"/>
      <c r="C152" s="45" t="n">
        <v>0.700530281886687</v>
      </c>
      <c r="D152" s="45" t="n">
        <v>0.380551301684533</v>
      </c>
      <c r="E152" s="45" t="n">
        <v>0</v>
      </c>
      <c r="F152" s="45" t="n"/>
      <c r="G152" s="45" t="n">
        <v>0.975334696837594</v>
      </c>
      <c r="H152" s="45" t="n">
        <v>0.771683907694191</v>
      </c>
      <c r="I152" s="45" t="n">
        <v>0</v>
      </c>
      <c r="J152" s="45" t="n"/>
      <c r="K152" s="45" t="n">
        <v>0</v>
      </c>
      <c r="L152" s="45" t="n"/>
      <c r="M152" s="45" t="n">
        <v>0.918068763716167</v>
      </c>
      <c r="N152" s="45" t="n">
        <v>0.413477537437604</v>
      </c>
      <c r="O152" s="45" t="n"/>
      <c r="P152" s="45" t="n"/>
      <c r="Q152" s="45" t="n">
        <v>0.9940578765317269</v>
      </c>
      <c r="R152" s="45" t="n">
        <v>0.829571625978812</v>
      </c>
      <c r="S152" s="45" t="n">
        <v>0</v>
      </c>
      <c r="T152" s="45" t="n"/>
      <c r="U152" s="45" t="n">
        <v>0</v>
      </c>
      <c r="V152" s="45" t="n"/>
      <c r="W152" s="45" t="n">
        <v>0.747246204227449</v>
      </c>
      <c r="X152" s="45" t="n">
        <v>0.826955074875208</v>
      </c>
      <c r="Y152" s="45" t="n">
        <v>0</v>
      </c>
      <c r="Z152" s="45" t="n"/>
      <c r="AA152" s="45" t="n">
        <v>0.981054443374383</v>
      </c>
      <c r="AB152" s="45" t="n">
        <v>0.917072815887103</v>
      </c>
      <c r="AC152" s="45" t="n"/>
      <c r="AD152" s="45" t="n"/>
      <c r="AE152" s="45" t="n"/>
      <c r="AF152" s="75">
        <f>IFERROR(AVERAGE(L152:U152),"")</f>
        <v/>
      </c>
      <c r="AG152" s="75">
        <f>IFERROR(AVERAGE(V152:AE152),"")</f>
        <v/>
      </c>
      <c r="AH152" s="75">
        <f>IFERROR(AVERAGE(B152:K152),"")</f>
        <v/>
      </c>
      <c r="AI152" s="45" t="n">
        <v>0.972770690917969</v>
      </c>
      <c r="AJ152" s="47" t="n">
        <v>0</v>
      </c>
    </row>
    <row r="153" ht="15" customHeight="1" s="30">
      <c r="A153" s="73" t="inlineStr">
        <is>
          <t>7359.jpg</t>
        </is>
      </c>
      <c r="B153" s="45" t="n"/>
      <c r="C153" s="45" t="n">
        <v>0.623892706349863</v>
      </c>
      <c r="D153" s="45" t="n">
        <v>0.0923317683881064</v>
      </c>
      <c r="E153" s="45" t="n">
        <v>0.711719418306245</v>
      </c>
      <c r="F153" s="45" t="n"/>
      <c r="G153" s="45" t="n">
        <v>0.862594482195891</v>
      </c>
      <c r="H153" s="45" t="n">
        <v>0.781007751937985</v>
      </c>
      <c r="I153" s="45" t="n">
        <v>0.47809667673716</v>
      </c>
      <c r="J153" s="45" t="n"/>
      <c r="K153" s="45" t="n">
        <v>0</v>
      </c>
      <c r="L153" s="45" t="n"/>
      <c r="M153" s="45" t="n">
        <v>0.695010605920871</v>
      </c>
      <c r="N153" s="45" t="n">
        <v>0.287571080422421</v>
      </c>
      <c r="O153" s="45" t="n">
        <v>0.863454410674574</v>
      </c>
      <c r="P153" s="45" t="n"/>
      <c r="Q153" s="45" t="n">
        <v>0.99754964132431</v>
      </c>
      <c r="R153" s="45" t="n">
        <v>0.834470158343484</v>
      </c>
      <c r="S153" s="45" t="n">
        <v>0.575454545454545</v>
      </c>
      <c r="T153" s="45" t="n"/>
      <c r="U153" s="45" t="n">
        <v>0</v>
      </c>
      <c r="V153" s="45" t="n"/>
      <c r="W153" s="45" t="n">
        <v>0.859097127222982</v>
      </c>
      <c r="X153" s="45" t="n">
        <v>0.119715928305715</v>
      </c>
      <c r="Y153" s="45" t="n">
        <v>0.8019829248141011</v>
      </c>
      <c r="Z153" s="45" t="n"/>
      <c r="AA153" s="45" t="n">
        <v>0.864426078164154</v>
      </c>
      <c r="AB153" s="45" t="n">
        <v>0.924187238634831</v>
      </c>
      <c r="AC153" s="45" t="n">
        <v>0.738623103850642</v>
      </c>
      <c r="AD153" s="45" t="n"/>
      <c r="AE153" s="45" t="n"/>
      <c r="AF153" s="75">
        <f>IFERROR(AVERAGE(L153:U153),"")</f>
        <v/>
      </c>
      <c r="AG153" s="75">
        <f>IFERROR(AVERAGE(V153:AE153),"")</f>
        <v/>
      </c>
      <c r="AH153" s="75">
        <f>IFERROR(AVERAGE(B153:K153),"")</f>
        <v/>
      </c>
      <c r="AI153" s="45" t="n">
        <v>0.857086181640625</v>
      </c>
      <c r="AJ153" s="47" t="n">
        <v>0</v>
      </c>
    </row>
    <row r="154" ht="15" customHeight="1" s="30">
      <c r="A154" s="73" t="inlineStr">
        <is>
          <t>7361.jpg</t>
        </is>
      </c>
      <c r="B154" s="45" t="n"/>
      <c r="C154" s="45" t="n">
        <v>0.845729580663476</v>
      </c>
      <c r="D154" s="45" t="n">
        <v>0</v>
      </c>
      <c r="E154" s="45" t="n">
        <v>0.622564604222711</v>
      </c>
      <c r="F154" s="45" t="n"/>
      <c r="G154" s="45" t="n">
        <v>0.948319309785162</v>
      </c>
      <c r="H154" s="45" t="n">
        <v>0.823774899969883</v>
      </c>
      <c r="I154" s="45" t="n">
        <v>0.461538461538462</v>
      </c>
      <c r="J154" s="45" t="n">
        <v>0.657325860688551</v>
      </c>
      <c r="K154" s="45" t="n">
        <v>0</v>
      </c>
      <c r="L154" s="45" t="n"/>
      <c r="M154" s="45" t="n">
        <v>0.892684388510766</v>
      </c>
      <c r="N154" s="45" t="n">
        <v>0</v>
      </c>
      <c r="O154" s="45" t="n">
        <v>0.778650081566069</v>
      </c>
      <c r="P154" s="45" t="n"/>
      <c r="Q154" s="45" t="n">
        <v>0.981140876328142</v>
      </c>
      <c r="R154" s="45" t="n">
        <v>0.897782154076992</v>
      </c>
      <c r="S154" s="45" t="n">
        <v>0.6086065573770491</v>
      </c>
      <c r="T154" s="45" t="n">
        <v>0.807276302851524</v>
      </c>
      <c r="U154" s="45" t="n">
        <v>0</v>
      </c>
      <c r="V154" s="45" t="n"/>
      <c r="W154" s="45" t="n">
        <v>0.9414473387206</v>
      </c>
      <c r="X154" s="45" t="n"/>
      <c r="Y154" s="45" t="n">
        <v>0.7564381933438989</v>
      </c>
      <c r="Z154" s="45" t="n"/>
      <c r="AA154" s="45" t="n">
        <v>0.965926448693904</v>
      </c>
      <c r="AB154" s="45" t="n">
        <v>0.909034800360822</v>
      </c>
      <c r="AC154" s="45" t="n">
        <v>0.656353591160221</v>
      </c>
      <c r="AD154" s="45" t="n">
        <v>0.779677113010446</v>
      </c>
      <c r="AE154" s="45" t="n"/>
      <c r="AF154" s="75">
        <f>IFERROR(AVERAGE(L154:U154),"")</f>
        <v/>
      </c>
      <c r="AG154" s="75">
        <f>IFERROR(AVERAGE(V154:AE154),"")</f>
        <v/>
      </c>
      <c r="AH154" s="75">
        <f>IFERROR(AVERAGE(B154:K154),"")</f>
        <v/>
      </c>
      <c r="AI154" s="45" t="n">
        <v>0.94940185546875</v>
      </c>
      <c r="AJ154" s="47" t="n">
        <v>0</v>
      </c>
    </row>
    <row r="155" ht="15" customHeight="1" s="30">
      <c r="A155" s="73" t="inlineStr">
        <is>
          <t>7370.jpg</t>
        </is>
      </c>
      <c r="B155" s="45" t="n"/>
      <c r="C155" s="45" t="n">
        <v>0.683735443249568</v>
      </c>
      <c r="D155" s="45" t="n">
        <v>0</v>
      </c>
      <c r="E155" s="45" t="n">
        <v>0</v>
      </c>
      <c r="F155" s="45" t="n"/>
      <c r="G155" s="45" t="n">
        <v>0.916187497746855</v>
      </c>
      <c r="H155" s="45" t="n">
        <v>0.7205578699510961</v>
      </c>
      <c r="I155" s="45" t="n">
        <v>0.592050209205021</v>
      </c>
      <c r="J155" s="45" t="n">
        <v>0.834977238239757</v>
      </c>
      <c r="K155" s="45" t="n">
        <v>0</v>
      </c>
      <c r="L155" s="45" t="n"/>
      <c r="M155" s="45" t="n">
        <v>0.937146784786925</v>
      </c>
      <c r="N155" s="45" t="n">
        <v>0</v>
      </c>
      <c r="O155" s="45" t="n">
        <v>0</v>
      </c>
      <c r="P155" s="45" t="n"/>
      <c r="Q155" s="45" t="n">
        <v>0.956051707193206</v>
      </c>
      <c r="R155" s="45" t="n">
        <v>0.898216301648228</v>
      </c>
      <c r="S155" s="45" t="n">
        <v>0.817919075144509</v>
      </c>
      <c r="T155" s="45" t="n">
        <v>0.967685205539679</v>
      </c>
      <c r="U155" s="45" t="n">
        <v>0</v>
      </c>
      <c r="V155" s="45" t="n"/>
      <c r="W155" s="45" t="n">
        <v>0.716596589581873</v>
      </c>
      <c r="X155" s="45" t="n"/>
      <c r="Y155" s="45" t="n">
        <v>0</v>
      </c>
      <c r="Z155" s="45" t="n"/>
      <c r="AA155" s="45" t="n">
        <v>0.956469990497069</v>
      </c>
      <c r="AB155" s="45" t="n">
        <v>0.784623880714765</v>
      </c>
      <c r="AC155" s="45" t="n">
        <v>0.681927710843373</v>
      </c>
      <c r="AD155" s="45" t="n">
        <v>0.858926829268293</v>
      </c>
      <c r="AE155" s="45" t="n"/>
      <c r="AF155" s="75">
        <f>IFERROR(AVERAGE(L155:U155),"")</f>
        <v/>
      </c>
      <c r="AG155" s="75">
        <f>IFERROR(AVERAGE(V155:AE155),"")</f>
        <v/>
      </c>
      <c r="AH155" s="75">
        <f>IFERROR(AVERAGE(B155:K155),"")</f>
        <v/>
      </c>
      <c r="AI155" s="45" t="n">
        <v>0.9161376953125</v>
      </c>
      <c r="AJ155" s="47" t="n">
        <v>0</v>
      </c>
    </row>
    <row r="156" ht="15" customHeight="1" s="30">
      <c r="A156" s="73" t="inlineStr">
        <is>
          <t>7376.jpg</t>
        </is>
      </c>
      <c r="B156" s="45" t="n"/>
      <c r="C156" s="45" t="n">
        <v>0.372358368885802</v>
      </c>
      <c r="D156" s="45" t="n">
        <v>0.35426148117501</v>
      </c>
      <c r="E156" s="45" t="n">
        <v>0.638839358080726</v>
      </c>
      <c r="F156" s="45" t="n"/>
      <c r="G156" s="45" t="n">
        <v>0.931510416666667</v>
      </c>
      <c r="H156" s="45" t="n">
        <v>0.7120795107033639</v>
      </c>
      <c r="I156" s="45" t="n">
        <v>0</v>
      </c>
      <c r="J156" s="45" t="n">
        <v>0.443037974683544</v>
      </c>
      <c r="K156" s="45" t="n">
        <v>0.908840956969469</v>
      </c>
      <c r="L156" s="45" t="n"/>
      <c r="M156" s="45" t="n">
        <v>0.763891715855893</v>
      </c>
      <c r="N156" s="45" t="n">
        <v>0.470402417250378</v>
      </c>
      <c r="O156" s="45" t="n">
        <v>0.962628236443576</v>
      </c>
      <c r="P156" s="45" t="n"/>
      <c r="Q156" s="45" t="n">
        <v>0.991470436305452</v>
      </c>
      <c r="R156" s="45" t="n">
        <v>0.9442416869424169</v>
      </c>
      <c r="S156" s="45" t="n">
        <v>0</v>
      </c>
      <c r="T156" s="45" t="n">
        <v>0.893909626719057</v>
      </c>
      <c r="U156" s="45" t="n">
        <v>0.9163821649511</v>
      </c>
      <c r="V156" s="45" t="n"/>
      <c r="W156" s="45" t="n">
        <v>0.420787083753784</v>
      </c>
      <c r="X156" s="45" t="n">
        <v>0.589298004129388</v>
      </c>
      <c r="Y156" s="45" t="n">
        <v>0.655086436170213</v>
      </c>
      <c r="Z156" s="45" t="n"/>
      <c r="AA156" s="45" t="n">
        <v>0.9390355953844129</v>
      </c>
      <c r="AB156" s="45" t="n">
        <v>0.743335993615323</v>
      </c>
      <c r="AC156" s="45" t="n"/>
      <c r="AD156" s="45" t="n">
        <v>0.467625899280576</v>
      </c>
      <c r="AE156" s="45" t="n">
        <v>0.991026504084225</v>
      </c>
      <c r="AF156" s="75">
        <f>IFERROR(AVERAGE(L156:U156),"")</f>
        <v/>
      </c>
      <c r="AG156" s="75">
        <f>IFERROR(AVERAGE(V156:AE156),"")</f>
        <v/>
      </c>
      <c r="AH156" s="75">
        <f>IFERROR(AVERAGE(B156:K156),"")</f>
        <v/>
      </c>
      <c r="AI156" s="45" t="n">
        <v>0.9246063232421881</v>
      </c>
      <c r="AJ156" s="47" t="n">
        <v>0</v>
      </c>
    </row>
    <row r="157" ht="15" customHeight="1" s="30">
      <c r="A157" s="73" t="inlineStr">
        <is>
          <t>7406.jpg</t>
        </is>
      </c>
      <c r="B157" s="45" t="n"/>
      <c r="C157" s="45" t="n">
        <v>0.653730742795836</v>
      </c>
      <c r="D157" s="45" t="n">
        <v>0.0202445220704986</v>
      </c>
      <c r="E157" s="45" t="n">
        <v>0.746059007544624</v>
      </c>
      <c r="F157" s="45" t="n"/>
      <c r="G157" s="45" t="n"/>
      <c r="H157" s="45" t="n">
        <v>0.673617687768631</v>
      </c>
      <c r="I157" s="45" t="n">
        <v>0.32741003998223</v>
      </c>
      <c r="J157" s="45" t="n">
        <v>0.488346799254195</v>
      </c>
      <c r="K157" s="45" t="n">
        <v>0.73650264455471</v>
      </c>
      <c r="L157" s="45" t="n"/>
      <c r="M157" s="45" t="n">
        <v>0.798219220141234</v>
      </c>
      <c r="N157" s="45" t="n">
        <v>0.0355054302422724</v>
      </c>
      <c r="O157" s="45" t="n">
        <v>0.777056092678564</v>
      </c>
      <c r="P157" s="45" t="n"/>
      <c r="Q157" s="45" t="n"/>
      <c r="R157" s="45" t="n">
        <v>0.806959746918294</v>
      </c>
      <c r="S157" s="45" t="n">
        <v>0.508275862068966</v>
      </c>
      <c r="T157" s="45" t="n">
        <v>0.687896695119282</v>
      </c>
      <c r="U157" s="45" t="n">
        <v>0.881215340882613</v>
      </c>
      <c r="V157" s="45" t="n"/>
      <c r="W157" s="45" t="n">
        <v>0.783150918766944</v>
      </c>
      <c r="X157" s="45" t="n">
        <v>0.0449814782148527</v>
      </c>
      <c r="Y157" s="45" t="n">
        <v>0.949245577523413</v>
      </c>
      <c r="Z157" s="45" t="n"/>
      <c r="AA157" s="45" t="n"/>
      <c r="AB157" s="45" t="n">
        <v>0.803017802865827</v>
      </c>
      <c r="AC157" s="45" t="n">
        <v>0.479193758127438</v>
      </c>
      <c r="AD157" s="45" t="n">
        <v>0.627345309381238</v>
      </c>
      <c r="AE157" s="45" t="n">
        <v>0.817680226926802</v>
      </c>
      <c r="AF157" s="75">
        <f>IFERROR(AVERAGE(L157:U157),"")</f>
        <v/>
      </c>
      <c r="AG157" s="75">
        <f>IFERROR(AVERAGE(V157:AE157),"")</f>
        <v/>
      </c>
      <c r="AH157" s="75">
        <f>IFERROR(AVERAGE(B157:K157),"")</f>
        <v/>
      </c>
      <c r="AI157" s="45" t="n">
        <v>0.805503845214844</v>
      </c>
      <c r="AJ157" s="47" t="n">
        <v>0</v>
      </c>
    </row>
    <row r="158" ht="15" customHeight="1" s="30">
      <c r="A158" s="73" t="inlineStr">
        <is>
          <t>7413.jpg</t>
        </is>
      </c>
      <c r="B158" s="45" t="n"/>
      <c r="C158" s="45" t="n">
        <v>0.818658063752331</v>
      </c>
      <c r="D158" s="45" t="n"/>
      <c r="E158" s="45" t="n">
        <v>0.587359546601627</v>
      </c>
      <c r="F158" s="45" t="n"/>
      <c r="G158" s="45" t="n">
        <v>0</v>
      </c>
      <c r="H158" s="45" t="n">
        <v>0.760457533253972</v>
      </c>
      <c r="I158" s="45" t="n">
        <v>0.376603186941314</v>
      </c>
      <c r="J158" s="45" t="n">
        <v>0</v>
      </c>
      <c r="K158" s="45" t="n">
        <v>0.437904163904489</v>
      </c>
      <c r="L158" s="45" t="n"/>
      <c r="M158" s="45" t="n">
        <v>0.872252530667592</v>
      </c>
      <c r="N158" s="45" t="n"/>
      <c r="O158" s="45" t="n">
        <v>0.676715666368878</v>
      </c>
      <c r="P158" s="45" t="n"/>
      <c r="Q158" s="45" t="n">
        <v>0</v>
      </c>
      <c r="R158" s="45" t="n">
        <v>0.839790121057625</v>
      </c>
      <c r="S158" s="45" t="n">
        <v>0.41948051948052</v>
      </c>
      <c r="T158" s="45" t="n">
        <v>0</v>
      </c>
      <c r="U158" s="45" t="n">
        <v>0.7427286420434051</v>
      </c>
      <c r="V158" s="45" t="n"/>
      <c r="W158" s="45" t="n">
        <v>0.930185633575464</v>
      </c>
      <c r="X158" s="45" t="n"/>
      <c r="Y158" s="45" t="n">
        <v>0.816453711687701</v>
      </c>
      <c r="Z158" s="45" t="n"/>
      <c r="AA158" s="45" t="n"/>
      <c r="AB158" s="45" t="n">
        <v>0.8895023610606611</v>
      </c>
      <c r="AC158" s="45" t="n">
        <v>0.786525974025974</v>
      </c>
      <c r="AD158" s="45" t="n"/>
      <c r="AE158" s="45" t="n">
        <v>0.516204181534016</v>
      </c>
      <c r="AF158" s="75">
        <f>IFERROR(AVERAGE(L158:U158),"")</f>
        <v/>
      </c>
      <c r="AG158" s="75">
        <f>IFERROR(AVERAGE(V158:AE158),"")</f>
        <v/>
      </c>
      <c r="AH158" s="75">
        <f>IFERROR(AVERAGE(B158:K158),"")</f>
        <v/>
      </c>
      <c r="AI158" s="45" t="n">
        <v>0.787448883056641</v>
      </c>
      <c r="AJ158" s="47" t="n">
        <v>0</v>
      </c>
    </row>
    <row r="159" ht="15" customHeight="1" s="30">
      <c r="A159" s="73" t="inlineStr">
        <is>
          <t>7415.jpg</t>
        </is>
      </c>
      <c r="B159" s="45" t="n"/>
      <c r="C159" s="45" t="n">
        <v>0.841218483779365</v>
      </c>
      <c r="D159" s="45" t="n"/>
      <c r="E159" s="45" t="n">
        <v>0.7694104895525981</v>
      </c>
      <c r="F159" s="45" t="n"/>
      <c r="G159" s="45" t="n">
        <v>0</v>
      </c>
      <c r="H159" s="45" t="n">
        <v>0.794344004299094</v>
      </c>
      <c r="I159" s="45" t="n">
        <v>0.461872586872587</v>
      </c>
      <c r="J159" s="45" t="n">
        <v>0.648395061728395</v>
      </c>
      <c r="K159" s="45" t="n">
        <v>0</v>
      </c>
      <c r="L159" s="45" t="n"/>
      <c r="M159" s="45" t="n">
        <v>0.9012612014603389</v>
      </c>
      <c r="N159" s="45" t="n"/>
      <c r="O159" s="45" t="n">
        <v>0.836252257912511</v>
      </c>
      <c r="P159" s="45" t="n"/>
      <c r="Q159" s="45" t="n"/>
      <c r="R159" s="45" t="n">
        <v>0.870768551050893</v>
      </c>
      <c r="S159" s="45" t="n">
        <v>0.616226658081133</v>
      </c>
      <c r="T159" s="45" t="n">
        <v>0.836838750796686</v>
      </c>
      <c r="U159" s="45" t="n">
        <v>0</v>
      </c>
      <c r="V159" s="45" t="n"/>
      <c r="W159" s="45" t="n">
        <v>0.926616113744076</v>
      </c>
      <c r="X159" s="45" t="n"/>
      <c r="Y159" s="45" t="n">
        <v>0.905891527827012</v>
      </c>
      <c r="Z159" s="45" t="n"/>
      <c r="AA159" s="45" t="n">
        <v>0</v>
      </c>
      <c r="AB159" s="45" t="n">
        <v>0.90050368242986</v>
      </c>
      <c r="AC159" s="45" t="n">
        <v>0.648373983739837</v>
      </c>
      <c r="AD159" s="45" t="n">
        <v>0.742227247032222</v>
      </c>
      <c r="AE159" s="45" t="n"/>
      <c r="AF159" s="75">
        <f>IFERROR(AVERAGE(L159:U159),"")</f>
        <v/>
      </c>
      <c r="AG159" s="75">
        <f>IFERROR(AVERAGE(V159:AE159),"")</f>
        <v/>
      </c>
      <c r="AH159" s="75">
        <f>IFERROR(AVERAGE(B159:K159),"")</f>
        <v/>
      </c>
      <c r="AI159" s="45" t="n">
        <v>0.754600524902344</v>
      </c>
      <c r="AJ159" s="47" t="n">
        <v>0</v>
      </c>
    </row>
    <row r="160" ht="15" customHeight="1" s="30">
      <c r="A160" s="73" t="inlineStr">
        <is>
          <t>7420.jpg</t>
        </is>
      </c>
      <c r="B160" s="45" t="n"/>
      <c r="C160" s="45" t="n">
        <v>0.884006833636678</v>
      </c>
      <c r="D160" s="45" t="n"/>
      <c r="E160" s="45" t="n">
        <v>0.707222725899063</v>
      </c>
      <c r="F160" s="45" t="n"/>
      <c r="G160" s="45" t="n">
        <v>0</v>
      </c>
      <c r="H160" s="45" t="n">
        <v>0.8281015015158389</v>
      </c>
      <c r="I160" s="45" t="n">
        <v>0.535242839352428</v>
      </c>
      <c r="J160" s="45" t="n">
        <v>0.2296875</v>
      </c>
      <c r="K160" s="45" t="n">
        <v>0.675330261136713</v>
      </c>
      <c r="L160" s="45" t="n"/>
      <c r="M160" s="45" t="n">
        <v>0.91355873528733</v>
      </c>
      <c r="N160" s="45" t="n"/>
      <c r="O160" s="45" t="n">
        <v>0.735264546939802</v>
      </c>
      <c r="P160" s="45" t="n"/>
      <c r="Q160" s="45" t="n"/>
      <c r="R160" s="45" t="n">
        <v>0.90826973176064</v>
      </c>
      <c r="S160" s="45" t="n">
        <v>0.641684084801433</v>
      </c>
      <c r="T160" s="45" t="n">
        <v>0.668181818181818</v>
      </c>
      <c r="U160" s="45" t="n">
        <v>0.862715855572999</v>
      </c>
      <c r="V160" s="45" t="n"/>
      <c r="W160" s="45" t="n">
        <v>0.964699144590939</v>
      </c>
      <c r="X160" s="45" t="n"/>
      <c r="Y160" s="45" t="n">
        <v>0.948832306195264</v>
      </c>
      <c r="Z160" s="45" t="n"/>
      <c r="AA160" s="45" t="n">
        <v>0</v>
      </c>
      <c r="AB160" s="45" t="n">
        <v>0.903679583197656</v>
      </c>
      <c r="AC160" s="45" t="n">
        <v>0.763410301953819</v>
      </c>
      <c r="AD160" s="45" t="n">
        <v>0.259259259259259</v>
      </c>
      <c r="AE160" s="45" t="n">
        <v>0.756643260360733</v>
      </c>
      <c r="AF160" s="75">
        <f>IFERROR(AVERAGE(L160:U160),"")</f>
        <v/>
      </c>
      <c r="AG160" s="75">
        <f>IFERROR(AVERAGE(V160:AE160),"")</f>
        <v/>
      </c>
      <c r="AH160" s="75">
        <f>IFERROR(AVERAGE(B160:K160),"")</f>
        <v/>
      </c>
      <c r="AI160" s="45" t="n">
        <v>0.874336242675781</v>
      </c>
      <c r="AJ160" s="47" t="n">
        <v>0</v>
      </c>
    </row>
    <row r="161" ht="15" customHeight="1" s="30">
      <c r="A161" s="73" t="inlineStr">
        <is>
          <t>7423.jpg</t>
        </is>
      </c>
      <c r="B161" s="45" t="n"/>
      <c r="C161" s="45" t="n">
        <v>0.840162247245429</v>
      </c>
      <c r="D161" s="45" t="n">
        <v>0.0149447693307342</v>
      </c>
      <c r="E161" s="45" t="n">
        <v>0.709668174653538</v>
      </c>
      <c r="F161" s="45" t="n"/>
      <c r="G161" s="45" t="n">
        <v>0</v>
      </c>
      <c r="H161" s="45" t="n">
        <v>0.813471752001669</v>
      </c>
      <c r="I161" s="45" t="n">
        <v>0.483257229832572</v>
      </c>
      <c r="J161" s="45" t="n">
        <v>0.471121177802945</v>
      </c>
      <c r="K161" s="45" t="n">
        <v>0.709143141262914</v>
      </c>
      <c r="L161" s="45" t="n"/>
      <c r="M161" s="45" t="n">
        <v>0.857554223567942</v>
      </c>
      <c r="N161" s="45" t="n">
        <v>0.741935483870968</v>
      </c>
      <c r="O161" s="45" t="n">
        <v>0.728839927679435</v>
      </c>
      <c r="P161" s="45" t="n"/>
      <c r="Q161" s="45" t="n"/>
      <c r="R161" s="45" t="n">
        <v>0.8911740406757021</v>
      </c>
      <c r="S161" s="45" t="n">
        <v>0.597928436911488</v>
      </c>
      <c r="T161" s="45" t="n">
        <v>0.712328767123288</v>
      </c>
      <c r="U161" s="45" t="n">
        <v>0.87989087219983</v>
      </c>
      <c r="V161" s="45" t="n"/>
      <c r="W161" s="45" t="n">
        <v>0.976429697174378</v>
      </c>
      <c r="X161" s="45" t="n">
        <v>0.0150228608752449</v>
      </c>
      <c r="Y161" s="45" t="n">
        <v>0.964258893555475</v>
      </c>
      <c r="Z161" s="45" t="n"/>
      <c r="AA161" s="45" t="n">
        <v>0</v>
      </c>
      <c r="AB161" s="45" t="n">
        <v>0.903192474880639</v>
      </c>
      <c r="AC161" s="45" t="n">
        <v>0.715896279594138</v>
      </c>
      <c r="AD161" s="45" t="n">
        <v>0.581818181818182</v>
      </c>
      <c r="AE161" s="45" t="n">
        <v>0.78514631043257</v>
      </c>
      <c r="AF161" s="75">
        <f>IFERROR(AVERAGE(L161:U161),"")</f>
        <v/>
      </c>
      <c r="AG161" s="75">
        <f>IFERROR(AVERAGE(V161:AE161),"")</f>
        <v/>
      </c>
      <c r="AH161" s="75">
        <f>IFERROR(AVERAGE(B161:K161),"")</f>
        <v/>
      </c>
      <c r="AI161" s="45" t="n">
        <v>0.844203948974609</v>
      </c>
      <c r="AJ161" s="47" t="n">
        <v>0</v>
      </c>
    </row>
    <row r="162" ht="15" customHeight="1" s="30">
      <c r="A162" s="73" t="inlineStr">
        <is>
          <t>7431.jpg</t>
        </is>
      </c>
      <c r="B162" s="45" t="n"/>
      <c r="C162" s="45" t="n">
        <v>0.867638483965015</v>
      </c>
      <c r="D162" s="45" t="n"/>
      <c r="E162" s="45" t="n">
        <v>0.0475432864316148</v>
      </c>
      <c r="F162" s="45" t="n"/>
      <c r="G162" s="45" t="n">
        <v>0.0762518814987399</v>
      </c>
      <c r="H162" s="45" t="n">
        <v>0.701693484073744</v>
      </c>
      <c r="I162" s="45" t="n">
        <v>0.224967490247074</v>
      </c>
      <c r="J162" s="45" t="n">
        <v>0</v>
      </c>
      <c r="K162" s="45" t="n">
        <v>0.264123992933305</v>
      </c>
      <c r="L162" s="45" t="n"/>
      <c r="M162" s="45" t="n">
        <v>0.91866028708134</v>
      </c>
      <c r="N162" s="45" t="n"/>
      <c r="O162" s="45" t="n">
        <v>0.0475484526960423</v>
      </c>
      <c r="P162" s="45" t="n"/>
      <c r="Q162" s="45" t="n">
        <v>0.223552286752895</v>
      </c>
      <c r="R162" s="45" t="n">
        <v>0.8247684164093519</v>
      </c>
      <c r="S162" s="45" t="n">
        <v>0.470108695652174</v>
      </c>
      <c r="T162" s="45" t="n"/>
      <c r="U162" s="45" t="n">
        <v>0.9061599965610631</v>
      </c>
      <c r="V162" s="45" t="n"/>
      <c r="W162" s="45" t="n">
        <v>0.939838938891521</v>
      </c>
      <c r="X162" s="45" t="n"/>
      <c r="Y162" s="45" t="n">
        <v>0.99771986970684</v>
      </c>
      <c r="Z162" s="45" t="n"/>
      <c r="AA162" s="45" t="n">
        <v>0.103721484828517</v>
      </c>
      <c r="AB162" s="45" t="n">
        <v>0.824632008379734</v>
      </c>
      <c r="AC162" s="45" t="n">
        <v>0.301393728222997</v>
      </c>
      <c r="AD162" s="45" t="n">
        <v>0</v>
      </c>
      <c r="AE162" s="45" t="n">
        <v>0.271551502035348</v>
      </c>
      <c r="AF162" s="75">
        <f>IFERROR(AVERAGE(L162:U162),"")</f>
        <v/>
      </c>
      <c r="AG162" s="75">
        <f>IFERROR(AVERAGE(V162:AE162),"")</f>
        <v/>
      </c>
      <c r="AH162" s="75">
        <f>IFERROR(AVERAGE(B162:K162),"")</f>
        <v/>
      </c>
      <c r="AI162" s="45" t="n">
        <v>0.325466156005859</v>
      </c>
      <c r="AJ162" s="47" t="n">
        <v>0</v>
      </c>
    </row>
    <row r="163" ht="15" customHeight="1" s="30">
      <c r="A163" s="73" t="inlineStr">
        <is>
          <t>7450.jpg</t>
        </is>
      </c>
      <c r="B163" s="45" t="n">
        <v>0</v>
      </c>
      <c r="C163" s="45" t="n">
        <v>0.773123825131344</v>
      </c>
      <c r="D163" s="45" t="n"/>
      <c r="E163" s="45" t="n">
        <v>0</v>
      </c>
      <c r="F163" s="45" t="n"/>
      <c r="G163" s="45" t="n">
        <v>0.21838247826828</v>
      </c>
      <c r="H163" s="45" t="n">
        <v>0.577325581395349</v>
      </c>
      <c r="I163" s="45" t="n"/>
      <c r="J163" s="45" t="n"/>
      <c r="K163" s="45" t="n">
        <v>0</v>
      </c>
      <c r="L163" s="45" t="n"/>
      <c r="M163" s="45" t="n">
        <v>0.9795419847328239</v>
      </c>
      <c r="N163" s="45" t="n"/>
      <c r="O163" s="45" t="n">
        <v>0</v>
      </c>
      <c r="P163" s="45" t="n"/>
      <c r="Q163" s="45" t="n">
        <v>0.876667807047554</v>
      </c>
      <c r="R163" s="45" t="n">
        <v>0.67385993485342</v>
      </c>
      <c r="S163" s="45" t="n"/>
      <c r="T163" s="45" t="n"/>
      <c r="U163" s="45" t="n">
        <v>0</v>
      </c>
      <c r="V163" s="45" t="n">
        <v>0</v>
      </c>
      <c r="W163" s="45" t="n">
        <v>0.785812267293749</v>
      </c>
      <c r="X163" s="45" t="n"/>
      <c r="Y163" s="45" t="n"/>
      <c r="Z163" s="45" t="n"/>
      <c r="AA163" s="45" t="n">
        <v>0.225304435749769</v>
      </c>
      <c r="AB163" s="45" t="n">
        <v>0.801194126190092</v>
      </c>
      <c r="AC163" s="45" t="n"/>
      <c r="AD163" s="45" t="n"/>
      <c r="AE163" s="45" t="n"/>
      <c r="AF163" s="75">
        <f>IFERROR(AVERAGE(L163:U163),"")</f>
        <v/>
      </c>
      <c r="AG163" s="75">
        <f>IFERROR(AVERAGE(V163:AE163),"")</f>
        <v/>
      </c>
      <c r="AH163" s="75">
        <f>IFERROR(AVERAGE(B163:K163),"")</f>
        <v/>
      </c>
      <c r="AI163" s="45" t="n">
        <v>0.09967803955078131</v>
      </c>
      <c r="AJ163" s="47" t="n">
        <v>0</v>
      </c>
    </row>
    <row r="164" ht="15" customHeight="1" s="30">
      <c r="A164" s="73" t="inlineStr">
        <is>
          <t>7457.jpg</t>
        </is>
      </c>
      <c r="B164" s="45" t="n"/>
      <c r="C164" s="45" t="n">
        <v>0.752821808402266</v>
      </c>
      <c r="D164" s="45" t="n"/>
      <c r="E164" s="45" t="n">
        <v>0.898478002378121</v>
      </c>
      <c r="F164" s="45" t="n"/>
      <c r="G164" s="45" t="n">
        <v>0</v>
      </c>
      <c r="H164" s="45" t="n">
        <v>0.688783978165456</v>
      </c>
      <c r="I164" s="45" t="n">
        <v>0.598930481283422</v>
      </c>
      <c r="J164" s="45" t="n">
        <v>0</v>
      </c>
      <c r="K164" s="45" t="n">
        <v>0.240154799871</v>
      </c>
      <c r="L164" s="45" t="n"/>
      <c r="M164" s="45" t="n">
        <v>0.940538614264624</v>
      </c>
      <c r="N164" s="45" t="n"/>
      <c r="O164" s="45" t="n">
        <v>0.9018365661416829</v>
      </c>
      <c r="P164" s="45" t="n"/>
      <c r="Q164" s="45" t="n">
        <v>0</v>
      </c>
      <c r="R164" s="45" t="n">
        <v>0.846746769440036</v>
      </c>
      <c r="S164" s="45" t="n">
        <v>0.817518248175183</v>
      </c>
      <c r="T164" s="45" t="n">
        <v>0</v>
      </c>
      <c r="U164" s="45" t="n">
        <v>0.676491369738569</v>
      </c>
      <c r="V164" s="45" t="n"/>
      <c r="W164" s="45" t="n">
        <v>0.7904419629487019</v>
      </c>
      <c r="X164" s="45" t="n"/>
      <c r="Y164" s="45" t="n">
        <v>0.995872169035469</v>
      </c>
      <c r="Z164" s="45" t="n"/>
      <c r="AA164" s="45" t="n"/>
      <c r="AB164" s="45" t="n">
        <v>0.786879029199848</v>
      </c>
      <c r="AC164" s="45" t="n">
        <v>0.691358024691358</v>
      </c>
      <c r="AD164" s="45" t="n"/>
      <c r="AE164" s="45" t="n">
        <v>0.271314063638572</v>
      </c>
      <c r="AF164" s="75">
        <f>IFERROR(AVERAGE(L164:U164),"")</f>
        <v/>
      </c>
      <c r="AG164" s="75">
        <f>IFERROR(AVERAGE(V164:AE164),"")</f>
        <v/>
      </c>
      <c r="AH164" s="75">
        <f>IFERROR(AVERAGE(B164:K164),"")</f>
        <v/>
      </c>
      <c r="AI164" s="45" t="n">
        <v>0.889606475830078</v>
      </c>
      <c r="AJ164" s="47" t="n">
        <v>0</v>
      </c>
    </row>
    <row r="165" ht="15" customHeight="1" s="30">
      <c r="A165" s="73" t="inlineStr">
        <is>
          <t>7461.jpg</t>
        </is>
      </c>
      <c r="B165" s="45" t="n"/>
      <c r="C165" s="45" t="n">
        <v>0.814214285714286</v>
      </c>
      <c r="D165" s="45" t="n"/>
      <c r="E165" s="45" t="n">
        <v>0.923637391545136</v>
      </c>
      <c r="F165" s="45" t="n"/>
      <c r="G165" s="45" t="n">
        <v>0</v>
      </c>
      <c r="H165" s="45" t="n">
        <v>0.696626864284719</v>
      </c>
      <c r="I165" s="45" t="n">
        <v>0.425280199252802</v>
      </c>
      <c r="J165" s="45" t="n"/>
      <c r="K165" s="45" t="n">
        <v>0.449421487603306</v>
      </c>
      <c r="L165" s="45" t="n"/>
      <c r="M165" s="45" t="n">
        <v>0.897629734624774</v>
      </c>
      <c r="N165" s="45" t="n"/>
      <c r="O165" s="45" t="n">
        <v>0.924266565065291</v>
      </c>
      <c r="P165" s="45" t="n"/>
      <c r="Q165" s="45" t="n">
        <v>0</v>
      </c>
      <c r="R165" s="45" t="n">
        <v>0.8269766415708339</v>
      </c>
      <c r="S165" s="45" t="n">
        <v>0.518209408194234</v>
      </c>
      <c r="T165" s="45" t="n"/>
      <c r="U165" s="45" t="n">
        <v>0.841907373822267</v>
      </c>
      <c r="V165" s="45" t="n"/>
      <c r="W165" s="45" t="n">
        <v>0.89755905511811</v>
      </c>
      <c r="X165" s="45" t="n"/>
      <c r="Y165" s="45" t="n">
        <v>0.999263535652988</v>
      </c>
      <c r="Z165" s="45" t="n"/>
      <c r="AA165" s="45" t="n"/>
      <c r="AB165" s="45" t="n">
        <v>0.8154846078538019</v>
      </c>
      <c r="AC165" s="45" t="n">
        <v>0.703398558187436</v>
      </c>
      <c r="AD165" s="45" t="n"/>
      <c r="AE165" s="45" t="n">
        <v>0.490844852486074</v>
      </c>
      <c r="AF165" s="75">
        <f>IFERROR(AVERAGE(L165:U165),"")</f>
        <v/>
      </c>
      <c r="AG165" s="75">
        <f>IFERROR(AVERAGE(V165:AE165),"")</f>
        <v/>
      </c>
      <c r="AH165" s="75">
        <f>IFERROR(AVERAGE(B165:K165),"")</f>
        <v/>
      </c>
      <c r="AI165" s="45" t="n">
        <v>0.8873291015625</v>
      </c>
      <c r="AJ165" s="47" t="n">
        <v>0</v>
      </c>
    </row>
    <row r="166" ht="15" customHeight="1" s="30">
      <c r="A166" s="73" t="inlineStr">
        <is>
          <t>7464.jpg</t>
        </is>
      </c>
      <c r="B166" s="45" t="n"/>
      <c r="C166" s="45" t="n">
        <v>0.837862368667143</v>
      </c>
      <c r="D166" s="45" t="n"/>
      <c r="E166" s="45" t="n">
        <v>0.314316628141445</v>
      </c>
      <c r="F166" s="45" t="n"/>
      <c r="G166" s="45" t="n">
        <v>0</v>
      </c>
      <c r="H166" s="45" t="n">
        <v>0.7385783898789779</v>
      </c>
      <c r="I166" s="45" t="n">
        <v>0.213872832369942</v>
      </c>
      <c r="J166" s="45" t="n">
        <v>0</v>
      </c>
      <c r="K166" s="45" t="n">
        <v>0.735520704360985</v>
      </c>
      <c r="L166" s="45" t="n"/>
      <c r="M166" s="45" t="n">
        <v>0.9238771115761381</v>
      </c>
      <c r="N166" s="45" t="n"/>
      <c r="O166" s="45" t="n">
        <v>0.895384676967417</v>
      </c>
      <c r="P166" s="45" t="n"/>
      <c r="Q166" s="45" t="n">
        <v>0</v>
      </c>
      <c r="R166" s="45" t="n">
        <v>0.863070095706571</v>
      </c>
      <c r="S166" s="45" t="n">
        <v>0.22289156626506</v>
      </c>
      <c r="T166" s="45" t="n">
        <v>0</v>
      </c>
      <c r="U166" s="45" t="n">
        <v>0.882752357955132</v>
      </c>
      <c r="V166" s="45" t="n"/>
      <c r="W166" s="45" t="n">
        <v>0.899994091231387</v>
      </c>
      <c r="X166" s="45" t="n"/>
      <c r="Y166" s="45" t="n">
        <v>0.326299743260591</v>
      </c>
      <c r="Z166" s="45" t="n"/>
      <c r="AA166" s="45" t="n"/>
      <c r="AB166" s="45" t="n">
        <v>0.8366114695897801</v>
      </c>
      <c r="AC166" s="45" t="n">
        <v>0.8409090909090911</v>
      </c>
      <c r="AD166" s="45" t="n"/>
      <c r="AE166" s="45" t="n">
        <v>0.815155038021002</v>
      </c>
      <c r="AF166" s="75">
        <f>IFERROR(AVERAGE(L166:U166),"")</f>
        <v/>
      </c>
      <c r="AG166" s="75">
        <f>IFERROR(AVERAGE(V166:AE166),"")</f>
        <v/>
      </c>
      <c r="AH166" s="75">
        <f>IFERROR(AVERAGE(B166:K166),"")</f>
        <v/>
      </c>
      <c r="AI166" s="45" t="n">
        <v>0.573604583740234</v>
      </c>
      <c r="AJ166" s="47" t="n">
        <v>0</v>
      </c>
    </row>
    <row r="167" ht="15" customHeight="1" s="30">
      <c r="A167" s="73" t="inlineStr">
        <is>
          <t>7476.jpg</t>
        </is>
      </c>
      <c r="B167" s="45" t="n"/>
      <c r="C167" s="45" t="n">
        <v>0.856714628297362</v>
      </c>
      <c r="D167" s="45" t="n">
        <v>0</v>
      </c>
      <c r="E167" s="45" t="n">
        <v>0.496700619268384</v>
      </c>
      <c r="F167" s="45" t="n"/>
      <c r="G167" s="45" t="n">
        <v>0.836924372168249</v>
      </c>
      <c r="H167" s="45" t="n">
        <v>0.7287125023290481</v>
      </c>
      <c r="I167" s="45" t="n">
        <v>0.342034203420342</v>
      </c>
      <c r="J167" s="45" t="n">
        <v>0.803867907316183</v>
      </c>
      <c r="K167" s="45" t="n">
        <v>0</v>
      </c>
      <c r="L167" s="45" t="n"/>
      <c r="M167" s="45" t="n">
        <v>0.951994670428717</v>
      </c>
      <c r="N167" s="45" t="n"/>
      <c r="O167" s="45" t="n">
        <v>0.83540125213432</v>
      </c>
      <c r="P167" s="45" t="n"/>
      <c r="Q167" s="45" t="n">
        <v>0.85739739319416</v>
      </c>
      <c r="R167" s="45" t="n">
        <v>0.929444693829051</v>
      </c>
      <c r="S167" s="45" t="n">
        <v>0.85972850678733</v>
      </c>
      <c r="T167" s="45" t="n">
        <v>0.976940133037694</v>
      </c>
      <c r="U167" s="45" t="n">
        <v>0</v>
      </c>
      <c r="V167" s="45" t="n"/>
      <c r="W167" s="45" t="n">
        <v>0.895396410010689</v>
      </c>
      <c r="X167" s="45" t="n">
        <v>0</v>
      </c>
      <c r="Y167" s="45" t="n">
        <v>0.55058329269665</v>
      </c>
      <c r="Z167" s="45" t="n"/>
      <c r="AA167" s="45" t="n">
        <v>0.972260650790485</v>
      </c>
      <c r="AB167" s="45" t="n">
        <v>0.771383489294559</v>
      </c>
      <c r="AC167" s="45" t="n">
        <v>0.362249761677788</v>
      </c>
      <c r="AD167" s="45" t="n">
        <v>0.819416031244188</v>
      </c>
      <c r="AE167" s="45" t="n"/>
      <c r="AF167" s="75">
        <f>IFERROR(AVERAGE(L167:U167),"")</f>
        <v/>
      </c>
      <c r="AG167" s="75">
        <f>IFERROR(AVERAGE(V167:AE167),"")</f>
        <v/>
      </c>
      <c r="AH167" s="75">
        <f>IFERROR(AVERAGE(B167:K167),"")</f>
        <v/>
      </c>
      <c r="AI167" s="45" t="n">
        <v>0.877593994140625</v>
      </c>
      <c r="AJ167" s="47" t="n">
        <v>0</v>
      </c>
    </row>
    <row r="168" ht="15" customHeight="1" s="30">
      <c r="A168" s="73" t="inlineStr">
        <is>
          <t>7486.jpg</t>
        </is>
      </c>
      <c r="B168" s="45" t="n"/>
      <c r="C168" s="45" t="n">
        <v>0.857544792349915</v>
      </c>
      <c r="D168" s="45" t="n"/>
      <c r="E168" s="45" t="n">
        <v>0.706412429378531</v>
      </c>
      <c r="F168" s="45" t="n"/>
      <c r="G168" s="45" t="n">
        <v>0.550112511251125</v>
      </c>
      <c r="H168" s="45" t="n">
        <v>0.8513487288957891</v>
      </c>
      <c r="I168" s="45" t="n">
        <v>0.526566757493188</v>
      </c>
      <c r="J168" s="45" t="n">
        <v>0.696509009009009</v>
      </c>
      <c r="K168" s="45" t="n">
        <v>0</v>
      </c>
      <c r="L168" s="45" t="n"/>
      <c r="M168" s="45" t="n">
        <v>0.887445964774392</v>
      </c>
      <c r="N168" s="45" t="n"/>
      <c r="O168" s="45" t="n">
        <v>0.7539950551769889</v>
      </c>
      <c r="P168" s="45" t="n"/>
      <c r="Q168" s="45" t="n">
        <v>0.995466576179165</v>
      </c>
      <c r="R168" s="45" t="n">
        <v>0.91968721829731</v>
      </c>
      <c r="S168" s="45" t="n">
        <v>0.702727272727273</v>
      </c>
      <c r="T168" s="45" t="n">
        <v>0.788400254939452</v>
      </c>
      <c r="U168" s="45" t="n">
        <v>0</v>
      </c>
      <c r="V168" s="45" t="n"/>
      <c r="W168" s="45" t="n">
        <v>0.962194720430732</v>
      </c>
      <c r="X168" s="45" t="n"/>
      <c r="Y168" s="45" t="n">
        <v>0.917991263169487</v>
      </c>
      <c r="Z168" s="45" t="n"/>
      <c r="AA168" s="45" t="n">
        <v>0.5514941422405371</v>
      </c>
      <c r="AB168" s="45" t="n">
        <v>0.919725780414684</v>
      </c>
      <c r="AC168" s="45" t="n">
        <v>0.677475898334794</v>
      </c>
      <c r="AD168" s="45" t="n">
        <v>0.856648199445983</v>
      </c>
      <c r="AE168" s="45" t="n"/>
      <c r="AF168" s="75">
        <f>IFERROR(AVERAGE(L168:U168),"")</f>
        <v/>
      </c>
      <c r="AG168" s="75">
        <f>IFERROR(AVERAGE(V168:AE168),"")</f>
        <v/>
      </c>
      <c r="AH168" s="75">
        <f>IFERROR(AVERAGE(B168:K168),"")</f>
        <v/>
      </c>
      <c r="AI168" s="45" t="n">
        <v>0.739704132080078</v>
      </c>
      <c r="AJ168" s="47" t="n">
        <v>0</v>
      </c>
    </row>
    <row r="169" ht="15" customHeight="1" s="30">
      <c r="A169" s="73" t="inlineStr">
        <is>
          <t>7541.jpg</t>
        </is>
      </c>
      <c r="B169" s="45" t="n">
        <v>0.724349958302735</v>
      </c>
      <c r="C169" s="45" t="n">
        <v>0.834436322216936</v>
      </c>
      <c r="D169" s="45" t="n">
        <v>0</v>
      </c>
      <c r="E169" s="45" t="n">
        <v>0.6511141741327821</v>
      </c>
      <c r="F169" s="45" t="n"/>
      <c r="G169" s="45" t="n"/>
      <c r="H169" s="45" t="n">
        <v>0.814393435578428</v>
      </c>
      <c r="I169" s="45" t="n">
        <v>0.400688863375431</v>
      </c>
      <c r="J169" s="45" t="n">
        <v>0.509868421052632</v>
      </c>
      <c r="K169" s="45" t="n">
        <v>0</v>
      </c>
      <c r="L169" s="45" t="n">
        <v>0.795557074504443</v>
      </c>
      <c r="M169" s="45" t="n">
        <v>0.93358713361617</v>
      </c>
      <c r="N169" s="45" t="n"/>
      <c r="O169" s="45" t="n">
        <v>0.793033016228316</v>
      </c>
      <c r="P169" s="45" t="n"/>
      <c r="Q169" s="45" t="n"/>
      <c r="R169" s="45" t="n">
        <v>0.92834316904201</v>
      </c>
      <c r="S169" s="45" t="n">
        <v>0.499856774563162</v>
      </c>
      <c r="T169" s="45" t="n">
        <v>1</v>
      </c>
      <c r="U169" s="45" t="n">
        <v>0</v>
      </c>
      <c r="V169" s="45" t="n">
        <v>0.890022328938917</v>
      </c>
      <c r="W169" s="45" t="n">
        <v>0.887093807480074</v>
      </c>
      <c r="X169" s="45" t="n">
        <v>0</v>
      </c>
      <c r="Y169" s="45" t="n">
        <v>0.784407605236211</v>
      </c>
      <c r="Z169" s="45" t="n"/>
      <c r="AA169" s="45" t="n"/>
      <c r="AB169" s="45" t="n">
        <v>0.869021234783558</v>
      </c>
      <c r="AC169" s="45" t="n">
        <v>0.668838635492526</v>
      </c>
      <c r="AD169" s="45" t="n">
        <v>0.509868421052632</v>
      </c>
      <c r="AE169" s="45" t="n"/>
      <c r="AF169" s="75">
        <f>IFERROR(AVERAGE(L169:U169),"")</f>
        <v/>
      </c>
      <c r="AG169" s="75">
        <f>IFERROR(AVERAGE(V169:AE169),"")</f>
        <v/>
      </c>
      <c r="AH169" s="75">
        <f>IFERROR(AVERAGE(B169:K169),"")</f>
        <v/>
      </c>
      <c r="AI169" s="45" t="n">
        <v>0.862369537353516</v>
      </c>
      <c r="AJ169" s="47" t="n">
        <v>0</v>
      </c>
    </row>
    <row r="170" ht="15" customHeight="1" s="30">
      <c r="A170" s="73" t="inlineStr">
        <is>
          <t>7543.jpg</t>
        </is>
      </c>
      <c r="B170" s="45" t="n">
        <v>0.0735176528478288</v>
      </c>
      <c r="C170" s="45" t="n">
        <v>0.878095183188723</v>
      </c>
      <c r="D170" s="45" t="n">
        <v>0</v>
      </c>
      <c r="E170" s="45" t="n">
        <v>0.52970216333279</v>
      </c>
      <c r="F170" s="45" t="n"/>
      <c r="G170" s="45" t="n">
        <v>0</v>
      </c>
      <c r="H170" s="45" t="n">
        <v>0.799520989374673</v>
      </c>
      <c r="I170" s="45" t="n">
        <v>0.367027677496992</v>
      </c>
      <c r="J170" s="45" t="n"/>
      <c r="K170" s="45" t="n">
        <v>0</v>
      </c>
      <c r="L170" s="45" t="n">
        <v>0.96703074433657</v>
      </c>
      <c r="M170" s="45" t="n">
        <v>0.901242603550296</v>
      </c>
      <c r="N170" s="45" t="n">
        <v>0</v>
      </c>
      <c r="O170" s="45" t="n">
        <v>0.71852296417967</v>
      </c>
      <c r="P170" s="45" t="n"/>
      <c r="Q170" s="45" t="n">
        <v>0</v>
      </c>
      <c r="R170" s="45" t="n">
        <v>0.86019621255423</v>
      </c>
      <c r="S170" s="45" t="n">
        <v>0.373088685015291</v>
      </c>
      <c r="T170" s="45" t="n"/>
      <c r="U170" s="45" t="n">
        <v>0</v>
      </c>
      <c r="V170" s="45" t="n">
        <v>0.0737023848063019</v>
      </c>
      <c r="W170" s="45" t="n">
        <v>0.971581666826141</v>
      </c>
      <c r="X170" s="45" t="n"/>
      <c r="Y170" s="45" t="n">
        <v>0.668400329102022</v>
      </c>
      <c r="Z170" s="45" t="n"/>
      <c r="AA170" s="45" t="n"/>
      <c r="AB170" s="45" t="n">
        <v>0.918928928928929</v>
      </c>
      <c r="AC170" s="45" t="n">
        <v>0.957613814756672</v>
      </c>
      <c r="AD170" s="45" t="n"/>
      <c r="AE170" s="45" t="n"/>
      <c r="AF170" s="75">
        <f>IFERROR(AVERAGE(L170:U170),"")</f>
        <v/>
      </c>
      <c r="AG170" s="75">
        <f>IFERROR(AVERAGE(V170:AE170),"")</f>
        <v/>
      </c>
      <c r="AH170" s="75">
        <f>IFERROR(AVERAGE(B170:K170),"")</f>
        <v/>
      </c>
      <c r="AI170" s="45" t="n">
        <v>0.689937591552734</v>
      </c>
      <c r="AJ170" s="47" t="n">
        <v>0</v>
      </c>
    </row>
    <row r="171" ht="15" customHeight="1" s="30">
      <c r="A171" s="73" t="inlineStr">
        <is>
          <t>7577.jpg</t>
        </is>
      </c>
      <c r="B171" s="45" t="n"/>
      <c r="C171" s="45" t="n">
        <v>0.79782656261396</v>
      </c>
      <c r="D171" s="45" t="n">
        <v>0</v>
      </c>
      <c r="E171" s="45" t="n">
        <v>0.830475301485976</v>
      </c>
      <c r="F171" s="45" t="n">
        <v>0.245970937912814</v>
      </c>
      <c r="G171" s="45" t="n"/>
      <c r="H171" s="45" t="n">
        <v>0.826671438797423</v>
      </c>
      <c r="I171" s="45" t="n">
        <v>0.480372914622179</v>
      </c>
      <c r="J171" s="45" t="n">
        <v>0.597836774827925</v>
      </c>
      <c r="K171" s="45" t="n">
        <v>0.753100959460628</v>
      </c>
      <c r="L171" s="45" t="n"/>
      <c r="M171" s="45" t="n">
        <v>0.892597050243773</v>
      </c>
      <c r="N171" s="45" t="n">
        <v>0</v>
      </c>
      <c r="O171" s="45" t="n">
        <v>0.858938025537216</v>
      </c>
      <c r="P171" s="45" t="n">
        <v>1</v>
      </c>
      <c r="Q171" s="45" t="n"/>
      <c r="R171" s="45" t="n">
        <v>0.901600437192599</v>
      </c>
      <c r="S171" s="45" t="n">
        <v>0.636955107351984</v>
      </c>
      <c r="T171" s="45" t="n">
        <v>0.877344877344877</v>
      </c>
      <c r="U171" s="45" t="n">
        <v>0.907624194283482</v>
      </c>
      <c r="V171" s="45" t="n"/>
      <c r="W171" s="45" t="n">
        <v>0.882551080094395</v>
      </c>
      <c r="X171" s="45" t="n"/>
      <c r="Y171" s="45" t="n">
        <v>0.961629650291134</v>
      </c>
      <c r="Z171" s="45" t="n">
        <v>0.245970937912814</v>
      </c>
      <c r="AA171" s="45" t="n"/>
      <c r="AB171" s="45" t="n">
        <v>0.908651727827784</v>
      </c>
      <c r="AC171" s="45" t="n">
        <v>0.661486486486486</v>
      </c>
      <c r="AD171" s="45" t="n">
        <v>0.652360515021459</v>
      </c>
      <c r="AE171" s="45" t="n">
        <v>0.815617028247794</v>
      </c>
      <c r="AF171" s="75">
        <f>IFERROR(AVERAGE(L171:U171),"")</f>
        <v/>
      </c>
      <c r="AG171" s="75">
        <f>IFERROR(AVERAGE(V171:AE171),"")</f>
        <v/>
      </c>
      <c r="AH171" s="75">
        <f>IFERROR(AVERAGE(B171:K171),"")</f>
        <v/>
      </c>
      <c r="AI171" s="45" t="n">
        <v>0.873104095458984</v>
      </c>
      <c r="AJ171" s="47" t="n">
        <v>0</v>
      </c>
    </row>
    <row r="172" ht="15" customHeight="1" s="30">
      <c r="A172" s="73" t="inlineStr">
        <is>
          <t>7581.jpg</t>
        </is>
      </c>
      <c r="B172" s="45" t="n"/>
      <c r="C172" s="45" t="n">
        <v>0.865388487091728</v>
      </c>
      <c r="D172" s="45" t="n">
        <v>0</v>
      </c>
      <c r="E172" s="45" t="n">
        <v>0.783127396676609</v>
      </c>
      <c r="F172" s="45" t="n"/>
      <c r="G172" s="45" t="n"/>
      <c r="H172" s="45" t="n">
        <v>0.769681989227477</v>
      </c>
      <c r="I172" s="45" t="n">
        <v>0.423855165069223</v>
      </c>
      <c r="J172" s="45" t="n">
        <v>0.758287008441425</v>
      </c>
      <c r="K172" s="45" t="n">
        <v>0.789879201808327</v>
      </c>
      <c r="L172" s="45" t="n"/>
      <c r="M172" s="45" t="n">
        <v>0.913488417714276</v>
      </c>
      <c r="N172" s="45" t="n">
        <v>0</v>
      </c>
      <c r="O172" s="45" t="n">
        <v>0.828799038027957</v>
      </c>
      <c r="P172" s="45" t="n"/>
      <c r="Q172" s="45" t="n"/>
      <c r="R172" s="45" t="n">
        <v>0.871379346350632</v>
      </c>
      <c r="S172" s="45" t="n">
        <v>0.697022767075307</v>
      </c>
      <c r="T172" s="45" t="n">
        <v>0.857708430367955</v>
      </c>
      <c r="U172" s="45" t="n">
        <v>0.908602902116476</v>
      </c>
      <c r="V172" s="45" t="n"/>
      <c r="W172" s="45" t="n">
        <v>0.942644106681962</v>
      </c>
      <c r="X172" s="45" t="n"/>
      <c r="Y172" s="45" t="n">
        <v>0.934259573026093</v>
      </c>
      <c r="Z172" s="45" t="n"/>
      <c r="AA172" s="45" t="n"/>
      <c r="AB172" s="45" t="n">
        <v>0.868332882442303</v>
      </c>
      <c r="AC172" s="45" t="n">
        <v>0.519582245430809</v>
      </c>
      <c r="AD172" s="45" t="n">
        <v>0.867404616109279</v>
      </c>
      <c r="AE172" s="45" t="n">
        <v>0.858055658235201</v>
      </c>
      <c r="AF172" s="75">
        <f>IFERROR(AVERAGE(L172:U172),"")</f>
        <v/>
      </c>
      <c r="AG172" s="75">
        <f>IFERROR(AVERAGE(V172:AE172),"")</f>
        <v/>
      </c>
      <c r="AH172" s="75">
        <f>IFERROR(AVERAGE(B172:K172),"")</f>
        <v/>
      </c>
      <c r="AI172" s="45" t="n">
        <v>0.887535095214844</v>
      </c>
      <c r="AJ172" s="47" t="n">
        <v>0</v>
      </c>
    </row>
    <row r="173" ht="15" customHeight="1" s="30">
      <c r="A173" s="73" t="inlineStr">
        <is>
          <t>7583.jpg</t>
        </is>
      </c>
      <c r="B173" s="45" t="n"/>
      <c r="C173" s="45" t="n">
        <v>0.854085146828287</v>
      </c>
      <c r="D173" s="45" t="n">
        <v>0.314090909090909</v>
      </c>
      <c r="E173" s="45" t="n">
        <v>0.706757087997386</v>
      </c>
      <c r="F173" s="45" t="n"/>
      <c r="G173" s="45" t="n"/>
      <c r="H173" s="45" t="n">
        <v>0.8287880945599539</v>
      </c>
      <c r="I173" s="45" t="n">
        <v>0.433908859326352</v>
      </c>
      <c r="J173" s="45" t="n">
        <v>0.679044236357766</v>
      </c>
      <c r="K173" s="45" t="n">
        <v>0.678466048344466</v>
      </c>
      <c r="L173" s="45" t="n"/>
      <c r="M173" s="45" t="n">
        <v>0.869388216668551</v>
      </c>
      <c r="N173" s="45" t="n">
        <v>0.854140914709518</v>
      </c>
      <c r="O173" s="45" t="n">
        <v>0.726906027437551</v>
      </c>
      <c r="P173" s="45" t="n"/>
      <c r="Q173" s="45" t="n"/>
      <c r="R173" s="45" t="n">
        <v>0.906044447904098</v>
      </c>
      <c r="S173" s="45" t="n">
        <v>0.634257343814646</v>
      </c>
      <c r="T173" s="45" t="n">
        <v>0.802671755725191</v>
      </c>
      <c r="U173" s="45" t="n">
        <v>0.908203175256671</v>
      </c>
      <c r="V173" s="45" t="n"/>
      <c r="W173" s="45" t="n">
        <v>0.9798068481123789</v>
      </c>
      <c r="X173" s="45" t="n">
        <v>0.331892411143132</v>
      </c>
      <c r="Y173" s="45" t="n">
        <v>0.962260477792919</v>
      </c>
      <c r="Z173" s="45" t="n"/>
      <c r="AA173" s="45" t="n"/>
      <c r="AB173" s="45" t="n">
        <v>0.906714964555582</v>
      </c>
      <c r="AC173" s="45" t="n">
        <v>0.578708946772367</v>
      </c>
      <c r="AD173" s="45" t="n">
        <v>0.815116279069768</v>
      </c>
      <c r="AE173" s="45" t="n">
        <v>0.728418119905067</v>
      </c>
      <c r="AF173" s="75">
        <f>IFERROR(AVERAGE(L173:U173),"")</f>
        <v/>
      </c>
      <c r="AG173" s="75">
        <f>IFERROR(AVERAGE(V173:AE173),"")</f>
        <v/>
      </c>
      <c r="AH173" s="75">
        <f>IFERROR(AVERAGE(B173:K173),"")</f>
        <v/>
      </c>
      <c r="AI173" s="45" t="n">
        <v>0.8593292236328131</v>
      </c>
      <c r="AJ173" s="47" t="n">
        <v>0</v>
      </c>
    </row>
    <row r="174" ht="15" customHeight="1" s="30">
      <c r="A174" s="73" t="inlineStr">
        <is>
          <t>7584.jpg</t>
        </is>
      </c>
      <c r="B174" s="45" t="n"/>
      <c r="C174" s="45" t="n">
        <v>0.861910293740477</v>
      </c>
      <c r="D174" s="45" t="n">
        <v>0</v>
      </c>
      <c r="E174" s="45" t="n">
        <v>0.770933234968646</v>
      </c>
      <c r="F174" s="45" t="n"/>
      <c r="G174" s="45" t="n"/>
      <c r="H174" s="45" t="n">
        <v>0.775475220638153</v>
      </c>
      <c r="I174" s="45" t="n">
        <v>0.502606429192007</v>
      </c>
      <c r="J174" s="45" t="n">
        <v>0.603793193037153</v>
      </c>
      <c r="K174" s="45" t="n">
        <v>0.744371186084029</v>
      </c>
      <c r="L174" s="45" t="n"/>
      <c r="M174" s="45" t="n">
        <v>0.9172500160554879</v>
      </c>
      <c r="N174" s="45" t="n">
        <v>0</v>
      </c>
      <c r="O174" s="45" t="n">
        <v>0.806068007970688</v>
      </c>
      <c r="P174" s="45" t="n"/>
      <c r="Q174" s="45" t="n"/>
      <c r="R174" s="45" t="n">
        <v>0.868402546802243</v>
      </c>
      <c r="S174" s="45" t="n">
        <v>0.770306258322237</v>
      </c>
      <c r="T174" s="45" t="n">
        <v>0.772093023255814</v>
      </c>
      <c r="U174" s="45" t="n">
        <v>0.895531834099827</v>
      </c>
      <c r="V174" s="45" t="n"/>
      <c r="W174" s="45" t="n">
        <v>0.934580968116606</v>
      </c>
      <c r="X174" s="45" t="n"/>
      <c r="Y174" s="45" t="n">
        <v>0.946486527285078</v>
      </c>
      <c r="Z174" s="45" t="n"/>
      <c r="AA174" s="45" t="n"/>
      <c r="AB174" s="45" t="n">
        <v>0.878740672359412</v>
      </c>
      <c r="AC174" s="45" t="n">
        <v>0.591211037301993</v>
      </c>
      <c r="AD174" s="45" t="n">
        <v>0.734745494783433</v>
      </c>
      <c r="AE174" s="45" t="n">
        <v>0.81515477379215</v>
      </c>
      <c r="AF174" s="75">
        <f>IFERROR(AVERAGE(L174:U174),"")</f>
        <v/>
      </c>
      <c r="AG174" s="75">
        <f>IFERROR(AVERAGE(V174:AE174),"")</f>
        <v/>
      </c>
      <c r="AH174" s="75">
        <f>IFERROR(AVERAGE(B174:K174),"")</f>
        <v/>
      </c>
      <c r="AI174" s="45" t="n">
        <v>0.872886657714844</v>
      </c>
      <c r="AJ174" s="47" t="n">
        <v>0</v>
      </c>
    </row>
    <row r="175" ht="15" customHeight="1" s="30">
      <c r="A175" s="73" t="inlineStr">
        <is>
          <t>7586.jpg</t>
        </is>
      </c>
      <c r="B175" s="45" t="n"/>
      <c r="C175" s="45" t="n">
        <v>0.706052794596647</v>
      </c>
      <c r="D175" s="45" t="n">
        <v>0</v>
      </c>
      <c r="E175" s="45" t="n">
        <v>0.780369310579081</v>
      </c>
      <c r="F175" s="45" t="n"/>
      <c r="G175" s="45" t="n"/>
      <c r="H175" s="45" t="n">
        <v>0.789636529442418</v>
      </c>
      <c r="I175" s="45" t="n">
        <v>0.578279266572638</v>
      </c>
      <c r="J175" s="45" t="n">
        <v>0.624595469255663</v>
      </c>
      <c r="K175" s="45" t="n">
        <v>0.767594323886074</v>
      </c>
      <c r="L175" s="45" t="n"/>
      <c r="M175" s="45" t="n">
        <v>0.817363745720366</v>
      </c>
      <c r="N175" s="45" t="n">
        <v>0</v>
      </c>
      <c r="O175" s="45" t="n">
        <v>0.842418720416009</v>
      </c>
      <c r="P175" s="45" t="n"/>
      <c r="Q175" s="45" t="n"/>
      <c r="R175" s="45" t="n">
        <v>0.906880622416727</v>
      </c>
      <c r="S175" s="45" t="n">
        <v>0.780952380952381</v>
      </c>
      <c r="T175" s="45" t="n">
        <v>0.749369054552514</v>
      </c>
      <c r="U175" s="45" t="n">
        <v>0.8894802614426091</v>
      </c>
      <c r="V175" s="45" t="n"/>
      <c r="W175" s="45" t="n">
        <v>0.8383078675144729</v>
      </c>
      <c r="X175" s="45" t="n"/>
      <c r="Y175" s="45" t="n">
        <v>0.913754037506629</v>
      </c>
      <c r="Z175" s="45" t="n"/>
      <c r="AA175" s="45" t="n"/>
      <c r="AB175" s="45" t="n">
        <v>0.859309929291676</v>
      </c>
      <c r="AC175" s="45" t="n">
        <v>0.69023569023569</v>
      </c>
      <c r="AD175" s="45" t="n">
        <v>0.789527510738392</v>
      </c>
      <c r="AE175" s="45" t="n">
        <v>0.848522273109316</v>
      </c>
      <c r="AF175" s="75">
        <f>IFERROR(AVERAGE(L175:U175),"")</f>
        <v/>
      </c>
      <c r="AG175" s="75">
        <f>IFERROR(AVERAGE(V175:AE175),"")</f>
        <v/>
      </c>
      <c r="AH175" s="75">
        <f>IFERROR(AVERAGE(B175:K175),"")</f>
        <v/>
      </c>
      <c r="AI175" s="45" t="n">
        <v>0.858066558837891</v>
      </c>
      <c r="AJ175" s="47" t="n">
        <v>0</v>
      </c>
    </row>
    <row r="176" ht="15" customHeight="1" s="30">
      <c r="A176" s="73" t="inlineStr">
        <is>
          <t>7590.jpg</t>
        </is>
      </c>
      <c r="B176" s="45" t="n"/>
      <c r="C176" s="45" t="n">
        <v>0.839501142624316</v>
      </c>
      <c r="D176" s="45" t="n"/>
      <c r="E176" s="45" t="n">
        <v>0.785049088359046</v>
      </c>
      <c r="F176" s="45" t="n"/>
      <c r="G176" s="45" t="n"/>
      <c r="H176" s="45" t="n">
        <v>0.819202813308733</v>
      </c>
      <c r="I176" s="45" t="n">
        <v>0.59251968503937</v>
      </c>
      <c r="J176" s="45" t="n">
        <v>0.658928571428571</v>
      </c>
      <c r="K176" s="45" t="n">
        <v>0.669054855984947</v>
      </c>
      <c r="L176" s="45" t="n"/>
      <c r="M176" s="45" t="n">
        <v>0.907313804327015</v>
      </c>
      <c r="N176" s="45" t="n"/>
      <c r="O176" s="45" t="n">
        <v>0.842246230702098</v>
      </c>
      <c r="P176" s="45" t="n"/>
      <c r="Q176" s="45" t="n"/>
      <c r="R176" s="45" t="n">
        <v>0.908376927407285</v>
      </c>
      <c r="S176" s="45" t="n">
        <v>0.746898263027295</v>
      </c>
      <c r="T176" s="45" t="n">
        <v>0.753984470780548</v>
      </c>
      <c r="U176" s="45" t="n">
        <v>0.833308295526245</v>
      </c>
      <c r="V176" s="45" t="n"/>
      <c r="W176" s="45" t="n">
        <v>0.9182491086653231</v>
      </c>
      <c r="X176" s="45" t="n"/>
      <c r="Y176" s="45" t="n">
        <v>0.920382794001579</v>
      </c>
      <c r="Z176" s="45" t="n"/>
      <c r="AA176" s="45" t="n"/>
      <c r="AB176" s="45" t="n">
        <v>0.892989228734174</v>
      </c>
      <c r="AC176" s="45" t="n">
        <v>0.741379310344828</v>
      </c>
      <c r="AD176" s="45" t="n">
        <v>0.839399454049136</v>
      </c>
      <c r="AE176" s="45" t="n">
        <v>0.77243357656102</v>
      </c>
      <c r="AF176" s="75">
        <f>IFERROR(AVERAGE(L176:U176),"")</f>
        <v/>
      </c>
      <c r="AG176" s="75">
        <f>IFERROR(AVERAGE(V176:AE176),"")</f>
        <v/>
      </c>
      <c r="AH176" s="75">
        <f>IFERROR(AVERAGE(B176:K176),"")</f>
        <v/>
      </c>
      <c r="AI176" s="45" t="n">
        <v>0.869903564453125</v>
      </c>
      <c r="AJ176" s="47" t="n">
        <v>0</v>
      </c>
    </row>
    <row r="177" ht="15" customHeight="1" s="30">
      <c r="A177" s="73" t="inlineStr">
        <is>
          <t>7593.jpg</t>
        </is>
      </c>
      <c r="B177" s="45" t="n"/>
      <c r="C177" s="45" t="n">
        <v>0.470810755546468</v>
      </c>
      <c r="D177" s="45" t="n">
        <v>0.0255740078008766</v>
      </c>
      <c r="E177" s="45" t="n">
        <v>0.672639828482856</v>
      </c>
      <c r="F177" s="45" t="n"/>
      <c r="G177" s="45" t="n"/>
      <c r="H177" s="45" t="n">
        <v>0.7631052369967249</v>
      </c>
      <c r="I177" s="45" t="n">
        <v>0.557477893118032</v>
      </c>
      <c r="J177" s="45" t="n">
        <v>0.727531516876779</v>
      </c>
      <c r="K177" s="45" t="n">
        <v>0.6029955759287891</v>
      </c>
      <c r="L177" s="45" t="n"/>
      <c r="M177" s="45" t="n">
        <v>0.5073168940381541</v>
      </c>
      <c r="N177" s="45" t="n">
        <v>0.99219968798752</v>
      </c>
      <c r="O177" s="45" t="n">
        <v>0.709084800635279</v>
      </c>
      <c r="P177" s="45" t="n"/>
      <c r="Q177" s="45" t="n"/>
      <c r="R177" s="45" t="n">
        <v>0.92768937574565</v>
      </c>
      <c r="S177" s="45" t="n">
        <v>0.6590909090909089</v>
      </c>
      <c r="T177" s="45" t="n">
        <v>0.890492782478845</v>
      </c>
      <c r="U177" s="45" t="n">
        <v>0.77690331973574</v>
      </c>
      <c r="V177" s="45" t="n"/>
      <c r="W177" s="45" t="n">
        <v>0.867422220826924</v>
      </c>
      <c r="X177" s="45" t="n">
        <v>0.0255791505791506</v>
      </c>
      <c r="Y177" s="45" t="n">
        <v>0.929013024949481</v>
      </c>
      <c r="Z177" s="45" t="n"/>
      <c r="AA177" s="45" t="n"/>
      <c r="AB177" s="45" t="n">
        <v>0.811366777786812</v>
      </c>
      <c r="AC177" s="45" t="n">
        <v>0.783360345759049</v>
      </c>
      <c r="AD177" s="45" t="n">
        <v>0.799017418490398</v>
      </c>
      <c r="AE177" s="45" t="n">
        <v>0.729274644800289</v>
      </c>
      <c r="AF177" s="75">
        <f>IFERROR(AVERAGE(L177:U177),"")</f>
        <v/>
      </c>
      <c r="AG177" s="75">
        <f>IFERROR(AVERAGE(V177:AE177),"")</f>
        <v/>
      </c>
      <c r="AH177" s="75">
        <f>IFERROR(AVERAGE(B177:K177),"")</f>
        <v/>
      </c>
      <c r="AI177" s="45" t="n">
        <v>0.741485595703125</v>
      </c>
      <c r="AJ177" s="47" t="n">
        <v>0</v>
      </c>
    </row>
    <row r="178" ht="15" customHeight="1" s="30">
      <c r="A178" s="73" t="inlineStr">
        <is>
          <t>7595.jpg</t>
        </is>
      </c>
      <c r="B178" s="45" t="n"/>
      <c r="C178" s="45" t="n">
        <v>0.689737979614707</v>
      </c>
      <c r="D178" s="45" t="n">
        <v>0</v>
      </c>
      <c r="E178" s="45" t="n">
        <v>0.707686721712703</v>
      </c>
      <c r="F178" s="45" t="n"/>
      <c r="G178" s="45" t="n"/>
      <c r="H178" s="45" t="n">
        <v>0.818936400362039</v>
      </c>
      <c r="I178" s="45" t="n">
        <v>0.505671326826695</v>
      </c>
      <c r="J178" s="45" t="n">
        <v>0.443510246978455</v>
      </c>
      <c r="K178" s="45" t="n">
        <v>0.56272845868692</v>
      </c>
      <c r="L178" s="45" t="n"/>
      <c r="M178" s="45" t="n">
        <v>0.748032255575276</v>
      </c>
      <c r="N178" s="45" t="n"/>
      <c r="O178" s="45" t="n">
        <v>0.779999407126341</v>
      </c>
      <c r="P178" s="45" t="n"/>
      <c r="Q178" s="45" t="n"/>
      <c r="R178" s="45" t="n">
        <v>0.913145684360808</v>
      </c>
      <c r="S178" s="45" t="n">
        <v>0.620187641539955</v>
      </c>
      <c r="T178" s="45" t="n">
        <v>0.8638689866939609</v>
      </c>
      <c r="U178" s="45" t="n">
        <v>0.757410337094279</v>
      </c>
      <c r="V178" s="45" t="n"/>
      <c r="W178" s="45" t="n">
        <v>0.898484567615164</v>
      </c>
      <c r="X178" s="45" t="n">
        <v>0</v>
      </c>
      <c r="Y178" s="45" t="n">
        <v>0.8841714410524369</v>
      </c>
      <c r="Z178" s="45" t="n"/>
      <c r="AA178" s="45" t="n"/>
      <c r="AB178" s="45" t="n">
        <v>0.888114817873858</v>
      </c>
      <c r="AC178" s="45" t="n">
        <v>0.73251815055407</v>
      </c>
      <c r="AD178" s="45" t="n">
        <v>0.47683615819209</v>
      </c>
      <c r="AE178" s="45" t="n">
        <v>0.686451226621709</v>
      </c>
      <c r="AF178" s="75">
        <f>IFERROR(AVERAGE(L178:U178),"")</f>
        <v/>
      </c>
      <c r="AG178" s="75">
        <f>IFERROR(AVERAGE(V178:AE178),"")</f>
        <v/>
      </c>
      <c r="AH178" s="75">
        <f>IFERROR(AVERAGE(B178:K178),"")</f>
        <v/>
      </c>
      <c r="AI178" s="45" t="n">
        <v>0.808418273925781</v>
      </c>
      <c r="AJ178" s="47" t="n">
        <v>0</v>
      </c>
    </row>
    <row r="179" ht="15" customHeight="1" s="30">
      <c r="A179" s="73" t="inlineStr">
        <is>
          <t>7604.jpg</t>
        </is>
      </c>
      <c r="B179" s="45" t="n"/>
      <c r="C179" s="45" t="n">
        <v>0.154130935741</v>
      </c>
      <c r="D179" s="45" t="n">
        <v>0.0188503847544286</v>
      </c>
      <c r="E179" s="45" t="n">
        <v>0.601654285864812</v>
      </c>
      <c r="F179" s="45" t="n">
        <v>0</v>
      </c>
      <c r="G179" s="45" t="n">
        <v>0.765782631305252</v>
      </c>
      <c r="H179" s="45" t="n">
        <v>0.743834742074621</v>
      </c>
      <c r="I179" s="45" t="n">
        <v>0.299429657794677</v>
      </c>
      <c r="J179" s="45" t="n">
        <v>0.403141361256545</v>
      </c>
      <c r="K179" s="45" t="n">
        <v>0.686618037135279</v>
      </c>
      <c r="L179" s="45" t="n"/>
      <c r="M179" s="45" t="n">
        <v>0.156525742346352</v>
      </c>
      <c r="N179" s="45" t="n">
        <v>0.796943231441048</v>
      </c>
      <c r="O179" s="45" t="n">
        <v>0.608504138396505</v>
      </c>
      <c r="P179" s="45" t="n"/>
      <c r="Q179" s="45" t="n">
        <v>0.888714544357272</v>
      </c>
      <c r="R179" s="45" t="n">
        <v>0.887783369499977</v>
      </c>
      <c r="S179" s="45" t="n">
        <v>0.572727272727273</v>
      </c>
      <c r="T179" s="45" t="n">
        <v>0.52027027027027</v>
      </c>
      <c r="U179" s="45" t="n">
        <v>0.827720176188916</v>
      </c>
      <c r="V179" s="45" t="n"/>
      <c r="W179" s="45" t="n">
        <v>0.909698996655518</v>
      </c>
      <c r="X179" s="45" t="n">
        <v>0.0189413596263622</v>
      </c>
      <c r="Y179" s="45" t="n">
        <v>0.981633764075528</v>
      </c>
      <c r="Z179" s="45" t="n">
        <v>0</v>
      </c>
      <c r="AA179" s="45" t="n">
        <v>0.847003336017485</v>
      </c>
      <c r="AB179" s="45" t="n">
        <v>0.82102903501281</v>
      </c>
      <c r="AC179" s="45" t="n">
        <v>0.385556915544676</v>
      </c>
      <c r="AD179" s="45" t="n">
        <v>0.6416666666666671</v>
      </c>
      <c r="AE179" s="45" t="n">
        <v>0.801104844138059</v>
      </c>
      <c r="AF179" s="75">
        <f>IFERROR(AVERAGE(L179:U179),"")</f>
        <v/>
      </c>
      <c r="AG179" s="75">
        <f>IFERROR(AVERAGE(V179:AE179),"")</f>
        <v/>
      </c>
      <c r="AH179" s="75">
        <f>IFERROR(AVERAGE(B179:K179),"")</f>
        <v/>
      </c>
      <c r="AI179" s="45" t="n">
        <v>0.7227325439453131</v>
      </c>
      <c r="AJ179" s="47" t="n">
        <v>0</v>
      </c>
    </row>
    <row r="180" ht="15" customHeight="1" s="30">
      <c r="A180" s="73" t="inlineStr">
        <is>
          <t>7605.jpg</t>
        </is>
      </c>
      <c r="B180" s="45" t="n"/>
      <c r="C180" s="45" t="n">
        <v>0</v>
      </c>
      <c r="D180" s="45" t="n">
        <v>0</v>
      </c>
      <c r="E180" s="45" t="n">
        <v>0.565492641674344</v>
      </c>
      <c r="F180" s="45" t="n">
        <v>0</v>
      </c>
      <c r="G180" s="45" t="n">
        <v>0.55625116800598</v>
      </c>
      <c r="H180" s="45" t="n">
        <v>0.769976234862177</v>
      </c>
      <c r="I180" s="45" t="n">
        <v>0.301724137931035</v>
      </c>
      <c r="J180" s="45" t="n">
        <v>0.5713699753896641</v>
      </c>
      <c r="K180" s="45" t="n">
        <v>0.714299413009678</v>
      </c>
      <c r="L180" s="45" t="n"/>
      <c r="M180" s="45" t="n">
        <v>0</v>
      </c>
      <c r="N180" s="45" t="n"/>
      <c r="O180" s="45" t="n">
        <v>0.600351097178683</v>
      </c>
      <c r="P180" s="45" t="n">
        <v>0</v>
      </c>
      <c r="Q180" s="45" t="n">
        <v>0.9056747299558801</v>
      </c>
      <c r="R180" s="45" t="n">
        <v>0.855920272087321</v>
      </c>
      <c r="S180" s="45" t="n">
        <v>0.479452054794521</v>
      </c>
      <c r="T180" s="45" t="n">
        <v>0.605652173913044</v>
      </c>
      <c r="U180" s="45" t="n">
        <v>0.871775366559109</v>
      </c>
      <c r="V180" s="45" t="n"/>
      <c r="W180" s="45" t="n"/>
      <c r="X180" s="45" t="n">
        <v>0</v>
      </c>
      <c r="Y180" s="45" t="n">
        <v>0.906883357957344</v>
      </c>
      <c r="Z180" s="45" t="n"/>
      <c r="AA180" s="45" t="n">
        <v>0.59045824241222</v>
      </c>
      <c r="AB180" s="45" t="n">
        <v>0.88463613622615</v>
      </c>
      <c r="AC180" s="45" t="n">
        <v>0.448717948717949</v>
      </c>
      <c r="AD180" s="45" t="n">
        <v>0.90986283474853</v>
      </c>
      <c r="AE180" s="45" t="n">
        <v>0.798155518138681</v>
      </c>
      <c r="AF180" s="75">
        <f>IFERROR(AVERAGE(L180:U180),"")</f>
        <v/>
      </c>
      <c r="AG180" s="75">
        <f>IFERROR(AVERAGE(V180:AE180),"")</f>
        <v/>
      </c>
      <c r="AH180" s="75">
        <f>IFERROR(AVERAGE(B180:K180),"")</f>
        <v/>
      </c>
      <c r="AI180" s="45" t="n">
        <v>0.7245025634765631</v>
      </c>
      <c r="AJ180" s="47" t="n">
        <v>0</v>
      </c>
    </row>
    <row r="181" ht="15" customHeight="1" s="30">
      <c r="A181" s="73" t="inlineStr">
        <is>
          <t>7611.jpg</t>
        </is>
      </c>
      <c r="B181" s="45" t="n">
        <v>0</v>
      </c>
      <c r="C181" s="45" t="n">
        <v>0.750721445400176</v>
      </c>
      <c r="D181" s="45" t="n">
        <v>0</v>
      </c>
      <c r="E181" s="45" t="n">
        <v>0.757533619657819</v>
      </c>
      <c r="F181" s="45" t="n">
        <v>0</v>
      </c>
      <c r="G181" s="45" t="n"/>
      <c r="H181" s="45" t="n">
        <v>0.811801196547666</v>
      </c>
      <c r="I181" s="45" t="n">
        <v>0.550425941192635</v>
      </c>
      <c r="J181" s="45" t="n">
        <v>0.619586206896552</v>
      </c>
      <c r="K181" s="45" t="n">
        <v>0.24666971662316</v>
      </c>
      <c r="L181" s="45" t="n">
        <v>0</v>
      </c>
      <c r="M181" s="45" t="n">
        <v>0.9372715563755351</v>
      </c>
      <c r="N181" s="45" t="n">
        <v>0</v>
      </c>
      <c r="O181" s="45" t="n">
        <v>0.783416765268044</v>
      </c>
      <c r="P181" s="45" t="n">
        <v>0</v>
      </c>
      <c r="Q181" s="45" t="n"/>
      <c r="R181" s="45" t="n">
        <v>0.925038067697638</v>
      </c>
      <c r="S181" s="45" t="n">
        <v>0.632060586935942</v>
      </c>
      <c r="T181" s="45" t="n">
        <v>0.76135593220339</v>
      </c>
      <c r="U181" s="45" t="n">
        <v>0.729109493696059</v>
      </c>
      <c r="V181" s="45" t="n"/>
      <c r="W181" s="45" t="n">
        <v>0.790435510150161</v>
      </c>
      <c r="X181" s="45" t="n"/>
      <c r="Y181" s="45" t="n">
        <v>0.958209021685889</v>
      </c>
      <c r="Z181" s="45" t="n"/>
      <c r="AA181" s="45" t="n"/>
      <c r="AB181" s="45" t="n">
        <v>0.868966693787565</v>
      </c>
      <c r="AC181" s="45" t="n">
        <v>0.8099474322685</v>
      </c>
      <c r="AD181" s="45" t="n">
        <v>0.768914755220815</v>
      </c>
      <c r="AE181" s="45" t="n">
        <v>0.271557023716059</v>
      </c>
      <c r="AF181" s="75">
        <f>IFERROR(AVERAGE(L181:U181),"")</f>
        <v/>
      </c>
      <c r="AG181" s="75">
        <f>IFERROR(AVERAGE(V181:AE181),"")</f>
        <v/>
      </c>
      <c r="AH181" s="75">
        <f>IFERROR(AVERAGE(B181:K181),"")</f>
        <v/>
      </c>
      <c r="AI181" s="45" t="n">
        <v>0.708332061767578</v>
      </c>
      <c r="AJ181" s="47" t="n">
        <v>0</v>
      </c>
    </row>
    <row r="182" ht="15" customHeight="1" s="30">
      <c r="A182" s="73" t="inlineStr">
        <is>
          <t>7616.jpg</t>
        </is>
      </c>
      <c r="B182" s="45" t="n"/>
      <c r="C182" s="45" t="n">
        <v>0</v>
      </c>
      <c r="D182" s="45" t="n">
        <v>0.0725944394514829</v>
      </c>
      <c r="E182" s="45" t="n">
        <v>0.623387840835476</v>
      </c>
      <c r="F182" s="45" t="n">
        <v>0</v>
      </c>
      <c r="G182" s="45" t="n"/>
      <c r="H182" s="45" t="n">
        <v>0.704693873002429</v>
      </c>
      <c r="I182" s="45" t="n">
        <v>0.292065831491034</v>
      </c>
      <c r="J182" s="45" t="n">
        <v>0</v>
      </c>
      <c r="K182" s="45" t="n">
        <v>0.59975385697332</v>
      </c>
      <c r="L182" s="45" t="n"/>
      <c r="M182" s="45" t="n">
        <v>0</v>
      </c>
      <c r="N182" s="45" t="n">
        <v>0.88308940222183</v>
      </c>
      <c r="O182" s="45" t="n">
        <v>0.7543172046841971</v>
      </c>
      <c r="P182" s="45" t="n">
        <v>0</v>
      </c>
      <c r="Q182" s="45" t="n"/>
      <c r="R182" s="45" t="n">
        <v>0.909306606079779</v>
      </c>
      <c r="S182" s="45" t="n">
        <v>0.385788449059053</v>
      </c>
      <c r="T182" s="45" t="n">
        <v>0</v>
      </c>
      <c r="U182" s="45" t="n">
        <v>0.700048739194008</v>
      </c>
      <c r="V182" s="45" t="n"/>
      <c r="W182" s="45" t="n"/>
      <c r="X182" s="45" t="n">
        <v>0.07329888910030299</v>
      </c>
      <c r="Y182" s="45" t="n">
        <v>0.782206020000985</v>
      </c>
      <c r="Z182" s="45" t="n"/>
      <c r="AA182" s="45" t="n"/>
      <c r="AB182" s="45" t="n">
        <v>0.757968043918636</v>
      </c>
      <c r="AC182" s="45" t="n">
        <v>0.545913682277319</v>
      </c>
      <c r="AD182" s="45" t="n"/>
      <c r="AE182" s="45" t="n">
        <v>0.807181519713686</v>
      </c>
      <c r="AF182" s="75">
        <f>IFERROR(AVERAGE(L182:U182),"")</f>
        <v/>
      </c>
      <c r="AG182" s="75">
        <f>IFERROR(AVERAGE(V182:AE182),"")</f>
        <v/>
      </c>
      <c r="AH182" s="75">
        <f>IFERROR(AVERAGE(B182:K182),"")</f>
        <v/>
      </c>
      <c r="AI182" s="45" t="n">
        <v>0.594207763671875</v>
      </c>
      <c r="AJ182" s="47" t="n">
        <v>0</v>
      </c>
    </row>
    <row r="183" ht="15" customHeight="1" s="30">
      <c r="A183" s="73" t="inlineStr">
        <is>
          <t>7644.jpg</t>
        </is>
      </c>
      <c r="B183" s="45" t="n"/>
      <c r="C183" s="45" t="n"/>
      <c r="D183" s="45" t="n">
        <v>0.969048534974675</v>
      </c>
      <c r="E183" s="45" t="n"/>
      <c r="F183" s="45" t="n">
        <v>0.904459531645788</v>
      </c>
      <c r="G183" s="45" t="n"/>
      <c r="H183" s="45" t="n">
        <v>0.751316835619161</v>
      </c>
      <c r="I183" s="45" t="n">
        <v>0.73952738990333</v>
      </c>
      <c r="J183" s="45" t="n"/>
      <c r="K183" s="45" t="n">
        <v>0.734762245495349</v>
      </c>
      <c r="L183" s="45" t="n"/>
      <c r="M183" s="45" t="n"/>
      <c r="N183" s="45" t="n">
        <v>0.976136271897958</v>
      </c>
      <c r="O183" s="45" t="n"/>
      <c r="P183" s="45" t="n">
        <v>0.952483350572523</v>
      </c>
      <c r="Q183" s="45" t="n"/>
      <c r="R183" s="45" t="n">
        <v>0.817844972142587</v>
      </c>
      <c r="S183" s="45" t="n">
        <v>0.757425742574257</v>
      </c>
      <c r="T183" s="45" t="n"/>
      <c r="U183" s="45" t="n">
        <v>0.882409233833955</v>
      </c>
      <c r="V183" s="45" t="n"/>
      <c r="W183" s="45" t="n"/>
      <c r="X183" s="45" t="n">
        <v>0.992562797570186</v>
      </c>
      <c r="Y183" s="45" t="n"/>
      <c r="Z183" s="45" t="n">
        <v>0.9471979355583831</v>
      </c>
      <c r="AA183" s="45" t="n"/>
      <c r="AB183" s="45" t="n">
        <v>0.902306567600633</v>
      </c>
      <c r="AC183" s="45" t="n">
        <v>0.9690358902181559</v>
      </c>
      <c r="AD183" s="45" t="n"/>
      <c r="AE183" s="45" t="n">
        <v>0.81451569288457</v>
      </c>
      <c r="AF183" s="75">
        <f>IFERROR(AVERAGE(L183:U183),"")</f>
        <v/>
      </c>
      <c r="AG183" s="75">
        <f>IFERROR(AVERAGE(V183:AE183),"")</f>
        <v/>
      </c>
      <c r="AH183" s="75">
        <f>IFERROR(AVERAGE(B183:K183),"")</f>
        <v/>
      </c>
      <c r="AI183" s="45" t="n">
        <v>0.924041748046875</v>
      </c>
      <c r="AJ183" s="47" t="n">
        <v>0</v>
      </c>
    </row>
    <row r="184" ht="15" customHeight="1" s="30">
      <c r="A184" s="73" t="inlineStr">
        <is>
          <t>7647.jpg</t>
        </is>
      </c>
      <c r="B184" s="45" t="n"/>
      <c r="C184" s="45" t="n"/>
      <c r="D184" s="45" t="n">
        <v>0.963054673614171</v>
      </c>
      <c r="E184" s="45" t="n"/>
      <c r="F184" s="45" t="n">
        <v>0.83752381547303</v>
      </c>
      <c r="G184" s="45" t="n"/>
      <c r="H184" s="45" t="n">
        <v>0.685483573614542</v>
      </c>
      <c r="I184" s="45" t="n">
        <v>0.841095890410959</v>
      </c>
      <c r="J184" s="45" t="n"/>
      <c r="K184" s="45" t="n">
        <v>0.6414075091028471</v>
      </c>
      <c r="L184" s="45" t="n"/>
      <c r="M184" s="45" t="n"/>
      <c r="N184" s="45" t="n">
        <v>0.971943273284784</v>
      </c>
      <c r="O184" s="45" t="n"/>
      <c r="P184" s="45" t="n">
        <v>0.962352856732702</v>
      </c>
      <c r="Q184" s="45" t="n"/>
      <c r="R184" s="45" t="n">
        <v>0.840575123208392</v>
      </c>
      <c r="S184" s="45" t="n">
        <v>0.9451000513083631</v>
      </c>
      <c r="T184" s="45" t="n"/>
      <c r="U184" s="45" t="n">
        <v>0.700066778507093</v>
      </c>
      <c r="V184" s="45" t="n"/>
      <c r="W184" s="45" t="n"/>
      <c r="X184" s="45" t="n">
        <v>0.990593309061362</v>
      </c>
      <c r="Y184" s="45" t="n"/>
      <c r="Z184" s="45" t="n">
        <v>0.865893825884784</v>
      </c>
      <c r="AA184" s="45" t="n"/>
      <c r="AB184" s="45" t="n">
        <v>0.787921169739352</v>
      </c>
      <c r="AC184" s="45" t="n">
        <v>0.884301488238118</v>
      </c>
      <c r="AD184" s="45" t="n"/>
      <c r="AE184" s="45" t="n">
        <v>0.884457888347017</v>
      </c>
      <c r="AF184" s="75">
        <f>IFERROR(AVERAGE(L184:U184),"")</f>
        <v/>
      </c>
      <c r="AG184" s="75">
        <f>IFERROR(AVERAGE(V184:AE184),"")</f>
        <v/>
      </c>
      <c r="AH184" s="75">
        <f>IFERROR(AVERAGE(B184:K184),"")</f>
        <v/>
      </c>
      <c r="AI184" s="45" t="n">
        <v>0.892906188964844</v>
      </c>
      <c r="AJ184" s="47" t="n">
        <v>0</v>
      </c>
    </row>
    <row r="185" ht="15" customHeight="1" s="30">
      <c r="A185" s="73" t="inlineStr">
        <is>
          <t>7651.jpg</t>
        </is>
      </c>
      <c r="B185" s="45" t="n"/>
      <c r="C185" s="45" t="n"/>
      <c r="D185" s="45" t="n">
        <v>0.928735524403395</v>
      </c>
      <c r="E185" s="45" t="n"/>
      <c r="F185" s="45" t="n">
        <v>0.782418525747805</v>
      </c>
      <c r="G185" s="45" t="n"/>
      <c r="H185" s="45" t="n">
        <v>0.898256960328102</v>
      </c>
      <c r="I185" s="45" t="n">
        <v>0</v>
      </c>
      <c r="J185" s="45" t="n"/>
      <c r="K185" s="45" t="n">
        <v>0.743270208684681</v>
      </c>
      <c r="L185" s="45" t="n"/>
      <c r="M185" s="45" t="n"/>
      <c r="N185" s="45" t="n">
        <v>0.964504820333041</v>
      </c>
      <c r="O185" s="45" t="n"/>
      <c r="P185" s="45" t="n">
        <v>0.875795012582933</v>
      </c>
      <c r="Q185" s="45" t="n"/>
      <c r="R185" s="45" t="n">
        <v>0.9349807076594699</v>
      </c>
      <c r="S185" s="45" t="n">
        <v>0</v>
      </c>
      <c r="T185" s="45" t="n"/>
      <c r="U185" s="45" t="n">
        <v>0.8690187696614839</v>
      </c>
      <c r="V185" s="45" t="n"/>
      <c r="W185" s="45" t="n"/>
      <c r="X185" s="45" t="n">
        <v>0.961601941747573</v>
      </c>
      <c r="Y185" s="45" t="n"/>
      <c r="Z185" s="45" t="n">
        <v>0.880073567446405</v>
      </c>
      <c r="AA185" s="45" t="n"/>
      <c r="AB185" s="45" t="n">
        <v>0.958105493396147</v>
      </c>
      <c r="AC185" s="45" t="n"/>
      <c r="AD185" s="45" t="n"/>
      <c r="AE185" s="45" t="n">
        <v>0.837042406669083</v>
      </c>
      <c r="AF185" s="75">
        <f>IFERROR(AVERAGE(L185:U185),"")</f>
        <v/>
      </c>
      <c r="AG185" s="75">
        <f>IFERROR(AVERAGE(V185:AE185),"")</f>
        <v/>
      </c>
      <c r="AH185" s="75">
        <f>IFERROR(AVERAGE(B185:K185),"")</f>
        <v/>
      </c>
      <c r="AI185" s="45" t="n">
        <v>0.901454925537109</v>
      </c>
      <c r="AJ185" s="47" t="n">
        <v>0</v>
      </c>
    </row>
    <row r="186" ht="15" customHeight="1" s="30">
      <c r="A186" s="73" t="inlineStr">
        <is>
          <t>7652.jpg</t>
        </is>
      </c>
      <c r="B186" s="45" t="n"/>
      <c r="C186" s="45" t="n"/>
      <c r="D186" s="45" t="n">
        <v>0.911065274094446</v>
      </c>
      <c r="E186" s="45" t="n"/>
      <c r="F186" s="45" t="n">
        <v>0.75700688676871</v>
      </c>
      <c r="G186" s="45" t="n"/>
      <c r="H186" s="45" t="n">
        <v>0.802185116470831</v>
      </c>
      <c r="I186" s="45" t="n"/>
      <c r="J186" s="45" t="n"/>
      <c r="K186" s="45" t="n">
        <v>0.706804517615329</v>
      </c>
      <c r="L186" s="45" t="n"/>
      <c r="M186" s="45" t="n"/>
      <c r="N186" s="45" t="n">
        <v>0.926587786090084</v>
      </c>
      <c r="O186" s="45" t="n"/>
      <c r="P186" s="45" t="n">
        <v>0.786528472775249</v>
      </c>
      <c r="Q186" s="45" t="n"/>
      <c r="R186" s="45" t="n">
        <v>0.853751645458534</v>
      </c>
      <c r="S186" s="45" t="n"/>
      <c r="T186" s="45" t="n"/>
      <c r="U186" s="45" t="n">
        <v>0.9657284997005851</v>
      </c>
      <c r="V186" s="45" t="n"/>
      <c r="W186" s="45" t="n"/>
      <c r="X186" s="45" t="n">
        <v>0.981944362759513</v>
      </c>
      <c r="Y186" s="45" t="n"/>
      <c r="Z186" s="45" t="n">
        <v>0.952760100210211</v>
      </c>
      <c r="AA186" s="45" t="n"/>
      <c r="AB186" s="45" t="n">
        <v>0.929978013574228</v>
      </c>
      <c r="AC186" s="45" t="n"/>
      <c r="AD186" s="45" t="n"/>
      <c r="AE186" s="45" t="n">
        <v>0.724989337544523</v>
      </c>
      <c r="AF186" s="75">
        <f>IFERROR(AVERAGE(L186:U186),"")</f>
        <v/>
      </c>
      <c r="AG186" s="75">
        <f>IFERROR(AVERAGE(V186:AE186),"")</f>
        <v/>
      </c>
      <c r="AH186" s="75">
        <f>IFERROR(AVERAGE(B186:K186),"")</f>
        <v/>
      </c>
      <c r="AI186" s="45" t="n">
        <v>0.885028839111328</v>
      </c>
      <c r="AJ186" s="47" t="n">
        <v>0</v>
      </c>
    </row>
    <row r="187" ht="15" customHeight="1" s="30">
      <c r="A187" s="73" t="inlineStr">
        <is>
          <t>7658.jpg</t>
        </is>
      </c>
      <c r="B187" s="45" t="n">
        <v>0.314188642614464</v>
      </c>
      <c r="C187" s="45" t="n"/>
      <c r="D187" s="45" t="n"/>
      <c r="E187" s="45" t="n"/>
      <c r="F187" s="45" t="n">
        <v>0.913073839389629</v>
      </c>
      <c r="G187" s="45" t="n">
        <v>0</v>
      </c>
      <c r="H187" s="45" t="n">
        <v>0.9156119147316329</v>
      </c>
      <c r="I187" s="45" t="n">
        <v>0.572625698324022</v>
      </c>
      <c r="J187" s="45" t="n"/>
      <c r="K187" s="45" t="n">
        <v>0.940454670544623</v>
      </c>
      <c r="L187" s="45" t="n">
        <v>0.328595600676819</v>
      </c>
      <c r="M187" s="45" t="n"/>
      <c r="N187" s="45" t="n"/>
      <c r="O187" s="45" t="n"/>
      <c r="P187" s="45" t="n">
        <v>0.964326686697624</v>
      </c>
      <c r="Q187" s="45" t="n">
        <v>0</v>
      </c>
      <c r="R187" s="45" t="n">
        <v>0.953613995093788</v>
      </c>
      <c r="S187" s="45" t="n">
        <v>0.607407407407407</v>
      </c>
      <c r="T187" s="45" t="n"/>
      <c r="U187" s="45" t="n">
        <v>0.981085979982662</v>
      </c>
      <c r="V187" s="45" t="n">
        <v>0.877541798463624</v>
      </c>
      <c r="W187" s="45" t="n"/>
      <c r="X187" s="45" t="n"/>
      <c r="Y187" s="45" t="n"/>
      <c r="Z187" s="45" t="n">
        <v>0.944993174335502</v>
      </c>
      <c r="AA187" s="45" t="n"/>
      <c r="AB187" s="45" t="n">
        <v>0.9582918326693231</v>
      </c>
      <c r="AC187" s="45" t="n">
        <v>0.9090909090909089</v>
      </c>
      <c r="AD187" s="45" t="n"/>
      <c r="AE187" s="45" t="n">
        <v>0.957820631893648</v>
      </c>
      <c r="AF187" s="75">
        <f>IFERROR(AVERAGE(L187:U187),"")</f>
        <v/>
      </c>
      <c r="AG187" s="75">
        <f>IFERROR(AVERAGE(V187:AE187),"")</f>
        <v/>
      </c>
      <c r="AH187" s="75">
        <f>IFERROR(AVERAGE(B187:K187),"")</f>
        <v/>
      </c>
      <c r="AI187" s="45" t="n">
        <v>0.955303192138672</v>
      </c>
      <c r="AJ187" s="47" t="n">
        <v>0</v>
      </c>
    </row>
    <row r="188" ht="15" customHeight="1" s="30">
      <c r="A188" s="73" t="inlineStr">
        <is>
          <t>7666.jpg</t>
        </is>
      </c>
      <c r="B188" s="45" t="n"/>
      <c r="C188" s="45" t="n"/>
      <c r="D188" s="45" t="n"/>
      <c r="E188" s="45" t="n"/>
      <c r="F188" s="45" t="n"/>
      <c r="G188" s="45" t="n">
        <v>0.943090107330061</v>
      </c>
      <c r="H188" s="45" t="n">
        <v>0.843417553191489</v>
      </c>
      <c r="I188" s="45" t="n"/>
      <c r="J188" s="45" t="n"/>
      <c r="K188" s="45" t="n">
        <v>0.980826089527527</v>
      </c>
      <c r="L188" s="45" t="n"/>
      <c r="M188" s="45" t="n"/>
      <c r="N188" s="45" t="n"/>
      <c r="O188" s="45" t="n"/>
      <c r="P188" s="45" t="n"/>
      <c r="Q188" s="45" t="n">
        <v>0.976010883791417</v>
      </c>
      <c r="R188" s="45" t="n">
        <v>1</v>
      </c>
      <c r="S188" s="45" t="n"/>
      <c r="T188" s="45" t="n"/>
      <c r="U188" s="45" t="n">
        <v>0.987605376626856</v>
      </c>
      <c r="V188" s="45" t="n"/>
      <c r="W188" s="45" t="n"/>
      <c r="X188" s="45" t="n"/>
      <c r="Y188" s="45" t="n"/>
      <c r="Z188" s="45" t="n"/>
      <c r="AA188" s="45" t="n">
        <v>0.965469660318218</v>
      </c>
      <c r="AB188" s="45" t="n">
        <v>0.843417553191489</v>
      </c>
      <c r="AC188" s="45" t="n"/>
      <c r="AD188" s="45" t="n"/>
      <c r="AE188" s="45" t="n">
        <v>0.993050081323528</v>
      </c>
      <c r="AF188" s="75">
        <f>IFERROR(AVERAGE(L188:U188),"")</f>
        <v/>
      </c>
      <c r="AG188" s="75">
        <f>IFERROR(AVERAGE(V188:AE188),"")</f>
        <v/>
      </c>
      <c r="AH188" s="75">
        <f>IFERROR(AVERAGE(B188:K188),"")</f>
        <v/>
      </c>
      <c r="AI188" s="45" t="n">
        <v>0.985157012939453</v>
      </c>
      <c r="AJ188" s="47" t="n">
        <v>0</v>
      </c>
    </row>
    <row r="189" ht="15" customHeight="1" s="30">
      <c r="A189" s="73" t="inlineStr">
        <is>
          <t>7684.jpg</t>
        </is>
      </c>
      <c r="B189" s="45" t="n">
        <v>0</v>
      </c>
      <c r="C189" s="45" t="n"/>
      <c r="D189" s="45" t="n">
        <v>0.9343334751060069</v>
      </c>
      <c r="E189" s="45" t="n"/>
      <c r="F189" s="45" t="n">
        <v>0.87215347821566</v>
      </c>
      <c r="G189" s="45" t="n">
        <v>0.953821023354377</v>
      </c>
      <c r="H189" s="45" t="n">
        <v>0.725103048190932</v>
      </c>
      <c r="I189" s="45" t="n">
        <v>0.850625459896983</v>
      </c>
      <c r="J189" s="45" t="n"/>
      <c r="K189" s="45" t="n">
        <v>0.8559529053702301</v>
      </c>
      <c r="L189" s="45" t="n"/>
      <c r="M189" s="45" t="n"/>
      <c r="N189" s="45" t="n">
        <v>0.97189971846092</v>
      </c>
      <c r="O189" s="45" t="n"/>
      <c r="P189" s="45" t="n">
        <v>0.912279747661518</v>
      </c>
      <c r="Q189" s="45" t="n">
        <v>0.98133175872093</v>
      </c>
      <c r="R189" s="45" t="n">
        <v>0.832836518791279</v>
      </c>
      <c r="S189" s="45" t="n">
        <v>0.888547271329746</v>
      </c>
      <c r="T189" s="45" t="n"/>
      <c r="U189" s="45" t="n">
        <v>0.916709555669926</v>
      </c>
      <c r="V189" s="45" t="n">
        <v>0</v>
      </c>
      <c r="W189" s="45" t="n"/>
      <c r="X189" s="45" t="n">
        <v>0.96027446253295</v>
      </c>
      <c r="Y189" s="45" t="n"/>
      <c r="Z189" s="45" t="n">
        <v>0.951989103910107</v>
      </c>
      <c r="AA189" s="45" t="n">
        <v>0.971447841726619</v>
      </c>
      <c r="AB189" s="45" t="n">
        <v>0.848609374069442</v>
      </c>
      <c r="AC189" s="45" t="n">
        <v>0.952224052718287</v>
      </c>
      <c r="AD189" s="45" t="n"/>
      <c r="AE189" s="45" t="n">
        <v>0.928134091797299</v>
      </c>
      <c r="AF189" s="75">
        <f>IFERROR(AVERAGE(L189:U189),"")</f>
        <v/>
      </c>
      <c r="AG189" s="75">
        <f>IFERROR(AVERAGE(V189:AE189),"")</f>
        <v/>
      </c>
      <c r="AH189" s="75">
        <f>IFERROR(AVERAGE(B189:K189),"")</f>
        <v/>
      </c>
      <c r="AI189" s="45" t="n">
        <v>0.9367218017578131</v>
      </c>
      <c r="AJ189" s="47" t="n">
        <v>0</v>
      </c>
    </row>
    <row r="190" ht="15" customHeight="1" s="30">
      <c r="A190" s="73" t="inlineStr">
        <is>
          <t>7689.jpg</t>
        </is>
      </c>
      <c r="B190" s="45" t="n"/>
      <c r="C190" s="45" t="n"/>
      <c r="D190" s="45" t="n">
        <v>0.966475652631288</v>
      </c>
      <c r="E190" s="45" t="n"/>
      <c r="F190" s="45" t="n">
        <v>0.878421683757857</v>
      </c>
      <c r="G190" s="45" t="n"/>
      <c r="H190" s="45" t="n">
        <v>0.622872045010021</v>
      </c>
      <c r="I190" s="45" t="n">
        <v>0</v>
      </c>
      <c r="J190" s="45" t="n"/>
      <c r="K190" s="45" t="n">
        <v>0.803780099150142</v>
      </c>
      <c r="L190" s="45" t="n"/>
      <c r="M190" s="45" t="n"/>
      <c r="N190" s="45" t="n">
        <v>0.9856856489454811</v>
      </c>
      <c r="O190" s="45" t="n"/>
      <c r="P190" s="45" t="n">
        <v>0.9847150439196239</v>
      </c>
      <c r="Q190" s="45" t="n"/>
      <c r="R190" s="45" t="n">
        <v>0.763030231319884</v>
      </c>
      <c r="S190" s="45" t="n">
        <v>0</v>
      </c>
      <c r="T190" s="45" t="n"/>
      <c r="U190" s="45" t="n">
        <v>0.856185051769987</v>
      </c>
      <c r="V190" s="45" t="n"/>
      <c r="W190" s="45" t="n"/>
      <c r="X190" s="45" t="n">
        <v>0.980233602875112</v>
      </c>
      <c r="Y190" s="45" t="n"/>
      <c r="Z190" s="45" t="n">
        <v>0.890564574446902</v>
      </c>
      <c r="AA190" s="45" t="n"/>
      <c r="AB190" s="45" t="n">
        <v>0.772259146158913</v>
      </c>
      <c r="AC190" s="45" t="n"/>
      <c r="AD190" s="45" t="n"/>
      <c r="AE190" s="45" t="n">
        <v>0.929238862336121</v>
      </c>
      <c r="AF190" s="75">
        <f>IFERROR(AVERAGE(L190:U190),"")</f>
        <v/>
      </c>
      <c r="AG190" s="75">
        <f>IFERROR(AVERAGE(V190:AE190),"")</f>
        <v/>
      </c>
      <c r="AH190" s="75">
        <f>IFERROR(AVERAGE(B190:K190),"")</f>
        <v/>
      </c>
      <c r="AI190" s="45" t="n">
        <v>0.902088165283203</v>
      </c>
      <c r="AJ190" s="47" t="n">
        <v>0</v>
      </c>
    </row>
    <row r="191" ht="15" customHeight="1" s="30">
      <c r="A191" s="73" t="inlineStr">
        <is>
          <t>7690.jpg</t>
        </is>
      </c>
      <c r="B191" s="45" t="n"/>
      <c r="C191" s="45" t="n"/>
      <c r="D191" s="45" t="n">
        <v>0.972252543334934</v>
      </c>
      <c r="E191" s="45" t="n"/>
      <c r="F191" s="45" t="n">
        <v>0.920542847761848</v>
      </c>
      <c r="G191" s="45" t="n">
        <v>0.9557727962245069</v>
      </c>
      <c r="H191" s="45" t="n">
        <v>0.749205913941638</v>
      </c>
      <c r="I191" s="45" t="n">
        <v>0.712121212121212</v>
      </c>
      <c r="J191" s="45" t="n"/>
      <c r="K191" s="45" t="n">
        <v>0.821651270207852</v>
      </c>
      <c r="L191" s="45" t="n"/>
      <c r="M191" s="45" t="n"/>
      <c r="N191" s="45" t="n">
        <v>0.991892915209693</v>
      </c>
      <c r="O191" s="45" t="n"/>
      <c r="P191" s="45" t="n">
        <v>0.976022976168028</v>
      </c>
      <c r="Q191" s="45" t="n">
        <v>0.998907835400225</v>
      </c>
      <c r="R191" s="45" t="n">
        <v>0.91914774320157</v>
      </c>
      <c r="S191" s="45" t="n">
        <v>0.80030959752322</v>
      </c>
      <c r="T191" s="45" t="n"/>
      <c r="U191" s="45" t="n">
        <v>0.851095641356873</v>
      </c>
      <c r="V191" s="45" t="n"/>
      <c r="W191" s="45" t="n"/>
      <c r="X191" s="45" t="n">
        <v>0.980040491175565</v>
      </c>
      <c r="Y191" s="45" t="n"/>
      <c r="Z191" s="45" t="n">
        <v>0.941841747966911</v>
      </c>
      <c r="AA191" s="45" t="n">
        <v>0.956772626037659</v>
      </c>
      <c r="AB191" s="45" t="n">
        <v>0.802064730777699</v>
      </c>
      <c r="AC191" s="45" t="n">
        <v>0.865996649916248</v>
      </c>
      <c r="AD191" s="45" t="n"/>
      <c r="AE191" s="45" t="n">
        <v>0.95959595959596</v>
      </c>
      <c r="AF191" s="75">
        <f>IFERROR(AVERAGE(L191:U191),"")</f>
        <v/>
      </c>
      <c r="AG191" s="75">
        <f>IFERROR(AVERAGE(V191:AE191),"")</f>
        <v/>
      </c>
      <c r="AH191" s="75">
        <f>IFERROR(AVERAGE(B191:K191),"")</f>
        <v/>
      </c>
      <c r="AI191" s="45" t="n">
        <v>0.933204650878906</v>
      </c>
      <c r="AJ191" s="47" t="n">
        <v>0</v>
      </c>
    </row>
    <row r="192" ht="15" customHeight="1" s="30">
      <c r="A192" s="73" t="inlineStr">
        <is>
          <t>7698.jpg</t>
        </is>
      </c>
      <c r="B192" s="45" t="n"/>
      <c r="C192" s="45" t="n"/>
      <c r="D192" s="45" t="n">
        <v>0.889455562171538</v>
      </c>
      <c r="E192" s="45" t="n"/>
      <c r="F192" s="45" t="n">
        <v>0.876677667766777</v>
      </c>
      <c r="G192" s="45" t="n">
        <v>0.995967093935336</v>
      </c>
      <c r="H192" s="45" t="n">
        <v>0</v>
      </c>
      <c r="I192" s="45" t="n"/>
      <c r="J192" s="45" t="n"/>
      <c r="K192" s="45" t="n">
        <v>0.92821456451433</v>
      </c>
      <c r="L192" s="45" t="n"/>
      <c r="M192" s="45" t="n"/>
      <c r="N192" s="45" t="n">
        <v>0.908242571640055</v>
      </c>
      <c r="O192" s="45" t="n"/>
      <c r="P192" s="45" t="n">
        <v>0.907630979498861</v>
      </c>
      <c r="Q192" s="45" t="n">
        <v>1</v>
      </c>
      <c r="R192" s="45" t="n">
        <v>0</v>
      </c>
      <c r="S192" s="45" t="n"/>
      <c r="T192" s="45" t="n"/>
      <c r="U192" s="45" t="n">
        <v>0.980723232275625</v>
      </c>
      <c r="V192" s="45" t="n"/>
      <c r="W192" s="45" t="n"/>
      <c r="X192" s="45" t="n">
        <v>0.977272727272727</v>
      </c>
      <c r="Y192" s="45" t="n"/>
      <c r="Z192" s="45" t="n">
        <v>0.962555864234811</v>
      </c>
      <c r="AA192" s="45" t="n">
        <v>0.995967093935336</v>
      </c>
      <c r="AB192" s="45" t="n"/>
      <c r="AC192" s="45" t="n"/>
      <c r="AD192" s="45" t="n"/>
      <c r="AE192" s="45" t="n">
        <v>0.945464252447918</v>
      </c>
      <c r="AF192" s="75">
        <f>IFERROR(AVERAGE(L192:U192),"")</f>
        <v/>
      </c>
      <c r="AG192" s="75">
        <f>IFERROR(AVERAGE(V192:AE192),"")</f>
        <v/>
      </c>
      <c r="AH192" s="75">
        <f>IFERROR(AVERAGE(B192:K192),"")</f>
        <v/>
      </c>
      <c r="AI192" s="45" t="n">
        <v>0.975444793701172</v>
      </c>
      <c r="AJ192" s="47" t="n">
        <v>0</v>
      </c>
    </row>
    <row r="193" ht="15" customHeight="1" s="30">
      <c r="A193" s="73" t="inlineStr">
        <is>
          <t>7708.jpg</t>
        </is>
      </c>
      <c r="B193" s="45" t="n">
        <v>0.138981791155704</v>
      </c>
      <c r="C193" s="45" t="n"/>
      <c r="D193" s="45" t="n"/>
      <c r="E193" s="45" t="n"/>
      <c r="F193" s="45" t="n"/>
      <c r="G193" s="45" t="n">
        <v>0.983487377118782</v>
      </c>
      <c r="H193" s="45" t="n"/>
      <c r="I193" s="45" t="n">
        <v>0</v>
      </c>
      <c r="J193" s="45" t="n"/>
      <c r="K193" s="45" t="n">
        <v>0.958045561381305</v>
      </c>
      <c r="L193" s="45" t="n">
        <v>0.220129487934079</v>
      </c>
      <c r="M193" s="45" t="n"/>
      <c r="N193" s="45" t="n"/>
      <c r="O193" s="45" t="n"/>
      <c r="P193" s="45" t="n"/>
      <c r="Q193" s="45" t="n">
        <v>0.999993358482546</v>
      </c>
      <c r="R193" s="45" t="n"/>
      <c r="S193" s="45" t="n">
        <v>0</v>
      </c>
      <c r="T193" s="45" t="n"/>
      <c r="U193" s="45" t="n">
        <v>0.973043198824772</v>
      </c>
      <c r="V193" s="45" t="n">
        <v>0.273792093704246</v>
      </c>
      <c r="W193" s="45" t="n"/>
      <c r="X193" s="45" t="n"/>
      <c r="Y193" s="45" t="n"/>
      <c r="Z193" s="45" t="n"/>
      <c r="AA193" s="45" t="n">
        <v>0.983493801194038</v>
      </c>
      <c r="AB193" s="45" t="n"/>
      <c r="AC193" s="45" t="n"/>
      <c r="AD193" s="45" t="n"/>
      <c r="AE193" s="45" t="n">
        <v>0.984166635711898</v>
      </c>
      <c r="AF193" s="75">
        <f>IFERROR(AVERAGE(L193:U193),"")</f>
        <v/>
      </c>
      <c r="AG193" s="75">
        <f>IFERROR(AVERAGE(V193:AE193),"")</f>
        <v/>
      </c>
      <c r="AH193" s="75">
        <f>IFERROR(AVERAGE(B193:K193),"")</f>
        <v/>
      </c>
      <c r="AI193" s="45" t="n">
        <v>0.980072021484375</v>
      </c>
      <c r="AJ193" s="47" t="n">
        <v>0</v>
      </c>
    </row>
    <row r="194" ht="15" customHeight="1" s="30">
      <c r="A194" s="73" t="inlineStr">
        <is>
          <t>7723.jpg</t>
        </is>
      </c>
      <c r="B194" s="45" t="n"/>
      <c r="C194" s="45" t="n"/>
      <c r="D194" s="45" t="n">
        <v>0.907467532467532</v>
      </c>
      <c r="E194" s="45" t="n"/>
      <c r="F194" s="45" t="n"/>
      <c r="G194" s="45" t="n">
        <v>0.9333624901329119</v>
      </c>
      <c r="H194" s="45" t="n">
        <v>0.479573560767591</v>
      </c>
      <c r="I194" s="45" t="n"/>
      <c r="J194" s="45" t="n">
        <v>0.621145374449339</v>
      </c>
      <c r="K194" s="45" t="n">
        <v>0.923975827589554</v>
      </c>
      <c r="L194" s="45" t="n"/>
      <c r="M194" s="45" t="n"/>
      <c r="N194" s="45" t="n">
        <v>0.952995616171456</v>
      </c>
      <c r="O194" s="45" t="n"/>
      <c r="P194" s="45" t="n"/>
      <c r="Q194" s="45" t="n">
        <v>0.963571090334446</v>
      </c>
      <c r="R194" s="45" t="n">
        <v>0.77239010989011</v>
      </c>
      <c r="S194" s="45" t="n"/>
      <c r="T194" s="45" t="n">
        <v>0.623893805309735</v>
      </c>
      <c r="U194" s="45" t="n">
        <v>0.953426201283456</v>
      </c>
      <c r="V194" s="45" t="n"/>
      <c r="W194" s="45" t="n"/>
      <c r="X194" s="45" t="n">
        <v>0.949987861131343</v>
      </c>
      <c r="Y194" s="45" t="n"/>
      <c r="Z194" s="45" t="n"/>
      <c r="AA194" s="45" t="n">
        <v>0.967502598465247</v>
      </c>
      <c r="AB194" s="45" t="n">
        <v>0.558502185141041</v>
      </c>
      <c r="AC194" s="45" t="n"/>
      <c r="AD194" s="45" t="n">
        <v>0.992957746478873</v>
      </c>
      <c r="AE194" s="45" t="n">
        <v>0.967650927390915</v>
      </c>
      <c r="AF194" s="75">
        <f>IFERROR(AVERAGE(L194:U194),"")</f>
        <v/>
      </c>
      <c r="AG194" s="75">
        <f>IFERROR(AVERAGE(V194:AE194),"")</f>
        <v/>
      </c>
      <c r="AH194" s="75">
        <f>IFERROR(AVERAGE(B194:K194),"")</f>
        <v/>
      </c>
      <c r="AI194" s="45" t="n">
        <v>0.951622009277344</v>
      </c>
      <c r="AJ194" s="47" t="n">
        <v>0</v>
      </c>
    </row>
    <row r="195" ht="15" customHeight="1" s="30">
      <c r="A195" s="73" t="inlineStr">
        <is>
          <t>7730.jpg</t>
        </is>
      </c>
      <c r="B195" s="45" t="n">
        <v>0.890597503412661</v>
      </c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>
        <v>0.913521665084957</v>
      </c>
      <c r="L195" s="45" t="n">
        <v>0.890780631842146</v>
      </c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>
        <v>0.999822143807403</v>
      </c>
      <c r="V195" s="45" t="n">
        <v>0.999769217277318</v>
      </c>
      <c r="W195" s="45" t="n"/>
      <c r="X195" s="45" t="n"/>
      <c r="Y195" s="45" t="n"/>
      <c r="Z195" s="45" t="n"/>
      <c r="AA195" s="45" t="n"/>
      <c r="AB195" s="45" t="n"/>
      <c r="AC195" s="45" t="n"/>
      <c r="AD195" s="45" t="n"/>
      <c r="AE195" s="45" t="n">
        <v>0.913670140491623</v>
      </c>
      <c r="AF195" s="75">
        <f>IFERROR(AVERAGE(L195:U195),"")</f>
        <v/>
      </c>
      <c r="AG195" s="75">
        <f>IFERROR(AVERAGE(V195:AE195),"")</f>
        <v/>
      </c>
      <c r="AH195" s="75">
        <f>IFERROR(AVERAGE(B195:K195),"")</f>
        <v/>
      </c>
      <c r="AI195" s="45" t="n">
        <v>0.949249267578125</v>
      </c>
      <c r="AJ195" s="47" t="n">
        <v>0</v>
      </c>
    </row>
    <row r="196" ht="15" customHeight="1" s="30">
      <c r="A196" s="73" t="inlineStr">
        <is>
          <t>7733.jpg</t>
        </is>
      </c>
      <c r="B196" s="45" t="n">
        <v>0.854003590664273</v>
      </c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>
        <v>0.635941454562819</v>
      </c>
      <c r="L196" s="45" t="n">
        <v>0.854003590664273</v>
      </c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>
        <v>1</v>
      </c>
      <c r="V196" s="45" t="n">
        <v>1</v>
      </c>
      <c r="W196" s="45" t="n"/>
      <c r="X196" s="45" t="n"/>
      <c r="Y196" s="45" t="n"/>
      <c r="Z196" s="45" t="n"/>
      <c r="AA196" s="45" t="n"/>
      <c r="AB196" s="45" t="n"/>
      <c r="AC196" s="45" t="n"/>
      <c r="AD196" s="45" t="n"/>
      <c r="AE196" s="45" t="n">
        <v>0.635941454562819</v>
      </c>
      <c r="AF196" s="75">
        <f>IFERROR(AVERAGE(L196:U196),"")</f>
        <v/>
      </c>
      <c r="AG196" s="75">
        <f>IFERROR(AVERAGE(V196:AE196),"")</f>
        <v/>
      </c>
      <c r="AH196" s="75">
        <f>IFERROR(AVERAGE(B196:K196),"")</f>
        <v/>
      </c>
      <c r="AI196" s="45" t="n">
        <v>0.883670806884766</v>
      </c>
      <c r="AJ196" s="47" t="n">
        <v>0</v>
      </c>
    </row>
    <row r="197" ht="15" customHeight="1" s="30">
      <c r="A197" s="73" t="inlineStr">
        <is>
          <t>7740.jpg</t>
        </is>
      </c>
      <c r="B197" s="45" t="n">
        <v>0.924303416587885</v>
      </c>
      <c r="C197" s="45" t="n"/>
      <c r="D197" s="45" t="n">
        <v>0</v>
      </c>
      <c r="E197" s="45" t="n"/>
      <c r="F197" s="45" t="n"/>
      <c r="G197" s="45" t="n"/>
      <c r="H197" s="45" t="n"/>
      <c r="I197" s="45" t="n"/>
      <c r="J197" s="45" t="n"/>
      <c r="K197" s="45" t="n">
        <v>0.810862985888829</v>
      </c>
      <c r="L197" s="45" t="n">
        <v>0.924303416587885</v>
      </c>
      <c r="M197" s="45" t="n"/>
      <c r="N197" s="45" t="n">
        <v>0</v>
      </c>
      <c r="O197" s="45" t="n"/>
      <c r="P197" s="45" t="n"/>
      <c r="Q197" s="45" t="n"/>
      <c r="R197" s="45" t="n"/>
      <c r="S197" s="45" t="n"/>
      <c r="T197" s="45" t="n"/>
      <c r="U197" s="45" t="n">
        <v>1</v>
      </c>
      <c r="V197" s="45" t="n">
        <v>1</v>
      </c>
      <c r="W197" s="45" t="n"/>
      <c r="X197" s="45" t="n"/>
      <c r="Y197" s="45" t="n"/>
      <c r="Z197" s="45" t="n"/>
      <c r="AA197" s="45" t="n"/>
      <c r="AB197" s="45" t="n"/>
      <c r="AC197" s="45" t="n"/>
      <c r="AD197" s="45" t="n"/>
      <c r="AE197" s="45" t="n">
        <v>0.810862985888829</v>
      </c>
      <c r="AF197" s="75">
        <f>IFERROR(AVERAGE(L197:U197),"")</f>
        <v/>
      </c>
      <c r="AG197" s="75">
        <f>IFERROR(AVERAGE(V197:AE197),"")</f>
        <v/>
      </c>
      <c r="AH197" s="75">
        <f>IFERROR(AVERAGE(B197:K197),"")</f>
        <v/>
      </c>
      <c r="AI197" s="45" t="n">
        <v>0.942070007324219</v>
      </c>
      <c r="AJ197" s="47" t="n">
        <v>0</v>
      </c>
    </row>
    <row r="198" ht="15" customHeight="1" s="30">
      <c r="A198" s="73" t="inlineStr">
        <is>
          <t>7755.jpg</t>
        </is>
      </c>
      <c r="B198" s="45" t="n"/>
      <c r="C198" s="45" t="n"/>
      <c r="D198" s="45" t="n">
        <v>0</v>
      </c>
      <c r="E198" s="45" t="n"/>
      <c r="F198" s="45" t="n"/>
      <c r="G198" s="45" t="n">
        <v>0.768430899588707</v>
      </c>
      <c r="H198" s="45" t="n">
        <v>0.6243748842378219</v>
      </c>
      <c r="I198" s="45" t="n"/>
      <c r="J198" s="45" t="n"/>
      <c r="K198" s="45" t="n">
        <v>0</v>
      </c>
      <c r="L198" s="45" t="n"/>
      <c r="M198" s="45" t="n"/>
      <c r="N198" s="45" t="n">
        <v>0</v>
      </c>
      <c r="O198" s="45" t="n"/>
      <c r="P198" s="45" t="n"/>
      <c r="Q198" s="45" t="n">
        <v>0.999728430327292</v>
      </c>
      <c r="R198" s="45" t="n">
        <v>0.6399012908124529</v>
      </c>
      <c r="S198" s="45" t="n"/>
      <c r="T198" s="45" t="n"/>
      <c r="U198" s="45" t="n">
        <v>0</v>
      </c>
      <c r="V198" s="45" t="n"/>
      <c r="W198" s="45" t="n"/>
      <c r="X198" s="45" t="n"/>
      <c r="Y198" s="45" t="n"/>
      <c r="Z198" s="45" t="n"/>
      <c r="AA198" s="45" t="n">
        <v>0.768591334740684</v>
      </c>
      <c r="AB198" s="45" t="n">
        <v>0.962592804111936</v>
      </c>
      <c r="AC198" s="45" t="n"/>
      <c r="AD198" s="45" t="n"/>
      <c r="AE198" s="45" t="n"/>
      <c r="AF198" s="75">
        <f>IFERROR(AVERAGE(L198:U198),"")</f>
        <v/>
      </c>
      <c r="AG198" s="75">
        <f>IFERROR(AVERAGE(V198:AE198),"")</f>
        <v/>
      </c>
      <c r="AH198" s="75">
        <f>IFERROR(AVERAGE(B198:K198),"")</f>
        <v/>
      </c>
      <c r="AI198" s="45" t="n">
        <v>0.771183013916016</v>
      </c>
      <c r="AJ198" s="47" t="n">
        <v>0</v>
      </c>
    </row>
    <row r="199" ht="15" customHeight="1" s="30">
      <c r="A199" s="73" t="inlineStr">
        <is>
          <t>7758.jpg</t>
        </is>
      </c>
      <c r="B199" s="45" t="n"/>
      <c r="C199" s="45" t="n"/>
      <c r="D199" s="45" t="n"/>
      <c r="E199" s="45" t="n"/>
      <c r="F199" s="45" t="n"/>
      <c r="G199" s="45" t="n">
        <v>0.988471682426277</v>
      </c>
      <c r="H199" s="45" t="n">
        <v>0.786272030936268</v>
      </c>
      <c r="I199" s="45" t="n"/>
      <c r="J199" s="45" t="n"/>
      <c r="K199" s="45" t="n">
        <v>0</v>
      </c>
      <c r="L199" s="45" t="n"/>
      <c r="M199" s="45" t="n"/>
      <c r="N199" s="45" t="n"/>
      <c r="O199" s="45" t="n"/>
      <c r="P199" s="45" t="n"/>
      <c r="Q199" s="45" t="n">
        <v>0.989715810646645</v>
      </c>
      <c r="R199" s="45" t="n">
        <v>0.990444964871194</v>
      </c>
      <c r="S199" s="45" t="n"/>
      <c r="T199" s="45" t="n"/>
      <c r="U199" s="45" t="n">
        <v>0</v>
      </c>
      <c r="V199" s="45" t="n"/>
      <c r="W199" s="45" t="n"/>
      <c r="X199" s="45" t="n"/>
      <c r="Y199" s="45" t="n"/>
      <c r="Z199" s="45" t="n"/>
      <c r="AA199" s="45" t="n">
        <v>0.9987298984320681</v>
      </c>
      <c r="AB199" s="45" t="n">
        <v>0.7922817534657181</v>
      </c>
      <c r="AC199" s="45" t="n"/>
      <c r="AD199" s="45" t="n"/>
      <c r="AE199" s="45" t="n"/>
      <c r="AF199" s="75">
        <f>IFERROR(AVERAGE(L199:U199),"")</f>
        <v/>
      </c>
      <c r="AG199" s="75">
        <f>IFERROR(AVERAGE(V199:AE199),"")</f>
        <v/>
      </c>
      <c r="AH199" s="75">
        <f>IFERROR(AVERAGE(B199:K199),"")</f>
        <v/>
      </c>
      <c r="AI199" s="45" t="n">
        <v>0.98822021484375</v>
      </c>
      <c r="AJ199" s="47" t="n">
        <v>0</v>
      </c>
    </row>
    <row r="200" ht="15" customHeight="1" s="30">
      <c r="A200" s="73" t="inlineStr">
        <is>
          <t>7759.jpg</t>
        </is>
      </c>
      <c r="B200" s="45" t="n"/>
      <c r="C200" s="45" t="n"/>
      <c r="D200" s="45" t="n"/>
      <c r="E200" s="45" t="n"/>
      <c r="F200" s="45" t="n"/>
      <c r="G200" s="45" t="n">
        <v>0.96286940942912</v>
      </c>
      <c r="H200" s="45" t="n">
        <v>0.609165567422663</v>
      </c>
      <c r="I200" s="45" t="n"/>
      <c r="J200" s="45" t="n"/>
      <c r="K200" s="45" t="n">
        <v>0</v>
      </c>
      <c r="L200" s="45" t="n"/>
      <c r="M200" s="45" t="n"/>
      <c r="N200" s="45" t="n"/>
      <c r="O200" s="45" t="n"/>
      <c r="P200" s="45" t="n"/>
      <c r="Q200" s="45" t="n">
        <v>0.964695038385505</v>
      </c>
      <c r="R200" s="45" t="n">
        <v>0.969393282773565</v>
      </c>
      <c r="S200" s="45" t="n"/>
      <c r="T200" s="45" t="n"/>
      <c r="U200" s="45" t="n">
        <v>0</v>
      </c>
      <c r="V200" s="45" t="n"/>
      <c r="W200" s="45" t="n"/>
      <c r="X200" s="45" t="n"/>
      <c r="Y200" s="45" t="n"/>
      <c r="Z200" s="45" t="n"/>
      <c r="AA200" s="45" t="n">
        <v>0.998038436604697</v>
      </c>
      <c r="AB200" s="45" t="n">
        <v>0.621111544969413</v>
      </c>
      <c r="AC200" s="45" t="n"/>
      <c r="AD200" s="45" t="n"/>
      <c r="AE200" s="45" t="n"/>
      <c r="AF200" s="75">
        <f>IFERROR(AVERAGE(L200:U200),"")</f>
        <v/>
      </c>
      <c r="AG200" s="75">
        <f>IFERROR(AVERAGE(V200:AE200),"")</f>
        <v/>
      </c>
      <c r="AH200" s="75">
        <f>IFERROR(AVERAGE(B200:K200),"")</f>
        <v/>
      </c>
      <c r="AI200" s="45" t="n">
        <v>0.964897155761719</v>
      </c>
      <c r="AJ200" s="47" t="n">
        <v>0</v>
      </c>
    </row>
    <row r="201" ht="15" customHeight="1" s="30">
      <c r="A201" s="73" t="inlineStr">
        <is>
          <t>7763.jpg</t>
        </is>
      </c>
      <c r="B201" s="45" t="n"/>
      <c r="C201" s="45" t="n"/>
      <c r="D201" s="45" t="n"/>
      <c r="E201" s="45" t="n"/>
      <c r="F201" s="45" t="n"/>
      <c r="G201" s="45" t="n">
        <v>0.95718030014796</v>
      </c>
      <c r="H201" s="45" t="n">
        <v>0.717944402367528</v>
      </c>
      <c r="I201" s="45" t="n"/>
      <c r="J201" s="45" t="n"/>
      <c r="K201" s="45" t="n">
        <v>0</v>
      </c>
      <c r="L201" s="45" t="n"/>
      <c r="M201" s="45" t="n"/>
      <c r="N201" s="45" t="n"/>
      <c r="O201" s="45" t="n"/>
      <c r="P201" s="45" t="n"/>
      <c r="Q201" s="45" t="n">
        <v>0.966289689313759</v>
      </c>
      <c r="R201" s="45" t="n">
        <v>0.9223063063063059</v>
      </c>
      <c r="S201" s="45" t="n"/>
      <c r="T201" s="45" t="n"/>
      <c r="U201" s="45" t="n">
        <v>0</v>
      </c>
      <c r="V201" s="45" t="n"/>
      <c r="W201" s="45" t="n"/>
      <c r="X201" s="45" t="n"/>
      <c r="Y201" s="45" t="n"/>
      <c r="Z201" s="45" t="n"/>
      <c r="AA201" s="45" t="n">
        <v>0.990247145212573</v>
      </c>
      <c r="AB201" s="45" t="n">
        <v>0.764159675156003</v>
      </c>
      <c r="AC201" s="45" t="n"/>
      <c r="AD201" s="45" t="n"/>
      <c r="AE201" s="45" t="n"/>
      <c r="AF201" s="75">
        <f>IFERROR(AVERAGE(L201:U201),"")</f>
        <v/>
      </c>
      <c r="AG201" s="75">
        <f>IFERROR(AVERAGE(V201:AE201),"")</f>
        <v/>
      </c>
      <c r="AH201" s="75">
        <f>IFERROR(AVERAGE(B201:K201),"")</f>
        <v/>
      </c>
      <c r="AI201" s="45" t="n">
        <v>0.961360931396484</v>
      </c>
      <c r="AJ201" s="47" t="n">
        <v>0</v>
      </c>
    </row>
    <row r="202" ht="15" customHeight="1" s="30">
      <c r="A202" s="73" t="inlineStr">
        <is>
          <t>7771.jpg</t>
        </is>
      </c>
      <c r="B202" s="45" t="n"/>
      <c r="C202" s="45" t="n"/>
      <c r="D202" s="45" t="n"/>
      <c r="E202" s="45" t="n"/>
      <c r="F202" s="45" t="n"/>
      <c r="G202" s="45" t="n">
        <v>0.917702398572616</v>
      </c>
      <c r="H202" s="45" t="n">
        <v>0.814678362573099</v>
      </c>
      <c r="I202" s="45" t="n"/>
      <c r="J202" s="45" t="n"/>
      <c r="K202" s="45" t="n">
        <v>0</v>
      </c>
      <c r="L202" s="45" t="n"/>
      <c r="M202" s="45" t="n"/>
      <c r="N202" s="45" t="n"/>
      <c r="O202" s="45" t="n"/>
      <c r="P202" s="45" t="n"/>
      <c r="Q202" s="45" t="n">
        <v>0.9978571050635811</v>
      </c>
      <c r="R202" s="45" t="n">
        <v>0.928361988537918</v>
      </c>
      <c r="S202" s="45" t="n"/>
      <c r="T202" s="45" t="n"/>
      <c r="U202" s="45" t="n">
        <v>0</v>
      </c>
      <c r="V202" s="45" t="n"/>
      <c r="W202" s="45" t="n"/>
      <c r="X202" s="45" t="n"/>
      <c r="Y202" s="45" t="n"/>
      <c r="Z202" s="45" t="n"/>
      <c r="AA202" s="45" t="n">
        <v>0.919514543777604</v>
      </c>
      <c r="AB202" s="45" t="n">
        <v>0.869329173166927</v>
      </c>
      <c r="AC202" s="45" t="n"/>
      <c r="AD202" s="45" t="n"/>
      <c r="AE202" s="45" t="n"/>
      <c r="AF202" s="75">
        <f>IFERROR(AVERAGE(L202:U202),"")</f>
        <v/>
      </c>
      <c r="AG202" s="75">
        <f>IFERROR(AVERAGE(V202:AE202),"")</f>
        <v/>
      </c>
      <c r="AH202" s="75">
        <f>IFERROR(AVERAGE(B202:K202),"")</f>
        <v/>
      </c>
      <c r="AI202" s="45" t="n">
        <v>0.916446685791016</v>
      </c>
      <c r="AJ202" s="47" t="n">
        <v>0</v>
      </c>
    </row>
    <row r="203" ht="15" customHeight="1" s="30">
      <c r="A203" s="73" t="inlineStr">
        <is>
          <t>7772.jpg</t>
        </is>
      </c>
      <c r="B203" s="45" t="n"/>
      <c r="C203" s="45" t="n"/>
      <c r="D203" s="45" t="n"/>
      <c r="E203" s="45" t="n"/>
      <c r="F203" s="45" t="n"/>
      <c r="G203" s="45" t="n">
        <v>0.432209807598074</v>
      </c>
      <c r="H203" s="45" t="n">
        <v>0.883331209379381</v>
      </c>
      <c r="I203" s="45" t="n"/>
      <c r="J203" s="45" t="n"/>
      <c r="K203" s="45" t="n">
        <v>0</v>
      </c>
      <c r="L203" s="45" t="n"/>
      <c r="M203" s="45" t="n"/>
      <c r="N203" s="45" t="n"/>
      <c r="O203" s="45" t="n"/>
      <c r="P203" s="45" t="n"/>
      <c r="Q203" s="45" t="n">
        <v>1</v>
      </c>
      <c r="R203" s="45" t="n">
        <v>0.966466815393196</v>
      </c>
      <c r="S203" s="45" t="n"/>
      <c r="T203" s="45" t="n"/>
      <c r="U203" s="45" t="n">
        <v>0</v>
      </c>
      <c r="V203" s="45" t="n"/>
      <c r="W203" s="45" t="n"/>
      <c r="X203" s="45" t="n"/>
      <c r="Y203" s="45" t="n"/>
      <c r="Z203" s="45" t="n"/>
      <c r="AA203" s="45" t="n">
        <v>0.432209807598074</v>
      </c>
      <c r="AB203" s="45" t="n">
        <v>0.911260106487872</v>
      </c>
      <c r="AC203" s="45" t="n"/>
      <c r="AD203" s="45" t="n"/>
      <c r="AE203" s="45" t="n"/>
      <c r="AF203" s="75">
        <f>IFERROR(AVERAGE(L203:U203),"")</f>
        <v/>
      </c>
      <c r="AG203" s="75">
        <f>IFERROR(AVERAGE(V203:AE203),"")</f>
        <v/>
      </c>
      <c r="AH203" s="75">
        <f>IFERROR(AVERAGE(B203:K203),"")</f>
        <v/>
      </c>
      <c r="AI203" s="45" t="n">
        <v>0.460010528564453</v>
      </c>
      <c r="AJ203" s="47" t="n">
        <v>0</v>
      </c>
    </row>
    <row r="204" ht="15" customHeight="1" s="30">
      <c r="A204" s="73" t="inlineStr">
        <is>
          <t>7773.jpg</t>
        </is>
      </c>
      <c r="B204" s="45" t="n"/>
      <c r="C204" s="45" t="n"/>
      <c r="D204" s="45" t="n"/>
      <c r="E204" s="45" t="n"/>
      <c r="F204" s="45" t="n"/>
      <c r="G204" s="45" t="n">
        <v>0.332486067025157</v>
      </c>
      <c r="H204" s="45" t="n">
        <v>0.511851932027276</v>
      </c>
      <c r="I204" s="45" t="n"/>
      <c r="J204" s="45" t="n"/>
      <c r="K204" s="45" t="n">
        <v>0</v>
      </c>
      <c r="L204" s="45" t="n"/>
      <c r="M204" s="45" t="n"/>
      <c r="N204" s="45" t="n"/>
      <c r="O204" s="45" t="n"/>
      <c r="P204" s="45" t="n"/>
      <c r="Q204" s="45" t="n">
        <v>1</v>
      </c>
      <c r="R204" s="45" t="n">
        <v>0.868184321644942</v>
      </c>
      <c r="S204" s="45" t="n"/>
      <c r="T204" s="45" t="n"/>
      <c r="U204" s="45" t="n">
        <v>0</v>
      </c>
      <c r="V204" s="45" t="n"/>
      <c r="W204" s="45" t="n"/>
      <c r="X204" s="45" t="n"/>
      <c r="Y204" s="45" t="n"/>
      <c r="Z204" s="45" t="n"/>
      <c r="AA204" s="45" t="n">
        <v>0.332486067025157</v>
      </c>
      <c r="AB204" s="45" t="n">
        <v>0.554981809646755</v>
      </c>
      <c r="AC204" s="45" t="n"/>
      <c r="AD204" s="45" t="n"/>
      <c r="AE204" s="45" t="n"/>
      <c r="AF204" s="75">
        <f>IFERROR(AVERAGE(L204:U204),"")</f>
        <v/>
      </c>
      <c r="AG204" s="75">
        <f>IFERROR(AVERAGE(V204:AE204),"")</f>
        <v/>
      </c>
      <c r="AH204" s="75">
        <f>IFERROR(AVERAGE(B204:K204),"")</f>
        <v/>
      </c>
      <c r="AI204" s="45" t="n">
        <v>0.346950531005859</v>
      </c>
      <c r="AJ204" s="47" t="n">
        <v>0</v>
      </c>
    </row>
    <row r="205" ht="15" customHeight="1" s="30">
      <c r="A205" s="73" t="inlineStr">
        <is>
          <t>7780.jpg</t>
        </is>
      </c>
      <c r="B205" s="45" t="n"/>
      <c r="C205" s="45" t="n"/>
      <c r="D205" s="45" t="n"/>
      <c r="E205" s="45" t="n"/>
      <c r="F205" s="45" t="n"/>
      <c r="G205" s="45" t="n">
        <v>0.926050850714087</v>
      </c>
      <c r="H205" s="45" t="n"/>
      <c r="I205" s="45" t="n"/>
      <c r="J205" s="45" t="n"/>
      <c r="K205" s="45" t="n">
        <v>0.960498557467529</v>
      </c>
      <c r="L205" s="45" t="n"/>
      <c r="M205" s="45" t="n"/>
      <c r="N205" s="45" t="n"/>
      <c r="O205" s="45" t="n"/>
      <c r="P205" s="45" t="n"/>
      <c r="Q205" s="45" t="n">
        <v>0.947046687552533</v>
      </c>
      <c r="R205" s="45" t="n"/>
      <c r="S205" s="45" t="n"/>
      <c r="T205" s="45" t="n"/>
      <c r="U205" s="45" t="n">
        <v>0.987820681971443</v>
      </c>
      <c r="V205" s="45" t="n"/>
      <c r="W205" s="45" t="n"/>
      <c r="X205" s="45" t="n"/>
      <c r="Y205" s="45" t="n"/>
      <c r="Z205" s="45" t="n"/>
      <c r="AA205" s="45" t="n">
        <v>0.9766195756177179</v>
      </c>
      <c r="AB205" s="45" t="n"/>
      <c r="AC205" s="45" t="n"/>
      <c r="AD205" s="45" t="n"/>
      <c r="AE205" s="45" t="n">
        <v>0.972009532107392</v>
      </c>
      <c r="AF205" s="75">
        <f>IFERROR(AVERAGE(L205:U205),"")</f>
        <v/>
      </c>
      <c r="AG205" s="75">
        <f>IFERROR(AVERAGE(V205:AE205),"")</f>
        <v/>
      </c>
      <c r="AH205" s="75">
        <f>IFERROR(AVERAGE(B205:K205),"")</f>
        <v/>
      </c>
      <c r="AI205" s="45" t="n">
        <v>0.97357177734375</v>
      </c>
      <c r="AJ205" s="47" t="n">
        <v>0</v>
      </c>
    </row>
    <row r="206" ht="15" customHeight="1" s="30">
      <c r="A206" s="73" t="inlineStr">
        <is>
          <t>7794.jpg</t>
        </is>
      </c>
      <c r="B206" s="45" t="n"/>
      <c r="C206" s="45" t="n"/>
      <c r="D206" s="45" t="n"/>
      <c r="E206" s="45" t="n"/>
      <c r="F206" s="45" t="n"/>
      <c r="G206" s="45" t="n">
        <v>0.87545229480099</v>
      </c>
      <c r="H206" s="45" t="n">
        <v>0.830906839135819</v>
      </c>
      <c r="I206" s="45" t="n"/>
      <c r="J206" s="45" t="n"/>
      <c r="K206" s="45" t="n">
        <v>0.926466210181602</v>
      </c>
      <c r="L206" s="45" t="n"/>
      <c r="M206" s="45" t="n"/>
      <c r="N206" s="45" t="n"/>
      <c r="O206" s="45" t="n"/>
      <c r="P206" s="45" t="n"/>
      <c r="Q206" s="45" t="n">
        <v>0.980151576825415</v>
      </c>
      <c r="R206" s="45" t="n">
        <v>0.876447876447877</v>
      </c>
      <c r="S206" s="45" t="n"/>
      <c r="T206" s="45" t="n"/>
      <c r="U206" s="45" t="n">
        <v>0.954243467002828</v>
      </c>
      <c r="V206" s="45" t="n"/>
      <c r="W206" s="45" t="n"/>
      <c r="X206" s="45" t="n"/>
      <c r="Y206" s="45" t="n"/>
      <c r="Z206" s="45" t="n"/>
      <c r="AA206" s="45" t="n">
        <v>0.891252621745951</v>
      </c>
      <c r="AB206" s="45" t="n">
        <v>0.941145297546682</v>
      </c>
      <c r="AC206" s="45" t="n"/>
      <c r="AD206" s="45" t="n"/>
      <c r="AE206" s="45" t="n">
        <v>0.969537524231515</v>
      </c>
      <c r="AF206" s="75">
        <f>IFERROR(AVERAGE(L206:U206),"")</f>
        <v/>
      </c>
      <c r="AG206" s="75">
        <f>IFERROR(AVERAGE(V206:AE206),"")</f>
        <v/>
      </c>
      <c r="AH206" s="75">
        <f>IFERROR(AVERAGE(B206:K206),"")</f>
        <v/>
      </c>
      <c r="AI206" s="45" t="n">
        <v>0.949119567871094</v>
      </c>
      <c r="AJ206" s="47" t="n">
        <v>0</v>
      </c>
    </row>
    <row r="207" ht="15" customHeight="1" s="30">
      <c r="A207" s="73" t="inlineStr">
        <is>
          <t>7803.jpg</t>
        </is>
      </c>
      <c r="B207" s="45" t="n"/>
      <c r="C207" s="45" t="n"/>
      <c r="D207" s="45" t="n"/>
      <c r="E207" s="45" t="n"/>
      <c r="F207" s="45" t="n"/>
      <c r="G207" s="45" t="n">
        <v>0.996297610074048</v>
      </c>
      <c r="H207" s="45" t="n">
        <v>0.882130352814436</v>
      </c>
      <c r="I207" s="45" t="n"/>
      <c r="J207" s="45" t="n"/>
      <c r="K207" s="45" t="n">
        <v>0.914883054356073</v>
      </c>
      <c r="L207" s="45" t="n"/>
      <c r="M207" s="45" t="n"/>
      <c r="N207" s="45" t="n"/>
      <c r="O207" s="45" t="n"/>
      <c r="P207" s="45" t="n"/>
      <c r="Q207" s="45" t="n">
        <v>0.997370027187483</v>
      </c>
      <c r="R207" s="45" t="n">
        <v>0.905680985496827</v>
      </c>
      <c r="S207" s="45" t="n"/>
      <c r="T207" s="45" t="n"/>
      <c r="U207" s="45" t="n">
        <v>0.979658976930792</v>
      </c>
      <c r="V207" s="45" t="n"/>
      <c r="W207" s="45" t="n"/>
      <c r="X207" s="45" t="n"/>
      <c r="Y207" s="45" t="n"/>
      <c r="Z207" s="45" t="n"/>
      <c r="AA207" s="45" t="n">
        <v>0.998921922756321</v>
      </c>
      <c r="AB207" s="45" t="n">
        <v>0.971366292001542</v>
      </c>
      <c r="AC207" s="45" t="n"/>
      <c r="AD207" s="45" t="n"/>
      <c r="AE207" s="45" t="n">
        <v>0.93259875299577</v>
      </c>
      <c r="AF207" s="75">
        <f>IFERROR(AVERAGE(L207:U207),"")</f>
        <v/>
      </c>
      <c r="AG207" s="75">
        <f>IFERROR(AVERAGE(V207:AE207),"")</f>
        <v/>
      </c>
      <c r="AH207" s="75">
        <f>IFERROR(AVERAGE(B207:K207),"")</f>
        <v/>
      </c>
      <c r="AI207" s="45" t="n">
        <v>0.965335845947266</v>
      </c>
      <c r="AJ207" s="47" t="n">
        <v>0</v>
      </c>
    </row>
    <row r="208" ht="15" customHeight="1" s="30">
      <c r="A208" s="73" t="inlineStr">
        <is>
          <t>7804.jpg</t>
        </is>
      </c>
      <c r="B208" s="45" t="n"/>
      <c r="C208" s="45" t="n"/>
      <c r="D208" s="45" t="n"/>
      <c r="E208" s="45" t="n"/>
      <c r="F208" s="45" t="n"/>
      <c r="G208" s="45" t="n">
        <v>0.997873384590218</v>
      </c>
      <c r="H208" s="45" t="n">
        <v>0.811615308440613</v>
      </c>
      <c r="I208" s="45" t="n"/>
      <c r="J208" s="45" t="n"/>
      <c r="K208" s="45" t="n">
        <v>0.879204499503731</v>
      </c>
      <c r="L208" s="45" t="n"/>
      <c r="M208" s="45" t="n"/>
      <c r="N208" s="45" t="n"/>
      <c r="O208" s="45" t="n"/>
      <c r="P208" s="45" t="n"/>
      <c r="Q208" s="45" t="n">
        <v>0.999375390381012</v>
      </c>
      <c r="R208" s="45" t="n">
        <v>0.870975807963993</v>
      </c>
      <c r="S208" s="45" t="n"/>
      <c r="T208" s="45" t="n"/>
      <c r="U208" s="45" t="n">
        <v>0.951967759590029</v>
      </c>
      <c r="V208" s="45" t="n"/>
      <c r="W208" s="45" t="n"/>
      <c r="X208" s="45" t="n"/>
      <c r="Y208" s="45" t="n"/>
      <c r="Z208" s="45" t="n"/>
      <c r="AA208" s="45" t="n">
        <v>0.998496117527904</v>
      </c>
      <c r="AB208" s="45" t="n">
        <v>0.922531947295239</v>
      </c>
      <c r="AC208" s="45" t="n"/>
      <c r="AD208" s="45" t="n"/>
      <c r="AE208" s="45" t="n">
        <v>0.92001731018897</v>
      </c>
      <c r="AF208" s="75">
        <f>IFERROR(AVERAGE(L208:U208),"")</f>
        <v/>
      </c>
      <c r="AG208" s="75">
        <f>IFERROR(AVERAGE(V208:AE208),"")</f>
        <v/>
      </c>
      <c r="AH208" s="75">
        <f>IFERROR(AVERAGE(B208:K208),"")</f>
        <v/>
      </c>
      <c r="AI208" s="45" t="n">
        <v>0.949859619140625</v>
      </c>
      <c r="AJ208" s="47" t="n">
        <v>0</v>
      </c>
    </row>
    <row r="209" ht="15" customHeight="1" s="30">
      <c r="A209" s="73" t="inlineStr">
        <is>
          <t>7812.jpg</t>
        </is>
      </c>
      <c r="B209" s="45" t="n"/>
      <c r="C209" s="45" t="n"/>
      <c r="D209" s="45" t="n"/>
      <c r="E209" s="45" t="n"/>
      <c r="F209" s="45" t="n"/>
      <c r="G209" s="45" t="n">
        <v>0.9924312383435639</v>
      </c>
      <c r="H209" s="45" t="n">
        <v>0.867757308882138</v>
      </c>
      <c r="I209" s="45" t="n"/>
      <c r="J209" s="45" t="n"/>
      <c r="K209" s="45" t="n">
        <v>0.954024219457946</v>
      </c>
      <c r="L209" s="45" t="n"/>
      <c r="M209" s="45" t="n"/>
      <c r="N209" s="45" t="n"/>
      <c r="O209" s="45" t="n"/>
      <c r="P209" s="45" t="n"/>
      <c r="Q209" s="45" t="n">
        <v>0.999662578085815</v>
      </c>
      <c r="R209" s="45" t="n">
        <v>0.9693347031537</v>
      </c>
      <c r="S209" s="45" t="n"/>
      <c r="T209" s="45" t="n"/>
      <c r="U209" s="45" t="n">
        <v>0.962124484912934</v>
      </c>
      <c r="V209" s="45" t="n"/>
      <c r="W209" s="45" t="n"/>
      <c r="X209" s="45" t="n"/>
      <c r="Y209" s="45" t="n"/>
      <c r="Z209" s="45" t="n"/>
      <c r="AA209" s="45" t="n">
        <v>0.992763795430052</v>
      </c>
      <c r="AB209" s="45" t="n">
        <v>0.8922512608895</v>
      </c>
      <c r="AC209" s="45" t="n"/>
      <c r="AD209" s="45" t="n"/>
      <c r="AE209" s="45" t="n">
        <v>0.991252321729678</v>
      </c>
      <c r="AF209" s="75">
        <f>IFERROR(AVERAGE(L209:U209),"")</f>
        <v/>
      </c>
      <c r="AG209" s="75">
        <f>IFERROR(AVERAGE(V209:AE209),"")</f>
        <v/>
      </c>
      <c r="AH209" s="75">
        <f>IFERROR(AVERAGE(B209:K209),"")</f>
        <v/>
      </c>
      <c r="AI209" s="45" t="n">
        <v>0.978710174560547</v>
      </c>
      <c r="AJ209" s="47" t="n">
        <v>0</v>
      </c>
    </row>
    <row r="210" ht="15" customHeight="1" s="30">
      <c r="A210" s="73" t="inlineStr">
        <is>
          <t>7813.jpg</t>
        </is>
      </c>
      <c r="B210" s="45" t="n"/>
      <c r="C210" s="45" t="n"/>
      <c r="D210" s="45" t="n"/>
      <c r="E210" s="45" t="n"/>
      <c r="F210" s="45" t="n"/>
      <c r="G210" s="45" t="n">
        <v>0.993960162388448</v>
      </c>
      <c r="H210" s="45" t="n">
        <v>0.8296410014171</v>
      </c>
      <c r="I210" s="45" t="n"/>
      <c r="J210" s="45" t="n"/>
      <c r="K210" s="45" t="n">
        <v>0.932690500999266</v>
      </c>
      <c r="L210" s="45" t="n"/>
      <c r="M210" s="45" t="n"/>
      <c r="N210" s="45" t="n"/>
      <c r="O210" s="45" t="n"/>
      <c r="P210" s="45" t="n"/>
      <c r="Q210" s="45" t="n">
        <v>0.9992455505662921</v>
      </c>
      <c r="R210" s="45" t="n">
        <v>0.977188638829388</v>
      </c>
      <c r="S210" s="45" t="n"/>
      <c r="T210" s="45" t="n"/>
      <c r="U210" s="45" t="n">
        <v>0.939939578079409</v>
      </c>
      <c r="V210" s="45" t="n"/>
      <c r="W210" s="45" t="n"/>
      <c r="X210" s="45" t="n"/>
      <c r="Y210" s="45" t="n"/>
      <c r="Z210" s="45" t="n"/>
      <c r="AA210" s="45" t="n">
        <v>0.994706648811032</v>
      </c>
      <c r="AB210" s="45" t="n">
        <v>0.846026011560694</v>
      </c>
      <c r="AC210" s="45" t="n"/>
      <c r="AD210" s="45" t="n"/>
      <c r="AE210" s="45" t="n">
        <v>0.991798961020089</v>
      </c>
      <c r="AF210" s="75">
        <f>IFERROR(AVERAGE(L210:U210),"")</f>
        <v/>
      </c>
      <c r="AG210" s="75">
        <f>IFERROR(AVERAGE(V210:AE210),"")</f>
        <v/>
      </c>
      <c r="AH210" s="75">
        <f>IFERROR(AVERAGE(B210:K210),"")</f>
        <v/>
      </c>
      <c r="AI210" s="45" t="n">
        <v>0.969936370849609</v>
      </c>
      <c r="AJ210" s="47" t="n">
        <v>0</v>
      </c>
    </row>
    <row r="211" ht="15" customHeight="1" s="30">
      <c r="A211" s="73" t="inlineStr">
        <is>
          <t>7817.jpg</t>
        </is>
      </c>
      <c r="B211" s="45" t="n"/>
      <c r="C211" s="45" t="n"/>
      <c r="D211" s="45" t="n"/>
      <c r="E211" s="45" t="n"/>
      <c r="F211" s="45" t="n"/>
      <c r="G211" s="45" t="n">
        <v>0.991562253269713</v>
      </c>
      <c r="H211" s="45" t="n">
        <v>0.9517976513098459</v>
      </c>
      <c r="I211" s="45" t="n"/>
      <c r="J211" s="45" t="n"/>
      <c r="K211" s="45" t="n">
        <v>0.940079340672858</v>
      </c>
      <c r="L211" s="45" t="n"/>
      <c r="M211" s="45" t="n"/>
      <c r="N211" s="45" t="n"/>
      <c r="O211" s="45" t="n"/>
      <c r="P211" s="45" t="n"/>
      <c r="Q211" s="45" t="n">
        <v>0.999979228548283</v>
      </c>
      <c r="R211" s="45" t="n">
        <v>0.966074965158072</v>
      </c>
      <c r="S211" s="45" t="n"/>
      <c r="T211" s="45" t="n"/>
      <c r="U211" s="45" t="n">
        <v>0.96764952598009</v>
      </c>
      <c r="V211" s="45" t="n"/>
      <c r="W211" s="45" t="n"/>
      <c r="X211" s="45" t="n"/>
      <c r="Y211" s="45" t="n"/>
      <c r="Z211" s="45" t="n"/>
      <c r="AA211" s="45" t="n">
        <v>0.991582676516629</v>
      </c>
      <c r="AB211" s="45" t="n">
        <v>0.984710280373832</v>
      </c>
      <c r="AC211" s="45" t="n"/>
      <c r="AD211" s="45" t="n"/>
      <c r="AE211" s="45" t="n">
        <v>0.970583566167132</v>
      </c>
      <c r="AF211" s="75">
        <f>IFERROR(AVERAGE(L211:U211),"")</f>
        <v/>
      </c>
      <c r="AG211" s="75">
        <f>IFERROR(AVERAGE(V211:AE211),"")</f>
        <v/>
      </c>
      <c r="AH211" s="75">
        <f>IFERROR(AVERAGE(B211:K211),"")</f>
        <v/>
      </c>
      <c r="AI211" s="45" t="n">
        <v>0.985134124755859</v>
      </c>
      <c r="AJ211" s="47" t="n">
        <v>0</v>
      </c>
    </row>
    <row r="212" ht="15" customHeight="1" s="30">
      <c r="A212" s="73" t="inlineStr">
        <is>
          <t>7821.jpg</t>
        </is>
      </c>
      <c r="B212" s="45" t="n"/>
      <c r="C212" s="45" t="n"/>
      <c r="D212" s="45" t="n"/>
      <c r="E212" s="45" t="n"/>
      <c r="F212" s="45" t="n">
        <v>0.950356958096223</v>
      </c>
      <c r="G212" s="45" t="n">
        <v>0.979670300021584</v>
      </c>
      <c r="H212" s="45" t="n">
        <v>0.745649422559722</v>
      </c>
      <c r="I212" s="45" t="n">
        <v>0.7344000000000001</v>
      </c>
      <c r="J212" s="45" t="n"/>
      <c r="K212" s="45" t="n">
        <v>0.92130515136108</v>
      </c>
      <c r="L212" s="45" t="n"/>
      <c r="M212" s="45" t="n"/>
      <c r="N212" s="45" t="n"/>
      <c r="O212" s="45" t="n"/>
      <c r="P212" s="45" t="n">
        <v>0.968637293569274</v>
      </c>
      <c r="Q212" s="45" t="n">
        <v>0.999669626264712</v>
      </c>
      <c r="R212" s="45" t="n">
        <v>0.934983138266217</v>
      </c>
      <c r="S212" s="45" t="n">
        <v>0.912524850894632</v>
      </c>
      <c r="T212" s="45" t="n"/>
      <c r="U212" s="45" t="n">
        <v>0.940198815671353</v>
      </c>
      <c r="V212" s="45" t="n"/>
      <c r="W212" s="45" t="n"/>
      <c r="X212" s="45" t="n"/>
      <c r="Y212" s="45" t="n"/>
      <c r="Z212" s="45" t="n">
        <v>0.980528630599086</v>
      </c>
      <c r="AA212" s="45" t="n">
        <v>0.979987585015654</v>
      </c>
      <c r="AB212" s="45" t="n">
        <v>0.7864263963625751</v>
      </c>
      <c r="AC212" s="45" t="n">
        <v>0.790017211703959</v>
      </c>
      <c r="AD212" s="45" t="n"/>
      <c r="AE212" s="45" t="n">
        <v>0.978653727453535</v>
      </c>
      <c r="AF212" s="75">
        <f>IFERROR(AVERAGE(L212:U212),"")</f>
        <v/>
      </c>
      <c r="AG212" s="75">
        <f>IFERROR(AVERAGE(V212:AE212),"")</f>
        <v/>
      </c>
      <c r="AH212" s="75">
        <f>IFERROR(AVERAGE(B212:K212),"")</f>
        <v/>
      </c>
      <c r="AI212" s="45" t="n">
        <v>0.961368560791016</v>
      </c>
      <c r="AJ212" s="47" t="n">
        <v>0</v>
      </c>
    </row>
    <row r="213" ht="15" customHeight="1" s="30">
      <c r="A213" s="73" t="inlineStr">
        <is>
          <t>7822.jpg</t>
        </is>
      </c>
      <c r="B213" s="45" t="n"/>
      <c r="C213" s="45" t="n"/>
      <c r="D213" s="45" t="n"/>
      <c r="E213" s="45" t="n"/>
      <c r="F213" s="45" t="n">
        <v>0.85750715672403</v>
      </c>
      <c r="G213" s="45" t="n">
        <v>0.951128261380553</v>
      </c>
      <c r="H213" s="45" t="n">
        <v>0.687711064048996</v>
      </c>
      <c r="I213" s="45" t="n"/>
      <c r="J213" s="45" t="n"/>
      <c r="K213" s="45" t="n">
        <v>0.889908748250952</v>
      </c>
      <c r="L213" s="45" t="n"/>
      <c r="M213" s="45" t="n"/>
      <c r="N213" s="45" t="n"/>
      <c r="O213" s="45" t="n"/>
      <c r="P213" s="45" t="n">
        <v>0.867050388435114</v>
      </c>
      <c r="Q213" s="45" t="n">
        <v>1</v>
      </c>
      <c r="R213" s="45" t="n">
        <v>0.952739671715169</v>
      </c>
      <c r="S213" s="45" t="n"/>
      <c r="T213" s="45" t="n"/>
      <c r="U213" s="45" t="n">
        <v>0.943633175496759</v>
      </c>
      <c r="V213" s="45" t="n"/>
      <c r="W213" s="45" t="n"/>
      <c r="X213" s="45" t="n"/>
      <c r="Y213" s="45" t="n"/>
      <c r="Z213" s="45" t="n">
        <v>0.987327145292669</v>
      </c>
      <c r="AA213" s="45" t="n">
        <v>0.951128261380553</v>
      </c>
      <c r="AB213" s="45" t="n">
        <v>0.712</v>
      </c>
      <c r="AC213" s="45" t="n"/>
      <c r="AD213" s="45" t="n"/>
      <c r="AE213" s="45" t="n">
        <v>0.939870038960029</v>
      </c>
      <c r="AF213" s="75">
        <f>IFERROR(AVERAGE(L213:U213),"")</f>
        <v/>
      </c>
      <c r="AG213" s="75">
        <f>IFERROR(AVERAGE(V213:AE213),"")</f>
        <v/>
      </c>
      <c r="AH213" s="75">
        <f>IFERROR(AVERAGE(B213:K213),"")</f>
        <v/>
      </c>
      <c r="AI213" s="45" t="n">
        <v>0.93695068359375</v>
      </c>
      <c r="AJ213" s="47" t="n">
        <v>0</v>
      </c>
    </row>
    <row r="214" ht="15" customHeight="1" s="30">
      <c r="A214" s="73" t="inlineStr">
        <is>
          <t>7835.jpg</t>
        </is>
      </c>
      <c r="B214" s="45" t="n"/>
      <c r="C214" s="45" t="n"/>
      <c r="D214" s="45" t="n"/>
      <c r="E214" s="45" t="n"/>
      <c r="F214" s="45" t="n">
        <v>0</v>
      </c>
      <c r="G214" s="45" t="n">
        <v>0.973899679376772</v>
      </c>
      <c r="H214" s="45" t="n">
        <v>0.805608765611831</v>
      </c>
      <c r="I214" s="45" t="n"/>
      <c r="J214" s="45" t="n"/>
      <c r="K214" s="45" t="n">
        <v>0.958235771475239</v>
      </c>
      <c r="L214" s="45" t="n"/>
      <c r="M214" s="45" t="n"/>
      <c r="N214" s="45" t="n"/>
      <c r="O214" s="45" t="n"/>
      <c r="P214" s="45" t="n">
        <v>0</v>
      </c>
      <c r="Q214" s="45" t="n">
        <v>0.998587186871706</v>
      </c>
      <c r="R214" s="45" t="n">
        <v>0.974119827053737</v>
      </c>
      <c r="S214" s="45" t="n"/>
      <c r="T214" s="45" t="n"/>
      <c r="U214" s="45" t="n">
        <v>0.961989912408153</v>
      </c>
      <c r="V214" s="45" t="n"/>
      <c r="W214" s="45" t="n"/>
      <c r="X214" s="45" t="n"/>
      <c r="Y214" s="45" t="n"/>
      <c r="Z214" s="45" t="n"/>
      <c r="AA214" s="45" t="n">
        <v>0.975243452649455</v>
      </c>
      <c r="AB214" s="45" t="n">
        <v>0.823228500587237</v>
      </c>
      <c r="AC214" s="45" t="n"/>
      <c r="AD214" s="45" t="n"/>
      <c r="AE214" s="45" t="n">
        <v>0.995943956764191</v>
      </c>
      <c r="AF214" s="75">
        <f>IFERROR(AVERAGE(L214:U214),"")</f>
        <v/>
      </c>
      <c r="AG214" s="75">
        <f>IFERROR(AVERAGE(V214:AE214),"")</f>
        <v/>
      </c>
      <c r="AH214" s="75">
        <f>IFERROR(AVERAGE(B214:K214),"")</f>
        <v/>
      </c>
      <c r="AI214" s="45" t="n">
        <v>0.967723846435547</v>
      </c>
      <c r="AJ214" s="47" t="n">
        <v>0</v>
      </c>
    </row>
    <row r="215" ht="15" customHeight="1" s="30">
      <c r="A215" s="73" t="inlineStr">
        <is>
          <t>7839.jpg</t>
        </is>
      </c>
      <c r="B215" s="45" t="n"/>
      <c r="C215" s="45" t="n"/>
      <c r="D215" s="45" t="n"/>
      <c r="E215" s="45" t="n"/>
      <c r="F215" s="45" t="n">
        <v>0</v>
      </c>
      <c r="G215" s="45" t="n">
        <v>0.957571482827844</v>
      </c>
      <c r="H215" s="45" t="n">
        <v>0.855967291170686</v>
      </c>
      <c r="I215" s="45" t="n"/>
      <c r="J215" s="45" t="n"/>
      <c r="K215" s="45" t="n">
        <v>0.981693835652494</v>
      </c>
      <c r="L215" s="45" t="n"/>
      <c r="M215" s="45" t="n"/>
      <c r="N215" s="45" t="n"/>
      <c r="O215" s="45" t="n"/>
      <c r="P215" s="45" t="n">
        <v>0</v>
      </c>
      <c r="Q215" s="45" t="n">
        <v>0.997005988023952</v>
      </c>
      <c r="R215" s="45" t="n">
        <v>0.990596550071874</v>
      </c>
      <c r="S215" s="45" t="n"/>
      <c r="T215" s="45" t="n"/>
      <c r="U215" s="45" t="n">
        <v>0.985229243895781</v>
      </c>
      <c r="V215" s="45" t="n"/>
      <c r="W215" s="45" t="n"/>
      <c r="X215" s="45" t="n"/>
      <c r="Y215" s="45" t="n"/>
      <c r="Z215" s="45" t="n"/>
      <c r="AA215" s="45" t="n">
        <v>0.960333006856024</v>
      </c>
      <c r="AB215" s="45" t="n">
        <v>0.862979389512132</v>
      </c>
      <c r="AC215" s="45" t="n"/>
      <c r="AD215" s="45" t="n"/>
      <c r="AE215" s="45" t="n">
        <v>0.996357985939511</v>
      </c>
      <c r="AF215" s="75">
        <f>IFERROR(AVERAGE(L215:U215),"")</f>
        <v/>
      </c>
      <c r="AG215" s="75">
        <f>IFERROR(AVERAGE(V215:AE215),"")</f>
        <v/>
      </c>
      <c r="AH215" s="75">
        <f>IFERROR(AVERAGE(B215:K215),"")</f>
        <v/>
      </c>
      <c r="AI215" s="45" t="n">
        <v>0.984081268310547</v>
      </c>
      <c r="AJ215" s="47" t="n">
        <v>0</v>
      </c>
    </row>
    <row r="216" ht="15" customHeight="1" s="30">
      <c r="A216" s="73" t="inlineStr">
        <is>
          <t>7840.jpg</t>
        </is>
      </c>
      <c r="B216" s="45" t="n"/>
      <c r="C216" s="45" t="n"/>
      <c r="D216" s="45" t="n"/>
      <c r="E216" s="45" t="n"/>
      <c r="F216" s="45" t="n">
        <v>0</v>
      </c>
      <c r="G216" s="45" t="n">
        <v>0.940259097285255</v>
      </c>
      <c r="H216" s="45" t="n">
        <v>0.831400766124858</v>
      </c>
      <c r="I216" s="45" t="n"/>
      <c r="J216" s="45" t="n"/>
      <c r="K216" s="45" t="n">
        <v>0.976355842650668</v>
      </c>
      <c r="L216" s="45" t="n"/>
      <c r="M216" s="45" t="n"/>
      <c r="N216" s="45" t="n"/>
      <c r="O216" s="45" t="n"/>
      <c r="P216" s="45" t="n">
        <v>0</v>
      </c>
      <c r="Q216" s="45" t="n">
        <v>0.985641380503417</v>
      </c>
      <c r="R216" s="45" t="n">
        <v>0.9697500301895911</v>
      </c>
      <c r="S216" s="45" t="n"/>
      <c r="T216" s="45" t="n"/>
      <c r="U216" s="45" t="n">
        <v>0.985743354570601</v>
      </c>
      <c r="V216" s="45" t="n"/>
      <c r="W216" s="45" t="n"/>
      <c r="X216" s="45" t="n"/>
      <c r="Y216" s="45" t="n"/>
      <c r="Z216" s="45" t="n"/>
      <c r="AA216" s="45" t="n">
        <v>0.95331715887225</v>
      </c>
      <c r="AB216" s="45" t="n">
        <v>0.853536695541266</v>
      </c>
      <c r="AC216" s="45" t="n"/>
      <c r="AD216" s="45" t="n"/>
      <c r="AE216" s="45" t="n">
        <v>0.990340314814975</v>
      </c>
      <c r="AF216" s="75">
        <f>IFERROR(AVERAGE(L216:U216),"")</f>
        <v/>
      </c>
      <c r="AG216" s="75">
        <f>IFERROR(AVERAGE(V216:AE216),"")</f>
        <v/>
      </c>
      <c r="AH216" s="75">
        <f>IFERROR(AVERAGE(B216:K216),"")</f>
        <v/>
      </c>
      <c r="AI216" s="45" t="n">
        <v>0.978832244873047</v>
      </c>
      <c r="AJ216" s="47" t="n">
        <v>0</v>
      </c>
    </row>
    <row r="217" ht="15" customHeight="1" s="30">
      <c r="A217" s="73" t="inlineStr">
        <is>
          <t>7853.jpg</t>
        </is>
      </c>
      <c r="B217" s="45" t="n"/>
      <c r="C217" s="45" t="n"/>
      <c r="D217" s="45" t="n"/>
      <c r="E217" s="45" t="n"/>
      <c r="F217" s="45" t="n"/>
      <c r="G217" s="45" t="n">
        <v>0.904213516778962</v>
      </c>
      <c r="H217" s="45" t="n">
        <v>0.533805974039514</v>
      </c>
      <c r="I217" s="45" t="n"/>
      <c r="J217" s="45" t="n"/>
      <c r="K217" s="45" t="n">
        <v>0.759836336305973</v>
      </c>
      <c r="L217" s="45" t="n"/>
      <c r="M217" s="45" t="n"/>
      <c r="N217" s="45" t="n"/>
      <c r="O217" s="45" t="n"/>
      <c r="P217" s="45" t="n"/>
      <c r="Q217" s="45" t="n">
        <v>0.97806532130831</v>
      </c>
      <c r="R217" s="45" t="n">
        <v>0.930880882397503</v>
      </c>
      <c r="S217" s="45" t="n"/>
      <c r="T217" s="45" t="n"/>
      <c r="U217" s="45" t="n">
        <v>0.781671046883343</v>
      </c>
      <c r="V217" s="45" t="n"/>
      <c r="W217" s="45" t="n"/>
      <c r="X217" s="45" t="n"/>
      <c r="Y217" s="45" t="n"/>
      <c r="Z217" s="45" t="n"/>
      <c r="AA217" s="45" t="n">
        <v>0.922929072971292</v>
      </c>
      <c r="AB217" s="45" t="n">
        <v>0.555837012376058</v>
      </c>
      <c r="AC217" s="45" t="n"/>
      <c r="AD217" s="45" t="n"/>
      <c r="AE217" s="45" t="n">
        <v>0.964541191771914</v>
      </c>
      <c r="AF217" s="75">
        <f>IFERROR(AVERAGE(L217:U217),"")</f>
        <v/>
      </c>
      <c r="AG217" s="75">
        <f>IFERROR(AVERAGE(V217:AE217),"")</f>
        <v/>
      </c>
      <c r="AH217" s="75">
        <f>IFERROR(AVERAGE(B217:K217),"")</f>
        <v/>
      </c>
      <c r="AI217" s="45" t="n">
        <v>0.864086151123047</v>
      </c>
      <c r="AJ217" s="47" t="n">
        <v>0</v>
      </c>
    </row>
    <row r="218" ht="15" customHeight="1" s="30">
      <c r="A218" s="73" t="inlineStr">
        <is>
          <t>7866.jpg</t>
        </is>
      </c>
      <c r="B218" s="45" t="n"/>
      <c r="C218" s="45" t="n"/>
      <c r="D218" s="45" t="n"/>
      <c r="E218" s="45" t="n"/>
      <c r="F218" s="45" t="n"/>
      <c r="G218" s="45" t="n">
        <v>0.925740571160849</v>
      </c>
      <c r="H218" s="45" t="n">
        <v>0.595903279826819</v>
      </c>
      <c r="I218" s="45" t="n"/>
      <c r="J218" s="45" t="n"/>
      <c r="K218" s="45" t="n">
        <v>0.816736860126691</v>
      </c>
      <c r="L218" s="45" t="n"/>
      <c r="M218" s="45" t="n"/>
      <c r="N218" s="45" t="n"/>
      <c r="O218" s="45" t="n"/>
      <c r="P218" s="45" t="n"/>
      <c r="Q218" s="45" t="n">
        <v>0.994338651569738</v>
      </c>
      <c r="R218" s="45" t="n">
        <v>0.933847532484158</v>
      </c>
      <c r="S218" s="45" t="n"/>
      <c r="T218" s="45" t="n"/>
      <c r="U218" s="45" t="n">
        <v>0.831322361863338</v>
      </c>
      <c r="V218" s="45" t="n"/>
      <c r="W218" s="45" t="n"/>
      <c r="X218" s="45" t="n"/>
      <c r="Y218" s="45" t="n"/>
      <c r="Z218" s="45" t="n"/>
      <c r="AA218" s="45" t="n">
        <v>0.9306458001049041</v>
      </c>
      <c r="AB218" s="45" t="n">
        <v>0.6221667839399559</v>
      </c>
      <c r="AC218" s="45" t="n"/>
      <c r="AD218" s="45" t="n"/>
      <c r="AE218" s="45" t="n">
        <v>0.978970006402574</v>
      </c>
      <c r="AF218" s="75">
        <f>IFERROR(AVERAGE(L218:U218),"")</f>
        <v/>
      </c>
      <c r="AG218" s="75">
        <f>IFERROR(AVERAGE(V218:AE218),"")</f>
        <v/>
      </c>
      <c r="AH218" s="75">
        <f>IFERROR(AVERAGE(B218:K218),"")</f>
        <v/>
      </c>
      <c r="AI218" s="45" t="n">
        <v>0.897914886474609</v>
      </c>
      <c r="AJ218" s="47" t="n">
        <v>0</v>
      </c>
    </row>
    <row r="219" ht="15" customHeight="1" s="30">
      <c r="A219" s="73" t="inlineStr">
        <is>
          <t>7874.jpg</t>
        </is>
      </c>
      <c r="B219" s="45" t="n"/>
      <c r="C219" s="45" t="n"/>
      <c r="D219" s="45" t="n"/>
      <c r="E219" s="45" t="n"/>
      <c r="F219" s="45" t="n"/>
      <c r="G219" s="45" t="n"/>
      <c r="H219" s="45" t="n">
        <v>0.957875523607857</v>
      </c>
      <c r="I219" s="45" t="n"/>
      <c r="J219" s="45" t="n"/>
      <c r="K219" s="45" t="n">
        <v>0.890917298424036</v>
      </c>
      <c r="L219" s="45" t="n"/>
      <c r="M219" s="45" t="n"/>
      <c r="N219" s="45" t="n"/>
      <c r="O219" s="45" t="n"/>
      <c r="P219" s="45" t="n"/>
      <c r="Q219" s="45" t="n"/>
      <c r="R219" s="45" t="n">
        <v>0.964616528464771</v>
      </c>
      <c r="S219" s="45" t="n"/>
      <c r="T219" s="45" t="n"/>
      <c r="U219" s="45" t="n">
        <v>0.9800923085911259</v>
      </c>
      <c r="V219" s="45" t="n"/>
      <c r="W219" s="45" t="n"/>
      <c r="X219" s="45" t="n"/>
      <c r="Y219" s="45" t="n"/>
      <c r="Z219" s="45" t="n"/>
      <c r="AA219" s="45" t="n"/>
      <c r="AB219" s="45" t="n">
        <v>0.992757242757243</v>
      </c>
      <c r="AC219" s="45" t="n"/>
      <c r="AD219" s="45" t="n"/>
      <c r="AE219" s="45" t="n">
        <v>0.9073367948509929</v>
      </c>
      <c r="AF219" s="75">
        <f>IFERROR(AVERAGE(L219:U219),"")</f>
        <v/>
      </c>
      <c r="AG219" s="75">
        <f>IFERROR(AVERAGE(V219:AE219),"")</f>
        <v/>
      </c>
      <c r="AH219" s="75">
        <f>IFERROR(AVERAGE(B219:K219),"")</f>
        <v/>
      </c>
      <c r="AI219" s="45" t="n">
        <v>0.968658447265625</v>
      </c>
      <c r="AJ219" s="47" t="n">
        <v>0</v>
      </c>
    </row>
    <row r="220" ht="15" customHeight="1" s="30">
      <c r="A220" s="73" t="inlineStr">
        <is>
          <t>7876.jpg</t>
        </is>
      </c>
      <c r="B220" s="45" t="n"/>
      <c r="C220" s="45" t="n"/>
      <c r="D220" s="45" t="n"/>
      <c r="E220" s="45" t="n"/>
      <c r="F220" s="45" t="n"/>
      <c r="G220" s="45" t="n"/>
      <c r="H220" s="45" t="n">
        <v>0.976629617046061</v>
      </c>
      <c r="I220" s="45" t="n"/>
      <c r="J220" s="45" t="n"/>
      <c r="K220" s="45" t="n">
        <v>0.920973592213888</v>
      </c>
      <c r="L220" s="45" t="n"/>
      <c r="M220" s="45" t="n"/>
      <c r="N220" s="45" t="n"/>
      <c r="O220" s="45" t="n"/>
      <c r="P220" s="45" t="n"/>
      <c r="Q220" s="45" t="n"/>
      <c r="R220" s="45" t="n">
        <v>0.988285854616896</v>
      </c>
      <c r="S220" s="45" t="n"/>
      <c r="T220" s="45" t="n"/>
      <c r="U220" s="45" t="n">
        <v>0.958492757584039</v>
      </c>
      <c r="V220" s="45" t="n"/>
      <c r="W220" s="45" t="n"/>
      <c r="X220" s="45" t="n"/>
      <c r="Y220" s="45" t="n"/>
      <c r="Z220" s="45" t="n"/>
      <c r="AA220" s="45" t="n"/>
      <c r="AB220" s="45" t="n">
        <v>0.9880674703528201</v>
      </c>
      <c r="AC220" s="45" t="n"/>
      <c r="AD220" s="45" t="n"/>
      <c r="AE220" s="45" t="n">
        <v>0.959230072308928</v>
      </c>
      <c r="AF220" s="75">
        <f>IFERROR(AVERAGE(L220:U220),"")</f>
        <v/>
      </c>
      <c r="AG220" s="75">
        <f>IFERROR(AVERAGE(V220:AE220),"")</f>
        <v/>
      </c>
      <c r="AH220" s="75">
        <f>IFERROR(AVERAGE(B220:K220),"")</f>
        <v/>
      </c>
      <c r="AI220" s="45" t="n">
        <v>0.981632232666016</v>
      </c>
      <c r="AJ220" s="47" t="n">
        <v>0</v>
      </c>
    </row>
    <row r="221" ht="15" customHeight="1" s="30">
      <c r="A221" s="73" t="inlineStr">
        <is>
          <t>7877.jpg</t>
        </is>
      </c>
      <c r="B221" s="45" t="n"/>
      <c r="C221" s="45" t="n"/>
      <c r="D221" s="45" t="n"/>
      <c r="E221" s="45" t="n"/>
      <c r="F221" s="45" t="n"/>
      <c r="G221" s="45" t="n"/>
      <c r="H221" s="45" t="n">
        <v>0.963951542797319</v>
      </c>
      <c r="I221" s="45" t="n"/>
      <c r="J221" s="45" t="n"/>
      <c r="K221" s="45" t="n">
        <v>0.862009124250827</v>
      </c>
      <c r="L221" s="45" t="n"/>
      <c r="M221" s="45" t="n"/>
      <c r="N221" s="45" t="n"/>
      <c r="O221" s="45" t="n"/>
      <c r="P221" s="45" t="n"/>
      <c r="Q221" s="45" t="n"/>
      <c r="R221" s="45" t="n">
        <v>0.991100475249999</v>
      </c>
      <c r="S221" s="45" t="n"/>
      <c r="T221" s="45" t="n"/>
      <c r="U221" s="45" t="n">
        <v>0.891549321836316</v>
      </c>
      <c r="V221" s="45" t="n"/>
      <c r="W221" s="45" t="n"/>
      <c r="X221" s="45" t="n"/>
      <c r="Y221" s="45" t="n"/>
      <c r="Z221" s="45" t="n"/>
      <c r="AA221" s="45" t="n"/>
      <c r="AB221" s="45" t="n">
        <v>0.9723681108858609</v>
      </c>
      <c r="AC221" s="45" t="n"/>
      <c r="AD221" s="45" t="n"/>
      <c r="AE221" s="45" t="n">
        <v>0.962985170084343</v>
      </c>
      <c r="AF221" s="75">
        <f>IFERROR(AVERAGE(L221:U221),"")</f>
        <v/>
      </c>
      <c r="AG221" s="75">
        <f>IFERROR(AVERAGE(V221:AE221),"")</f>
        <v/>
      </c>
      <c r="AH221" s="75">
        <f>IFERROR(AVERAGE(B221:K221),"")</f>
        <v/>
      </c>
      <c r="AI221" s="45" t="n">
        <v>0.970577239990234</v>
      </c>
      <c r="AJ221" s="47" t="n">
        <v>0</v>
      </c>
    </row>
    <row r="222" ht="15" customHeight="1" s="30">
      <c r="A222" s="73" t="inlineStr">
        <is>
          <t>7880.jpg</t>
        </is>
      </c>
      <c r="B222" s="45" t="n"/>
      <c r="C222" s="45" t="n"/>
      <c r="D222" s="45" t="n"/>
      <c r="E222" s="45" t="n"/>
      <c r="F222" s="45" t="n"/>
      <c r="G222" s="45" t="n"/>
      <c r="H222" s="45" t="n">
        <v>0.0732310979545505</v>
      </c>
      <c r="I222" s="45" t="n"/>
      <c r="J222" s="45" t="n"/>
      <c r="K222" s="45" t="n">
        <v>0.152625430923958</v>
      </c>
      <c r="L222" s="45" t="n"/>
      <c r="M222" s="45" t="n"/>
      <c r="N222" s="45" t="n"/>
      <c r="O222" s="45" t="n"/>
      <c r="P222" s="45" t="n"/>
      <c r="Q222" s="45" t="n"/>
      <c r="R222" s="45" t="n">
        <v>0.911968512666999</v>
      </c>
      <c r="S222" s="45" t="n"/>
      <c r="T222" s="45" t="n"/>
      <c r="U222" s="45" t="n">
        <v>0.153618319985252</v>
      </c>
      <c r="V222" s="45" t="n"/>
      <c r="W222" s="45" t="n"/>
      <c r="X222" s="45" t="n"/>
      <c r="Y222" s="45" t="n"/>
      <c r="Z222" s="45" t="n"/>
      <c r="AA222" s="45" t="n"/>
      <c r="AB222" s="45" t="n">
        <v>0.073752448925611</v>
      </c>
      <c r="AC222" s="45" t="n"/>
      <c r="AD222" s="45" t="n"/>
      <c r="AE222" s="45" t="n">
        <v>0.959372681454192</v>
      </c>
      <c r="AF222" s="75">
        <f>IFERROR(AVERAGE(L222:U222),"")</f>
        <v/>
      </c>
      <c r="AG222" s="75">
        <f>IFERROR(AVERAGE(V222:AE222),"")</f>
        <v/>
      </c>
      <c r="AH222" s="75">
        <f>IFERROR(AVERAGE(B222:K222),"")</f>
        <v/>
      </c>
      <c r="AI222" s="45" t="n">
        <v>0.205802917480469</v>
      </c>
      <c r="AJ222" s="47" t="n">
        <v>0</v>
      </c>
    </row>
    <row r="223" ht="15" customHeight="1" s="30">
      <c r="A223" s="73" t="inlineStr">
        <is>
          <t>7881.jpg</t>
        </is>
      </c>
      <c r="B223" s="45" t="n"/>
      <c r="C223" s="45" t="n"/>
      <c r="D223" s="45" t="n"/>
      <c r="E223" s="45" t="n"/>
      <c r="F223" s="45" t="n">
        <v>0.354260089686099</v>
      </c>
      <c r="G223" s="45" t="n"/>
      <c r="H223" s="45" t="n">
        <v>0.08338460804655271</v>
      </c>
      <c r="I223" s="45" t="n"/>
      <c r="J223" s="45" t="n"/>
      <c r="K223" s="45" t="n">
        <v>0.192641299418725</v>
      </c>
      <c r="L223" s="45" t="n"/>
      <c r="M223" s="45" t="n"/>
      <c r="N223" s="45" t="n"/>
      <c r="O223" s="45" t="n"/>
      <c r="P223" s="45" t="n">
        <v>0.981835564053537</v>
      </c>
      <c r="Q223" s="45" t="n"/>
      <c r="R223" s="45" t="n">
        <v>0.979932735426009</v>
      </c>
      <c r="S223" s="45" t="n"/>
      <c r="T223" s="45" t="n"/>
      <c r="U223" s="45" t="n">
        <v>0.192926031740789</v>
      </c>
      <c r="V223" s="45" t="n"/>
      <c r="W223" s="45" t="n"/>
      <c r="X223" s="45" t="n"/>
      <c r="Y223" s="45" t="n"/>
      <c r="Z223" s="45" t="n">
        <v>0.356597222222222</v>
      </c>
      <c r="AA223" s="45" t="n"/>
      <c r="AB223" s="45" t="n">
        <v>0.0835272364152377</v>
      </c>
      <c r="AC223" s="45" t="n"/>
      <c r="AD223" s="45" t="n"/>
      <c r="AE223" s="45" t="n">
        <v>0.992397052264956</v>
      </c>
      <c r="AF223" s="75">
        <f>IFERROR(AVERAGE(L223:U223),"")</f>
        <v/>
      </c>
      <c r="AG223" s="75">
        <f>IFERROR(AVERAGE(V223:AE223),"")</f>
        <v/>
      </c>
      <c r="AH223" s="75">
        <f>IFERROR(AVERAGE(B223:K223),"")</f>
        <v/>
      </c>
      <c r="AI223" s="45" t="n">
        <v>0.252780914306641</v>
      </c>
      <c r="AJ223" s="47" t="n">
        <v>0</v>
      </c>
    </row>
    <row r="224" ht="15" customHeight="1" s="30">
      <c r="A224" s="73" t="inlineStr">
        <is>
          <t>7888.jpg</t>
        </is>
      </c>
      <c r="B224" s="45" t="n"/>
      <c r="C224" s="45" t="n"/>
      <c r="D224" s="45" t="n"/>
      <c r="E224" s="45" t="n"/>
      <c r="F224" s="45" t="n">
        <v>0.217825739408473</v>
      </c>
      <c r="G224" s="45" t="n"/>
      <c r="H224" s="45" t="n">
        <v>0.462074425969913</v>
      </c>
      <c r="I224" s="45" t="n"/>
      <c r="J224" s="45" t="n"/>
      <c r="K224" s="45" t="n">
        <v>0.891492761144324</v>
      </c>
      <c r="L224" s="45" t="n"/>
      <c r="M224" s="45" t="n"/>
      <c r="N224" s="45" t="n"/>
      <c r="O224" s="45" t="n"/>
      <c r="P224" s="45" t="n">
        <v>0.664472079980493</v>
      </c>
      <c r="Q224" s="45" t="n"/>
      <c r="R224" s="45" t="n">
        <v>0.97696531404848</v>
      </c>
      <c r="S224" s="45" t="n"/>
      <c r="T224" s="45" t="n"/>
      <c r="U224" s="45" t="n">
        <v>0.897404045099112</v>
      </c>
      <c r="V224" s="45" t="n"/>
      <c r="W224" s="45" t="n"/>
      <c r="X224" s="45" t="n"/>
      <c r="Y224" s="45" t="n"/>
      <c r="Z224" s="45" t="n">
        <v>0.244745823603377</v>
      </c>
      <c r="AA224" s="45" t="n"/>
      <c r="AB224" s="45" t="n">
        <v>0.467164035733726</v>
      </c>
      <c r="AC224" s="45" t="n"/>
      <c r="AD224" s="45" t="n"/>
      <c r="AE224" s="45" t="n">
        <v>0.992665359292744</v>
      </c>
      <c r="AF224" s="75">
        <f>IFERROR(AVERAGE(L224:U224),"")</f>
        <v/>
      </c>
      <c r="AG224" s="75">
        <f>IFERROR(AVERAGE(V224:AE224),"")</f>
        <v/>
      </c>
      <c r="AH224" s="75">
        <f>IFERROR(AVERAGE(B224:K224),"")</f>
        <v/>
      </c>
      <c r="AI224" s="45" t="n">
        <v>0.898292541503906</v>
      </c>
      <c r="AJ224" s="47" t="n">
        <v>0</v>
      </c>
    </row>
    <row r="225" ht="15" customHeight="1" s="30">
      <c r="A225" s="73" t="inlineStr">
        <is>
          <t>7889.jpg</t>
        </is>
      </c>
      <c r="B225" s="45" t="n"/>
      <c r="C225" s="45" t="n"/>
      <c r="D225" s="45" t="n"/>
      <c r="E225" s="45" t="n"/>
      <c r="F225" s="45" t="n">
        <v>0.306480968584316</v>
      </c>
      <c r="G225" s="45" t="n"/>
      <c r="H225" s="45" t="n">
        <v>0.923068572462457</v>
      </c>
      <c r="I225" s="45" t="n"/>
      <c r="J225" s="45" t="n"/>
      <c r="K225" s="45" t="n">
        <v>0.953214012596558</v>
      </c>
      <c r="L225" s="45" t="n"/>
      <c r="M225" s="45" t="n"/>
      <c r="N225" s="45" t="n"/>
      <c r="O225" s="45" t="n"/>
      <c r="P225" s="45" t="n">
        <v>0.9038506417736289</v>
      </c>
      <c r="Q225" s="45" t="n"/>
      <c r="R225" s="45" t="n">
        <v>0.986732167723967</v>
      </c>
      <c r="S225" s="45" t="n"/>
      <c r="T225" s="45" t="n"/>
      <c r="U225" s="45" t="n">
        <v>0.956315973224946</v>
      </c>
      <c r="V225" s="45" t="n"/>
      <c r="W225" s="45" t="n"/>
      <c r="X225" s="45" t="n"/>
      <c r="Y225" s="45" t="n"/>
      <c r="Z225" s="45" t="n">
        <v>0.31680981595092</v>
      </c>
      <c r="AA225" s="45" t="n"/>
      <c r="AB225" s="45" t="n">
        <v>0.934669500219845</v>
      </c>
      <c r="AC225" s="45" t="n"/>
      <c r="AD225" s="45" t="n"/>
      <c r="AE225" s="45" t="n">
        <v>0.996608677294309</v>
      </c>
      <c r="AF225" s="75">
        <f>IFERROR(AVERAGE(L225:U225),"")</f>
        <v/>
      </c>
      <c r="AG225" s="75">
        <f>IFERROR(AVERAGE(V225:AE225),"")</f>
        <v/>
      </c>
      <c r="AH225" s="75">
        <f>IFERROR(AVERAGE(B225:K225),"")</f>
        <v/>
      </c>
      <c r="AI225" s="45" t="n">
        <v>0.958457946777344</v>
      </c>
      <c r="AJ225" s="47" t="n">
        <v>0</v>
      </c>
    </row>
    <row r="226" ht="15" customHeight="1" s="30">
      <c r="A226" s="73" t="inlineStr">
        <is>
          <t>7899.jpg</t>
        </is>
      </c>
      <c r="B226" s="45" t="n"/>
      <c r="C226" s="45" t="n"/>
      <c r="D226" s="45" t="n"/>
      <c r="E226" s="45" t="n"/>
      <c r="F226" s="45" t="n">
        <v>0.9175635181902591</v>
      </c>
      <c r="G226" s="45" t="n">
        <v>0.82091260191675</v>
      </c>
      <c r="H226" s="45" t="n">
        <v>0.864330919664747</v>
      </c>
      <c r="I226" s="45" t="n">
        <v>0.834224598930481</v>
      </c>
      <c r="J226" s="45" t="n"/>
      <c r="K226" s="45" t="n">
        <v>0.90584177999319</v>
      </c>
      <c r="L226" s="45" t="n"/>
      <c r="M226" s="45" t="n"/>
      <c r="N226" s="45" t="n"/>
      <c r="O226" s="45" t="n"/>
      <c r="P226" s="45" t="n">
        <v>0.987351976111811</v>
      </c>
      <c r="Q226" s="45" t="n">
        <v>0.923559703894432</v>
      </c>
      <c r="R226" s="45" t="n">
        <v>0.9945873244980969</v>
      </c>
      <c r="S226" s="45" t="n">
        <v>0.917647058823529</v>
      </c>
      <c r="T226" s="45" t="n"/>
      <c r="U226" s="45" t="n">
        <v>0.914682234854304</v>
      </c>
      <c r="V226" s="45" t="n"/>
      <c r="W226" s="45" t="n"/>
      <c r="X226" s="45" t="n"/>
      <c r="Y226" s="45" t="n"/>
      <c r="Z226" s="45" t="n">
        <v>0.928476863615981</v>
      </c>
      <c r="AA226" s="45" t="n">
        <v>0.880755064456722</v>
      </c>
      <c r="AB226" s="45" t="n">
        <v>0.868415776358377</v>
      </c>
      <c r="AC226" s="45" t="n">
        <v>0.901734104046243</v>
      </c>
      <c r="AD226" s="45" t="n"/>
      <c r="AE226" s="45" t="n">
        <v>0.989442945212526</v>
      </c>
      <c r="AF226" s="75">
        <f>IFERROR(AVERAGE(L226:U226),"")</f>
        <v/>
      </c>
      <c r="AG226" s="75">
        <f>IFERROR(AVERAGE(V226:AE226),"")</f>
        <v/>
      </c>
      <c r="AH226" s="75">
        <f>IFERROR(AVERAGE(B226:K226),"")</f>
        <v/>
      </c>
      <c r="AI226" s="45" t="n">
        <v>0.9486083984375</v>
      </c>
      <c r="AJ226" s="47" t="n">
        <v>0</v>
      </c>
    </row>
    <row r="227" ht="15" customHeight="1" s="30">
      <c r="A227" s="73" t="inlineStr">
        <is>
          <t>7903.jpg</t>
        </is>
      </c>
      <c r="B227" s="45" t="n"/>
      <c r="C227" s="45" t="n"/>
      <c r="D227" s="45" t="n"/>
      <c r="E227" s="45" t="n"/>
      <c r="F227" s="45" t="n">
        <v>0.869069624152803</v>
      </c>
      <c r="G227" s="45" t="n"/>
      <c r="H227" s="45" t="n">
        <v>0.844007739916837</v>
      </c>
      <c r="I227" s="45" t="n"/>
      <c r="J227" s="45" t="n"/>
      <c r="K227" s="45" t="n">
        <v>0.667375903385318</v>
      </c>
      <c r="L227" s="45" t="n"/>
      <c r="M227" s="45" t="n"/>
      <c r="N227" s="45" t="n"/>
      <c r="O227" s="45" t="n"/>
      <c r="P227" s="45" t="n">
        <v>0.970627116495536</v>
      </c>
      <c r="Q227" s="45" t="n"/>
      <c r="R227" s="45" t="n">
        <v>0.8630224448700951</v>
      </c>
      <c r="S227" s="45" t="n"/>
      <c r="T227" s="45" t="n"/>
      <c r="U227" s="45" t="n">
        <v>0.871870923659855</v>
      </c>
      <c r="V227" s="45" t="n"/>
      <c r="W227" s="45" t="n"/>
      <c r="X227" s="45" t="n"/>
      <c r="Y227" s="45" t="n"/>
      <c r="Z227" s="45" t="n">
        <v>0.89254312928795</v>
      </c>
      <c r="AA227" s="45" t="n"/>
      <c r="AB227" s="45" t="n">
        <v>0.974559283761835</v>
      </c>
      <c r="AC227" s="45" t="n"/>
      <c r="AD227" s="45" t="n"/>
      <c r="AE227" s="45" t="n">
        <v>0.739947546687402</v>
      </c>
      <c r="AF227" s="75">
        <f>IFERROR(AVERAGE(L227:U227),"")</f>
        <v/>
      </c>
      <c r="AG227" s="75">
        <f>IFERROR(AVERAGE(V227:AE227),"")</f>
        <v/>
      </c>
      <c r="AH227" s="75">
        <f>IFERROR(AVERAGE(B227:K227),"")</f>
        <v/>
      </c>
      <c r="AI227" s="45" t="n">
        <v>0.8878631591796881</v>
      </c>
      <c r="AJ227" s="47" t="n">
        <v>0</v>
      </c>
    </row>
    <row r="228" ht="15" customHeight="1" s="30">
      <c r="A228" s="73" t="inlineStr">
        <is>
          <t>7904.jpg</t>
        </is>
      </c>
      <c r="B228" s="45" t="n"/>
      <c r="C228" s="45" t="n"/>
      <c r="D228" s="45" t="n"/>
      <c r="E228" s="45" t="n"/>
      <c r="F228" s="45" t="n">
        <v>0.861752103660111</v>
      </c>
      <c r="G228" s="45" t="n"/>
      <c r="H228" s="45" t="n">
        <v>0.750715409600751</v>
      </c>
      <c r="I228" s="45" t="n"/>
      <c r="J228" s="45" t="n"/>
      <c r="K228" s="45" t="n">
        <v>0.67392339854983</v>
      </c>
      <c r="L228" s="45" t="n"/>
      <c r="M228" s="45" t="n"/>
      <c r="N228" s="45" t="n"/>
      <c r="O228" s="45" t="n"/>
      <c r="P228" s="45" t="n">
        <v>0.9403844799662</v>
      </c>
      <c r="Q228" s="45" t="n"/>
      <c r="R228" s="45" t="n">
        <v>0.760469776762828</v>
      </c>
      <c r="S228" s="45" t="n"/>
      <c r="T228" s="45" t="n"/>
      <c r="U228" s="45" t="n">
        <v>0.911107400958809</v>
      </c>
      <c r="V228" s="45" t="n"/>
      <c r="W228" s="45" t="n"/>
      <c r="X228" s="45" t="n"/>
      <c r="Y228" s="45" t="n"/>
      <c r="Z228" s="45" t="n">
        <v>0.911550695553644</v>
      </c>
      <c r="AA228" s="45" t="n"/>
      <c r="AB228" s="45" t="n">
        <v>0.983200973716875</v>
      </c>
      <c r="AC228" s="45" t="n"/>
      <c r="AD228" s="45" t="n"/>
      <c r="AE228" s="45" t="n">
        <v>0.72135357655412</v>
      </c>
      <c r="AF228" s="75">
        <f>IFERROR(AVERAGE(L228:U228),"")</f>
        <v/>
      </c>
      <c r="AG228" s="75">
        <f>IFERROR(AVERAGE(V228:AE228),"")</f>
        <v/>
      </c>
      <c r="AH228" s="75">
        <f>IFERROR(AVERAGE(B228:K228),"")</f>
        <v/>
      </c>
      <c r="AI228" s="45" t="n">
        <v>0.857387542724609</v>
      </c>
      <c r="AJ228" s="47" t="n">
        <v>0</v>
      </c>
    </row>
    <row r="229" ht="15" customHeight="1" s="30">
      <c r="A229" s="73" t="inlineStr">
        <is>
          <t>7906.jpg</t>
        </is>
      </c>
      <c r="B229" s="45" t="n"/>
      <c r="C229" s="45" t="n"/>
      <c r="D229" s="45" t="n"/>
      <c r="E229" s="45" t="n"/>
      <c r="F229" s="45" t="n">
        <v>0.849743889538444</v>
      </c>
      <c r="G229" s="45" t="n"/>
      <c r="H229" s="45" t="n">
        <v>0.815753870822268</v>
      </c>
      <c r="I229" s="45" t="n"/>
      <c r="J229" s="45" t="n"/>
      <c r="K229" s="45" t="n">
        <v>0.921694667640614</v>
      </c>
      <c r="L229" s="45" t="n"/>
      <c r="M229" s="45" t="n"/>
      <c r="N229" s="45" t="n"/>
      <c r="O229" s="45" t="n"/>
      <c r="P229" s="45" t="n">
        <v>0.952298500943735</v>
      </c>
      <c r="Q229" s="45" t="n"/>
      <c r="R229" s="45" t="n">
        <v>0.856211212790575</v>
      </c>
      <c r="S229" s="45" t="n"/>
      <c r="T229" s="45" t="n"/>
      <c r="U229" s="45" t="n">
        <v>0.9515146098546</v>
      </c>
      <c r="V229" s="45" t="n"/>
      <c r="W229" s="45" t="n"/>
      <c r="X229" s="45" t="n"/>
      <c r="Y229" s="45" t="n"/>
      <c r="Z229" s="45" t="n">
        <v>0.887520716424854</v>
      </c>
      <c r="AA229" s="45" t="n"/>
      <c r="AB229" s="45" t="n">
        <v>0.94524763397782</v>
      </c>
      <c r="AC229" s="45" t="n"/>
      <c r="AD229" s="45" t="n"/>
      <c r="AE229" s="45" t="n">
        <v>0.967116132511994</v>
      </c>
      <c r="AF229" s="75">
        <f>IFERROR(AVERAGE(L229:U229),"")</f>
        <v/>
      </c>
      <c r="AG229" s="75">
        <f>IFERROR(AVERAGE(V229:AE229),"")</f>
        <v/>
      </c>
      <c r="AH229" s="75">
        <f>IFERROR(AVERAGE(B229:K229),"")</f>
        <v/>
      </c>
      <c r="AI229" s="45" t="n">
        <v>0.944793701171875</v>
      </c>
      <c r="AJ229" s="47" t="n">
        <v>0</v>
      </c>
    </row>
    <row r="230" ht="15" customHeight="1" s="30">
      <c r="A230" s="73" t="inlineStr">
        <is>
          <t>7911.jpg</t>
        </is>
      </c>
      <c r="B230" s="45" t="n"/>
      <c r="C230" s="45" t="n"/>
      <c r="D230" s="45" t="n"/>
      <c r="E230" s="45" t="n"/>
      <c r="F230" s="45" t="n">
        <v>0</v>
      </c>
      <c r="G230" s="45" t="n"/>
      <c r="H230" s="45" t="n">
        <v>0</v>
      </c>
      <c r="I230" s="45" t="n"/>
      <c r="J230" s="45" t="n"/>
      <c r="K230" s="45" t="n">
        <v>0.962911941141453</v>
      </c>
      <c r="L230" s="45" t="n"/>
      <c r="M230" s="45" t="n"/>
      <c r="N230" s="45" t="n"/>
      <c r="O230" s="45" t="n"/>
      <c r="P230" s="45" t="n">
        <v>0</v>
      </c>
      <c r="Q230" s="45" t="n"/>
      <c r="R230" s="45" t="n"/>
      <c r="S230" s="45" t="n"/>
      <c r="T230" s="45" t="n"/>
      <c r="U230" s="45" t="n">
        <v>0.972332792576865</v>
      </c>
      <c r="V230" s="45" t="n"/>
      <c r="W230" s="45" t="n"/>
      <c r="X230" s="45" t="n"/>
      <c r="Y230" s="45" t="n"/>
      <c r="Z230" s="45" t="n"/>
      <c r="AA230" s="45" t="n"/>
      <c r="AB230" s="45" t="n">
        <v>0</v>
      </c>
      <c r="AC230" s="45" t="n"/>
      <c r="AD230" s="45" t="n"/>
      <c r="AE230" s="45" t="n">
        <v>0.990038136790232</v>
      </c>
      <c r="AF230" s="75">
        <f>IFERROR(AVERAGE(L230:U230),"")</f>
        <v/>
      </c>
      <c r="AG230" s="75">
        <f>IFERROR(AVERAGE(V230:AE230),"")</f>
        <v/>
      </c>
      <c r="AH230" s="75">
        <f>IFERROR(AVERAGE(B230:K230),"")</f>
        <v/>
      </c>
      <c r="AI230" s="45" t="n">
        <v>0.962574005126953</v>
      </c>
      <c r="AJ230" s="47" t="n">
        <v>0</v>
      </c>
    </row>
    <row r="231" ht="15" customHeight="1" s="30">
      <c r="A231" s="73" t="inlineStr">
        <is>
          <t>7915.jpg</t>
        </is>
      </c>
      <c r="B231" s="45" t="n"/>
      <c r="C231" s="45" t="n"/>
      <c r="D231" s="45" t="n"/>
      <c r="E231" s="45" t="n"/>
      <c r="F231" s="45" t="n">
        <v>0.665783859339366</v>
      </c>
      <c r="G231" s="45" t="n"/>
      <c r="H231" s="45" t="n">
        <v>0</v>
      </c>
      <c r="I231" s="45" t="n"/>
      <c r="J231" s="45" t="n"/>
      <c r="K231" s="45" t="n">
        <v>0.922740167684734</v>
      </c>
      <c r="L231" s="45" t="n"/>
      <c r="M231" s="45" t="n"/>
      <c r="N231" s="45" t="n"/>
      <c r="O231" s="45" t="n"/>
      <c r="P231" s="45" t="n">
        <v>0.95393696637504</v>
      </c>
      <c r="Q231" s="45" t="n"/>
      <c r="R231" s="45" t="n">
        <v>0</v>
      </c>
      <c r="S231" s="45" t="n"/>
      <c r="T231" s="45" t="n"/>
      <c r="U231" s="45" t="n">
        <v>0.982722200247427</v>
      </c>
      <c r="V231" s="45" t="n"/>
      <c r="W231" s="45" t="n"/>
      <c r="X231" s="45" t="n"/>
      <c r="Y231" s="45" t="n"/>
      <c r="Z231" s="45" t="n">
        <v>0.687899057464275</v>
      </c>
      <c r="AA231" s="45" t="n"/>
      <c r="AB231" s="45" t="n"/>
      <c r="AC231" s="45" t="n"/>
      <c r="AD231" s="45" t="n"/>
      <c r="AE231" s="45" t="n">
        <v>0.937956849326072</v>
      </c>
      <c r="AF231" s="75">
        <f>IFERROR(AVERAGE(L231:U231),"")</f>
        <v/>
      </c>
      <c r="AG231" s="75">
        <f>IFERROR(AVERAGE(V231:AE231),"")</f>
        <v/>
      </c>
      <c r="AH231" s="75">
        <f>IFERROR(AVERAGE(B231:K231),"")</f>
        <v/>
      </c>
      <c r="AI231" s="45" t="n">
        <v>0.925407409667969</v>
      </c>
      <c r="AJ231" s="47" t="n">
        <v>0</v>
      </c>
    </row>
    <row r="232" ht="15" customHeight="1" s="30">
      <c r="A232" s="73" t="inlineStr">
        <is>
          <t>7928.jpg</t>
        </is>
      </c>
      <c r="B232" s="45" t="n"/>
      <c r="C232" s="45" t="n"/>
      <c r="D232" s="45" t="n"/>
      <c r="E232" s="45" t="n"/>
      <c r="F232" s="45" t="n"/>
      <c r="G232" s="45" t="n"/>
      <c r="H232" s="45" t="n">
        <v>0.836825645035184</v>
      </c>
      <c r="I232" s="45" t="n"/>
      <c r="J232" s="45" t="n"/>
      <c r="K232" s="45" t="n">
        <v>0.982661648763386</v>
      </c>
      <c r="L232" s="45" t="n"/>
      <c r="M232" s="45" t="n"/>
      <c r="N232" s="45" t="n"/>
      <c r="O232" s="45" t="n"/>
      <c r="P232" s="45" t="n"/>
      <c r="Q232" s="45" t="n"/>
      <c r="R232" s="45" t="n">
        <v>0.924585348997927</v>
      </c>
      <c r="S232" s="45" t="n"/>
      <c r="T232" s="45" t="n"/>
      <c r="U232" s="45" t="n">
        <v>0.989840664122649</v>
      </c>
      <c r="V232" s="45" t="n"/>
      <c r="W232" s="45" t="n"/>
      <c r="X232" s="45" t="n"/>
      <c r="Y232" s="45" t="n"/>
      <c r="Z232" s="45" t="n"/>
      <c r="AA232" s="45" t="n"/>
      <c r="AB232" s="45" t="n">
        <v>0.898128723672065</v>
      </c>
      <c r="AC232" s="45" t="n"/>
      <c r="AD232" s="45" t="n"/>
      <c r="AE232" s="45" t="n">
        <v>0.9926734085854561</v>
      </c>
      <c r="AF232" s="75">
        <f>IFERROR(AVERAGE(L232:U232),"")</f>
        <v/>
      </c>
      <c r="AG232" s="75">
        <f>IFERROR(AVERAGE(V232:AE232),"")</f>
        <v/>
      </c>
      <c r="AH232" s="75">
        <f>IFERROR(AVERAGE(B232:K232),"")</f>
        <v/>
      </c>
      <c r="AI232" s="45" t="n">
        <v>0.984077453613281</v>
      </c>
      <c r="AJ232" s="47" t="n">
        <v>0</v>
      </c>
    </row>
    <row r="233" ht="15" customHeight="1" s="30">
      <c r="A233" s="73" t="inlineStr">
        <is>
          <t>7935.jpg</t>
        </is>
      </c>
      <c r="B233" s="45" t="n"/>
      <c r="C233" s="45" t="n"/>
      <c r="D233" s="45" t="n"/>
      <c r="E233" s="45" t="n"/>
      <c r="F233" s="45" t="n"/>
      <c r="G233" s="45" t="n">
        <v>0.943206785550049</v>
      </c>
      <c r="H233" s="45" t="n">
        <v>0.877326689139675</v>
      </c>
      <c r="I233" s="45" t="n"/>
      <c r="J233" s="45" t="n"/>
      <c r="K233" s="45" t="n">
        <v>0.95916007232254</v>
      </c>
      <c r="L233" s="45" t="n"/>
      <c r="M233" s="45" t="n"/>
      <c r="N233" s="45" t="n"/>
      <c r="O233" s="45" t="n"/>
      <c r="P233" s="45" t="n"/>
      <c r="Q233" s="45" t="n">
        <v>0.994089691290709</v>
      </c>
      <c r="R233" s="45" t="n">
        <v>0.94555602358888</v>
      </c>
      <c r="S233" s="45" t="n"/>
      <c r="T233" s="45" t="n"/>
      <c r="U233" s="45" t="n">
        <v>0.967526276831976</v>
      </c>
      <c r="V233" s="45" t="n"/>
      <c r="W233" s="45" t="n"/>
      <c r="X233" s="45" t="n"/>
      <c r="Y233" s="45" t="n"/>
      <c r="Z233" s="45" t="n"/>
      <c r="AA233" s="45" t="n">
        <v>0.94852591688612</v>
      </c>
      <c r="AB233" s="45" t="n">
        <v>0.92400308721379</v>
      </c>
      <c r="AC233" s="45" t="n"/>
      <c r="AD233" s="45" t="n"/>
      <c r="AE233" s="45" t="n">
        <v>0.991065362965839</v>
      </c>
      <c r="AF233" s="75">
        <f>IFERROR(AVERAGE(L233:U233),"")</f>
        <v/>
      </c>
      <c r="AG233" s="75">
        <f>IFERROR(AVERAGE(V233:AE233),"")</f>
        <v/>
      </c>
      <c r="AH233" s="75">
        <f>IFERROR(AVERAGE(B233:K233),"")</f>
        <v/>
      </c>
      <c r="AI233" s="45" t="n">
        <v>0.973461151123047</v>
      </c>
      <c r="AJ233" s="47" t="n">
        <v>0</v>
      </c>
    </row>
    <row r="234" ht="15" customHeight="1" s="30">
      <c r="A234" s="73" t="inlineStr">
        <is>
          <t>7946.jpg</t>
        </is>
      </c>
      <c r="B234" s="45" t="n"/>
      <c r="C234" s="45" t="n"/>
      <c r="D234" s="45" t="n"/>
      <c r="E234" s="45" t="n"/>
      <c r="F234" s="45" t="n"/>
      <c r="G234" s="45" t="n">
        <v>0.975858492740263</v>
      </c>
      <c r="H234" s="45" t="n">
        <v>0.447497123130035</v>
      </c>
      <c r="I234" s="45" t="n"/>
      <c r="J234" s="45" t="n"/>
      <c r="K234" s="45" t="n">
        <v>0.956418719620108</v>
      </c>
      <c r="L234" s="45" t="n"/>
      <c r="M234" s="45" t="n"/>
      <c r="N234" s="45" t="n"/>
      <c r="O234" s="45" t="n"/>
      <c r="P234" s="45" t="n"/>
      <c r="Q234" s="45" t="n">
        <v>0.999980319609541</v>
      </c>
      <c r="R234" s="45" t="n">
        <v>0.85502267417892</v>
      </c>
      <c r="S234" s="45" t="n"/>
      <c r="T234" s="45" t="n"/>
      <c r="U234" s="45" t="n">
        <v>0.961368258557742</v>
      </c>
      <c r="V234" s="45" t="n"/>
      <c r="W234" s="45" t="n"/>
      <c r="X234" s="45" t="n"/>
      <c r="Y234" s="45" t="n"/>
      <c r="Z234" s="45" t="n"/>
      <c r="AA234" s="45" t="n">
        <v>0.9758772351009281</v>
      </c>
      <c r="AB234" s="45" t="n">
        <v>0.484240018678496</v>
      </c>
      <c r="AC234" s="45" t="n"/>
      <c r="AD234" s="45" t="n"/>
      <c r="AE234" s="45" t="n">
        <v>0.994645790658527</v>
      </c>
      <c r="AF234" s="75">
        <f>IFERROR(AVERAGE(L234:U234),"")</f>
        <v/>
      </c>
      <c r="AG234" s="75">
        <f>IFERROR(AVERAGE(V234:AE234),"")</f>
        <v/>
      </c>
      <c r="AH234" s="75">
        <f>IFERROR(AVERAGE(B234:K234),"")</f>
        <v/>
      </c>
      <c r="AI234" s="45" t="n">
        <v>0.965900421142578</v>
      </c>
      <c r="AJ234" s="47" t="n">
        <v>0</v>
      </c>
    </row>
    <row r="235" ht="15" customHeight="1" s="30">
      <c r="A235" s="73" t="inlineStr">
        <is>
          <t>7956.jpg</t>
        </is>
      </c>
      <c r="B235" s="45" t="n"/>
      <c r="C235" s="45" t="n"/>
      <c r="D235" s="45" t="n"/>
      <c r="E235" s="45" t="n"/>
      <c r="F235" s="45" t="n">
        <v>0</v>
      </c>
      <c r="G235" s="45" t="n"/>
      <c r="H235" s="45" t="n">
        <v>0</v>
      </c>
      <c r="I235" s="45" t="n"/>
      <c r="J235" s="45" t="n"/>
      <c r="K235" s="45" t="n">
        <v>0.9937591552734381</v>
      </c>
      <c r="L235" s="45" t="n"/>
      <c r="M235" s="45" t="n"/>
      <c r="N235" s="45" t="n"/>
      <c r="O235" s="45" t="n"/>
      <c r="P235" s="45" t="n">
        <v>0</v>
      </c>
      <c r="Q235" s="45" t="n"/>
      <c r="R235" s="45" t="n">
        <v>0</v>
      </c>
      <c r="S235" s="45" t="n"/>
      <c r="T235" s="45" t="n"/>
      <c r="U235" s="45" t="n">
        <v>0.997732669475297</v>
      </c>
      <c r="V235" s="45" t="n"/>
      <c r="W235" s="45" t="n"/>
      <c r="X235" s="45" t="n"/>
      <c r="Y235" s="45" t="n"/>
      <c r="Z235" s="45" t="n"/>
      <c r="AA235" s="45" t="n"/>
      <c r="AB235" s="45" t="n">
        <v>0</v>
      </c>
      <c r="AC235" s="45" t="n"/>
      <c r="AD235" s="45" t="n"/>
      <c r="AE235" s="45" t="n">
        <v>0.996008441915948</v>
      </c>
      <c r="AF235" s="75">
        <f>IFERROR(AVERAGE(L235:U235),"")</f>
        <v/>
      </c>
      <c r="AG235" s="75">
        <f>IFERROR(AVERAGE(V235:AE235),"")</f>
        <v/>
      </c>
      <c r="AH235" s="75">
        <f>IFERROR(AVERAGE(B235:K235),"")</f>
        <v/>
      </c>
      <c r="AI235" s="45" t="n">
        <v>0.9937591552734381</v>
      </c>
      <c r="AJ235" s="47" t="n">
        <v>0</v>
      </c>
    </row>
    <row r="236" ht="15" customHeight="1" s="30">
      <c r="A236" s="73" t="inlineStr">
        <is>
          <t>7957.jpg</t>
        </is>
      </c>
      <c r="B236" s="45" t="n"/>
      <c r="C236" s="45" t="n"/>
      <c r="D236" s="45" t="n"/>
      <c r="E236" s="45" t="n"/>
      <c r="F236" s="45" t="n"/>
      <c r="G236" s="45" t="n"/>
      <c r="H236" s="45" t="n">
        <v>0</v>
      </c>
      <c r="I236" s="45" t="n"/>
      <c r="J236" s="45" t="n"/>
      <c r="K236" s="45" t="n">
        <v>0.9882659912109381</v>
      </c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>
        <v>0.9882659912109381</v>
      </c>
      <c r="V236" s="45" t="n"/>
      <c r="W236" s="45" t="n"/>
      <c r="X236" s="45" t="n"/>
      <c r="Y236" s="45" t="n"/>
      <c r="Z236" s="45" t="n"/>
      <c r="AA236" s="45" t="n"/>
      <c r="AB236" s="45" t="n">
        <v>0</v>
      </c>
      <c r="AC236" s="45" t="n"/>
      <c r="AD236" s="45" t="n"/>
      <c r="AE236" s="45" t="n">
        <v>1</v>
      </c>
      <c r="AF236" s="75">
        <f>IFERROR(AVERAGE(L236:U236),"")</f>
        <v/>
      </c>
      <c r="AG236" s="75">
        <f>IFERROR(AVERAGE(V236:AE236),"")</f>
        <v/>
      </c>
      <c r="AH236" s="75">
        <f>IFERROR(AVERAGE(B236:K236),"")</f>
        <v/>
      </c>
      <c r="AI236" s="45" t="n">
        <v>0.9882659912109381</v>
      </c>
      <c r="AJ236" s="47" t="n">
        <v>0</v>
      </c>
    </row>
    <row r="237" ht="15" customHeight="1" s="30">
      <c r="A237" s="73" t="inlineStr">
        <is>
          <t>7960.jpg</t>
        </is>
      </c>
      <c r="B237" s="45" t="n"/>
      <c r="C237" s="45" t="n"/>
      <c r="D237" s="45" t="n"/>
      <c r="E237" s="45" t="n"/>
      <c r="F237" s="45" t="n"/>
      <c r="G237" s="45" t="n"/>
      <c r="H237" s="45" t="n">
        <v>0.194369973190349</v>
      </c>
      <c r="I237" s="45" t="n"/>
      <c r="J237" s="45" t="n"/>
      <c r="K237" s="45" t="n">
        <v>0.986198397085053</v>
      </c>
      <c r="L237" s="45" t="n"/>
      <c r="M237" s="45" t="n"/>
      <c r="N237" s="45" t="n"/>
      <c r="O237" s="45" t="n"/>
      <c r="P237" s="45" t="n"/>
      <c r="Q237" s="45" t="n"/>
      <c r="R237" s="45" t="n">
        <v>1</v>
      </c>
      <c r="S237" s="45" t="n"/>
      <c r="T237" s="45" t="n"/>
      <c r="U237" s="45" t="n">
        <v>0.986198397085053</v>
      </c>
      <c r="V237" s="45" t="n"/>
      <c r="W237" s="45" t="n"/>
      <c r="X237" s="45" t="n"/>
      <c r="Y237" s="45" t="n"/>
      <c r="Z237" s="45" t="n"/>
      <c r="AA237" s="45" t="n"/>
      <c r="AB237" s="45" t="n">
        <v>0.194369973190349</v>
      </c>
      <c r="AC237" s="45" t="n"/>
      <c r="AD237" s="45" t="n"/>
      <c r="AE237" s="45" t="n">
        <v>1</v>
      </c>
      <c r="AF237" s="75">
        <f>IFERROR(AVERAGE(L237:U237),"")</f>
        <v/>
      </c>
      <c r="AG237" s="75">
        <f>IFERROR(AVERAGE(V237:AE237),"")</f>
        <v/>
      </c>
      <c r="AH237" s="75">
        <f>IFERROR(AVERAGE(B237:K237),"")</f>
        <v/>
      </c>
      <c r="AI237" s="45" t="n">
        <v>0.986244201660156</v>
      </c>
      <c r="AJ237" s="47" t="n">
        <v>0</v>
      </c>
    </row>
    <row r="238" ht="15" customHeight="1" s="30">
      <c r="A238" s="73" t="inlineStr">
        <is>
          <t>7961.jpg</t>
        </is>
      </c>
      <c r="B238" s="45" t="n"/>
      <c r="C238" s="45" t="n"/>
      <c r="D238" s="45" t="n"/>
      <c r="E238" s="45" t="n"/>
      <c r="F238" s="45" t="n"/>
      <c r="G238" s="45" t="n"/>
      <c r="H238" s="45" t="n">
        <v>0</v>
      </c>
      <c r="I238" s="45" t="n"/>
      <c r="J238" s="45" t="n"/>
      <c r="K238" s="45" t="n">
        <v>0.9974212646484381</v>
      </c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>
        <v>0.9974212646484381</v>
      </c>
      <c r="V238" s="45" t="n"/>
      <c r="W238" s="45" t="n"/>
      <c r="X238" s="45" t="n"/>
      <c r="Y238" s="45" t="n"/>
      <c r="Z238" s="45" t="n"/>
      <c r="AA238" s="45" t="n"/>
      <c r="AB238" s="45" t="n">
        <v>0</v>
      </c>
      <c r="AC238" s="45" t="n"/>
      <c r="AD238" s="45" t="n"/>
      <c r="AE238" s="45" t="n">
        <v>1</v>
      </c>
      <c r="AF238" s="75">
        <f>IFERROR(AVERAGE(L238:U238),"")</f>
        <v/>
      </c>
      <c r="AG238" s="75">
        <f>IFERROR(AVERAGE(V238:AE238),"")</f>
        <v/>
      </c>
      <c r="AH238" s="75">
        <f>IFERROR(AVERAGE(B238:K238),"")</f>
        <v/>
      </c>
      <c r="AI238" s="45" t="n">
        <v>0.9974212646484381</v>
      </c>
      <c r="AJ238" s="47" t="n">
        <v>0</v>
      </c>
    </row>
    <row r="239" ht="15" customHeight="1" s="30">
      <c r="A239" s="73" t="inlineStr">
        <is>
          <t>7964.jpg</t>
        </is>
      </c>
      <c r="B239" s="45" t="n"/>
      <c r="C239" s="45" t="n"/>
      <c r="D239" s="45" t="n"/>
      <c r="E239" s="45" t="n"/>
      <c r="F239" s="45" t="n"/>
      <c r="G239" s="45" t="n"/>
      <c r="H239" s="45" t="n">
        <v>0</v>
      </c>
      <c r="I239" s="45" t="n"/>
      <c r="J239" s="45" t="n"/>
      <c r="K239" s="45" t="n">
        <v>0.8773040771484381</v>
      </c>
      <c r="L239" s="45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5" t="n">
        <v>0.8773040771484381</v>
      </c>
      <c r="V239" s="45" t="n"/>
      <c r="W239" s="45" t="n"/>
      <c r="X239" s="45" t="n"/>
      <c r="Y239" s="45" t="n"/>
      <c r="Z239" s="45" t="n"/>
      <c r="AA239" s="45" t="n"/>
      <c r="AB239" s="45" t="n">
        <v>0</v>
      </c>
      <c r="AC239" s="45" t="n"/>
      <c r="AD239" s="45" t="n"/>
      <c r="AE239" s="45" t="n">
        <v>1</v>
      </c>
      <c r="AF239" s="75">
        <f>IFERROR(AVERAGE(L239:U239),"")</f>
        <v/>
      </c>
      <c r="AG239" s="75">
        <f>IFERROR(AVERAGE(V239:AE239),"")</f>
        <v/>
      </c>
      <c r="AH239" s="75">
        <f>IFERROR(AVERAGE(B239:K239),"")</f>
        <v/>
      </c>
      <c r="AI239" s="45" t="n">
        <v>0.8773040771484381</v>
      </c>
      <c r="AJ239" s="47" t="n">
        <v>0</v>
      </c>
    </row>
    <row r="240" ht="15" customHeight="1" s="30">
      <c r="A240" s="73" t="inlineStr">
        <is>
          <t>7969.jpg</t>
        </is>
      </c>
      <c r="B240" s="45" t="n"/>
      <c r="C240" s="45" t="n"/>
      <c r="D240" s="45" t="n"/>
      <c r="E240" s="45" t="n"/>
      <c r="F240" s="45" t="n"/>
      <c r="G240" s="45" t="n"/>
      <c r="H240" s="45" t="n">
        <v>0</v>
      </c>
      <c r="I240" s="45" t="n"/>
      <c r="J240" s="45" t="n"/>
      <c r="K240" s="45" t="n">
        <v>0.995662689208984</v>
      </c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>
        <v>0.995662689208984</v>
      </c>
      <c r="V240" s="45" t="n"/>
      <c r="W240" s="45" t="n"/>
      <c r="X240" s="45" t="n"/>
      <c r="Y240" s="45" t="n"/>
      <c r="Z240" s="45" t="n"/>
      <c r="AA240" s="45" t="n"/>
      <c r="AB240" s="45" t="n">
        <v>0</v>
      </c>
      <c r="AC240" s="45" t="n"/>
      <c r="AD240" s="45" t="n"/>
      <c r="AE240" s="45" t="n">
        <v>1</v>
      </c>
      <c r="AF240" s="75">
        <f>IFERROR(AVERAGE(L240:U240),"")</f>
        <v/>
      </c>
      <c r="AG240" s="75">
        <f>IFERROR(AVERAGE(V240:AE240),"")</f>
        <v/>
      </c>
      <c r="AH240" s="75">
        <f>IFERROR(AVERAGE(B240:K240),"")</f>
        <v/>
      </c>
      <c r="AI240" s="45" t="n">
        <v>0.995662689208984</v>
      </c>
      <c r="AJ240" s="47" t="n">
        <v>0</v>
      </c>
    </row>
    <row r="241" ht="15" customHeight="1" s="30">
      <c r="A241" s="73" t="inlineStr">
        <is>
          <t>7983.jpg</t>
        </is>
      </c>
      <c r="B241" s="45" t="n"/>
      <c r="C241" s="45" t="n"/>
      <c r="D241" s="45" t="n"/>
      <c r="E241" s="45" t="n"/>
      <c r="F241" s="45" t="n">
        <v>0.929476923076923</v>
      </c>
      <c r="G241" s="45" t="n"/>
      <c r="H241" s="45" t="n">
        <v>0.91467265383117</v>
      </c>
      <c r="I241" s="45" t="n"/>
      <c r="J241" s="45" t="n"/>
      <c r="K241" s="45" t="n">
        <v>0.892935548931765</v>
      </c>
      <c r="L241" s="45" t="n"/>
      <c r="M241" s="45" t="n"/>
      <c r="N241" s="45" t="n"/>
      <c r="O241" s="45" t="n"/>
      <c r="P241" s="45" t="n">
        <v>0.939727177987588</v>
      </c>
      <c r="Q241" s="45" t="n"/>
      <c r="R241" s="45" t="n">
        <v>0.937322057046804</v>
      </c>
      <c r="S241" s="45" t="n"/>
      <c r="T241" s="45" t="n"/>
      <c r="U241" s="45" t="n">
        <v>0.974568512097246</v>
      </c>
      <c r="V241" s="45" t="n"/>
      <c r="W241" s="45" t="n"/>
      <c r="X241" s="45" t="n"/>
      <c r="Y241" s="45" t="n"/>
      <c r="Z241" s="45" t="n">
        <v>0.98840081799591</v>
      </c>
      <c r="AA241" s="45" t="n"/>
      <c r="AB241" s="45" t="n">
        <v>0.974261815322792</v>
      </c>
      <c r="AC241" s="45" t="n"/>
      <c r="AD241" s="45" t="n"/>
      <c r="AE241" s="45" t="n">
        <v>0.914238462030463</v>
      </c>
      <c r="AF241" s="75">
        <f>IFERROR(AVERAGE(L241:U241),"")</f>
        <v/>
      </c>
      <c r="AG241" s="75">
        <f>IFERROR(AVERAGE(V241:AE241),"")</f>
        <v/>
      </c>
      <c r="AH241" s="75">
        <f>IFERROR(AVERAGE(B241:K241),"")</f>
        <v/>
      </c>
      <c r="AI241" s="45" t="n">
        <v>0.9524993896484381</v>
      </c>
      <c r="AJ241" s="47" t="n">
        <v>0</v>
      </c>
    </row>
    <row r="242" ht="15" customHeight="1" s="30">
      <c r="A242" s="73" t="inlineStr">
        <is>
          <t>7985.jpg</t>
        </is>
      </c>
      <c r="B242" s="45" t="n"/>
      <c r="C242" s="45" t="n"/>
      <c r="D242" s="45" t="n"/>
      <c r="E242" s="45" t="n"/>
      <c r="F242" s="45" t="n">
        <v>0.962219568369871</v>
      </c>
      <c r="G242" s="45" t="n"/>
      <c r="H242" s="45" t="n">
        <v>0.788667059637612</v>
      </c>
      <c r="I242" s="45" t="n">
        <v>0.754166666666667</v>
      </c>
      <c r="J242" s="45" t="n"/>
      <c r="K242" s="45" t="n">
        <v>0.89702445201812</v>
      </c>
      <c r="L242" s="45" t="n"/>
      <c r="M242" s="45" t="n"/>
      <c r="N242" s="45" t="n"/>
      <c r="O242" s="45" t="n"/>
      <c r="P242" s="45" t="n">
        <v>0.967592791154496</v>
      </c>
      <c r="Q242" s="45" t="n"/>
      <c r="R242" s="45" t="n">
        <v>0.81708353247305</v>
      </c>
      <c r="S242" s="45" t="n">
        <v>0.845794392523365</v>
      </c>
      <c r="T242" s="45" t="n"/>
      <c r="U242" s="45" t="n">
        <v>0.9839829947511211</v>
      </c>
      <c r="V242" s="45" t="n"/>
      <c r="W242" s="45" t="n"/>
      <c r="X242" s="45" t="n"/>
      <c r="Y242" s="45" t="n"/>
      <c r="Z242" s="45" t="n">
        <v>0.994261890491133</v>
      </c>
      <c r="AA242" s="45" t="n"/>
      <c r="AB242" s="45" t="n">
        <v>0.957765328353564</v>
      </c>
      <c r="AC242" s="45" t="n">
        <v>0.874396135265701</v>
      </c>
      <c r="AD242" s="45" t="n"/>
      <c r="AE242" s="45" t="n">
        <v>0.91031645405853</v>
      </c>
      <c r="AF242" s="75">
        <f>IFERROR(AVERAGE(L242:U242),"")</f>
        <v/>
      </c>
      <c r="AG242" s="75">
        <f>IFERROR(AVERAGE(V242:AE242),"")</f>
        <v/>
      </c>
      <c r="AH242" s="75">
        <f>IFERROR(AVERAGE(B242:K242),"")</f>
        <v/>
      </c>
      <c r="AI242" s="45" t="n">
        <v>0.9523773193359381</v>
      </c>
      <c r="AJ242" s="47" t="n">
        <v>0</v>
      </c>
    </row>
    <row r="243" ht="15" customHeight="1" s="30">
      <c r="A243" s="73" t="inlineStr">
        <is>
          <t>7986.jpg</t>
        </is>
      </c>
      <c r="B243" s="45" t="n"/>
      <c r="C243" s="45" t="n"/>
      <c r="D243" s="45" t="n"/>
      <c r="E243" s="45" t="n"/>
      <c r="F243" s="45" t="n">
        <v>0.980218506869724</v>
      </c>
      <c r="G243" s="45" t="n"/>
      <c r="H243" s="45" t="n">
        <v>0.894668122685405</v>
      </c>
      <c r="I243" s="45" t="n"/>
      <c r="J243" s="45" t="n"/>
      <c r="K243" s="45" t="n">
        <v>0.950844095587547</v>
      </c>
      <c r="L243" s="45" t="n"/>
      <c r="M243" s="45" t="n"/>
      <c r="N243" s="45" t="n"/>
      <c r="O243" s="45" t="n"/>
      <c r="P243" s="45" t="n">
        <v>0.985210792424228</v>
      </c>
      <c r="Q243" s="45" t="n"/>
      <c r="R243" s="45" t="n">
        <v>0.9388421105076979</v>
      </c>
      <c r="S243" s="45" t="n"/>
      <c r="T243" s="45" t="n"/>
      <c r="U243" s="45" t="n">
        <v>0.9813205640732769</v>
      </c>
      <c r="V243" s="45" t="n"/>
      <c r="W243" s="45" t="n"/>
      <c r="X243" s="45" t="n"/>
      <c r="Y243" s="45" t="n"/>
      <c r="Z243" s="45" t="n">
        <v>0.994857100188542</v>
      </c>
      <c r="AA243" s="45" t="n"/>
      <c r="AB243" s="45" t="n">
        <v>0.950036552471703</v>
      </c>
      <c r="AC243" s="45" t="n"/>
      <c r="AD243" s="45" t="n"/>
      <c r="AE243" s="45" t="n">
        <v>0.968370947744436</v>
      </c>
      <c r="AF243" s="75">
        <f>IFERROR(AVERAGE(L243:U243),"")</f>
        <v/>
      </c>
      <c r="AG243" s="75">
        <f>IFERROR(AVERAGE(V243:AE243),"")</f>
        <v/>
      </c>
      <c r="AH243" s="75">
        <f>IFERROR(AVERAGE(B243:K243),"")</f>
        <v/>
      </c>
      <c r="AI243" s="45" t="n">
        <v>0.976421356201172</v>
      </c>
      <c r="AJ243" s="47" t="n">
        <v>0</v>
      </c>
    </row>
    <row r="244" ht="15" customHeight="1" s="30">
      <c r="A244" s="73" t="inlineStr">
        <is>
          <t>7993.jpg</t>
        </is>
      </c>
      <c r="B244" s="45" t="n"/>
      <c r="C244" s="45" t="n"/>
      <c r="D244" s="45" t="n"/>
      <c r="E244" s="45" t="n"/>
      <c r="F244" s="45" t="n">
        <v>0.784511550236571</v>
      </c>
      <c r="G244" s="45" t="n"/>
      <c r="H244" s="45" t="n">
        <v>0.370360890708984</v>
      </c>
      <c r="I244" s="45" t="n"/>
      <c r="J244" s="45" t="n"/>
      <c r="K244" s="45" t="n">
        <v>0.963710574827518</v>
      </c>
      <c r="L244" s="45" t="n"/>
      <c r="M244" s="45" t="n"/>
      <c r="N244" s="45" t="n"/>
      <c r="O244" s="45" t="n"/>
      <c r="P244" s="45" t="n">
        <v>0.827492569080034</v>
      </c>
      <c r="Q244" s="45" t="n"/>
      <c r="R244" s="45" t="n">
        <v>0.505413901501921</v>
      </c>
      <c r="S244" s="45" t="n"/>
      <c r="T244" s="45" t="n"/>
      <c r="U244" s="45" t="n">
        <v>0.989091927767961</v>
      </c>
      <c r="V244" s="45" t="n"/>
      <c r="W244" s="45" t="n"/>
      <c r="X244" s="45" t="n"/>
      <c r="Y244" s="45" t="n"/>
      <c r="Z244" s="45" t="n">
        <v>0.937902923927962</v>
      </c>
      <c r="AA244" s="45" t="n"/>
      <c r="AB244" s="45" t="n">
        <v>0.58089120835006</v>
      </c>
      <c r="AC244" s="45" t="n"/>
      <c r="AD244" s="45" t="n"/>
      <c r="AE244" s="45" t="n">
        <v>0.974063070328085</v>
      </c>
      <c r="AF244" s="75">
        <f>IFERROR(AVERAGE(L244:U244),"")</f>
        <v/>
      </c>
      <c r="AG244" s="75">
        <f>IFERROR(AVERAGE(V244:AE244),"")</f>
        <v/>
      </c>
      <c r="AH244" s="75">
        <f>IFERROR(AVERAGE(B244:K244),"")</f>
        <v/>
      </c>
      <c r="AI244" s="45" t="n">
        <v>0.967010498046875</v>
      </c>
      <c r="AJ244" s="47" t="n">
        <v>0</v>
      </c>
    </row>
    <row r="245" ht="15" customHeight="1" s="30">
      <c r="A245" s="73" t="inlineStr">
        <is>
          <t>7995.jpg</t>
        </is>
      </c>
      <c r="B245" s="45" t="n"/>
      <c r="C245" s="45" t="n"/>
      <c r="D245" s="45" t="n"/>
      <c r="E245" s="45" t="n"/>
      <c r="F245" s="45" t="n">
        <v>0.905040340857583</v>
      </c>
      <c r="G245" s="45" t="n"/>
      <c r="H245" s="45" t="n">
        <v>0.647581361544052</v>
      </c>
      <c r="I245" s="45" t="n"/>
      <c r="J245" s="45" t="n"/>
      <c r="K245" s="45" t="n">
        <v>0.973317781167353</v>
      </c>
      <c r="L245" s="45" t="n"/>
      <c r="M245" s="45" t="n"/>
      <c r="N245" s="45" t="n"/>
      <c r="O245" s="45" t="n"/>
      <c r="P245" s="45" t="n">
        <v>0.9241842166165239</v>
      </c>
      <c r="Q245" s="45" t="n"/>
      <c r="R245" s="45" t="n">
        <v>0.668918918918919</v>
      </c>
      <c r="S245" s="45" t="n"/>
      <c r="T245" s="45" t="n"/>
      <c r="U245" s="45" t="n">
        <v>0.996740333667322</v>
      </c>
      <c r="V245" s="45" t="n"/>
      <c r="W245" s="45" t="n"/>
      <c r="X245" s="45" t="n"/>
      <c r="Y245" s="45" t="n"/>
      <c r="Z245" s="45" t="n">
        <v>0.977624363493929</v>
      </c>
      <c r="AA245" s="45" t="n"/>
      <c r="AB245" s="45" t="n">
        <v>0.953054433087711</v>
      </c>
      <c r="AC245" s="45" t="n"/>
      <c r="AD245" s="45" t="n"/>
      <c r="AE245" s="45" t="n">
        <v>0.976425809880586</v>
      </c>
      <c r="AF245" s="75">
        <f>IFERROR(AVERAGE(L245:U245),"")</f>
        <v/>
      </c>
      <c r="AG245" s="75">
        <f>IFERROR(AVERAGE(V245:AE245),"")</f>
        <v/>
      </c>
      <c r="AH245" s="75">
        <f>IFERROR(AVERAGE(B245:K245),"")</f>
        <v/>
      </c>
      <c r="AI245" s="45" t="n">
        <v>0.97576904296875</v>
      </c>
      <c r="AJ245" s="47" t="n">
        <v>0</v>
      </c>
    </row>
    <row r="246" ht="15" customHeight="1" s="30">
      <c r="A246" s="73" t="inlineStr">
        <is>
          <t>7997.jpg</t>
        </is>
      </c>
      <c r="B246" s="45" t="n"/>
      <c r="C246" s="45" t="n"/>
      <c r="D246" s="45" t="n"/>
      <c r="E246" s="45" t="n"/>
      <c r="F246" s="45" t="n">
        <v>0.87147652549777</v>
      </c>
      <c r="G246" s="45" t="n"/>
      <c r="H246" s="45" t="n">
        <v>0.862523540489642</v>
      </c>
      <c r="I246" s="45" t="n"/>
      <c r="J246" s="45" t="n"/>
      <c r="K246" s="45" t="n">
        <v>0.985335936505242</v>
      </c>
      <c r="L246" s="45" t="n"/>
      <c r="M246" s="45" t="n"/>
      <c r="N246" s="45" t="n"/>
      <c r="O246" s="45" t="n"/>
      <c r="P246" s="45" t="n">
        <v>0.872881355932203</v>
      </c>
      <c r="Q246" s="45" t="n"/>
      <c r="R246" s="45" t="n">
        <v>0.971883289124669</v>
      </c>
      <c r="S246" s="45" t="n"/>
      <c r="T246" s="45" t="n"/>
      <c r="U246" s="45" t="n">
        <v>0.996835443037975</v>
      </c>
      <c r="V246" s="45" t="n"/>
      <c r="W246" s="45" t="n"/>
      <c r="X246" s="45" t="n"/>
      <c r="Y246" s="45" t="n"/>
      <c r="Z246" s="45" t="n">
        <v>0.998156633486069</v>
      </c>
      <c r="AA246" s="45" t="n"/>
      <c r="AB246" s="45" t="n">
        <v>0.884596813133752</v>
      </c>
      <c r="AC246" s="45" t="n"/>
      <c r="AD246" s="45" t="n"/>
      <c r="AE246" s="45" t="n">
        <v>0.988427788634709</v>
      </c>
      <c r="AF246" s="75">
        <f>IFERROR(AVERAGE(L246:U246),"")</f>
        <v/>
      </c>
      <c r="AG246" s="75">
        <f>IFERROR(AVERAGE(V246:AE246),"")</f>
        <v/>
      </c>
      <c r="AH246" s="75">
        <f>IFERROR(AVERAGE(B246:K246),"")</f>
        <v/>
      </c>
      <c r="AI246" s="45" t="n">
        <v>0.985851287841797</v>
      </c>
      <c r="AJ246" s="47" t="n">
        <v>0</v>
      </c>
    </row>
    <row r="247" ht="15" customHeight="1" s="30">
      <c r="A247" s="73" t="inlineStr">
        <is>
          <t>8007.jpg</t>
        </is>
      </c>
      <c r="B247" s="45" t="n"/>
      <c r="C247" s="45" t="n"/>
      <c r="D247" s="45" t="n"/>
      <c r="E247" s="45" t="n"/>
      <c r="F247" s="45" t="n"/>
      <c r="G247" s="45" t="n"/>
      <c r="H247" s="45" t="n">
        <v>0</v>
      </c>
      <c r="I247" s="45" t="n"/>
      <c r="J247" s="45" t="n"/>
      <c r="K247" s="45" t="n">
        <v>0.997764587402344</v>
      </c>
      <c r="L247" s="45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5" t="n">
        <v>0.997764587402344</v>
      </c>
      <c r="V247" s="45" t="n"/>
      <c r="W247" s="45" t="n"/>
      <c r="X247" s="45" t="n"/>
      <c r="Y247" s="45" t="n"/>
      <c r="Z247" s="45" t="n"/>
      <c r="AA247" s="45" t="n"/>
      <c r="AB247" s="45" t="n">
        <v>0</v>
      </c>
      <c r="AC247" s="45" t="n"/>
      <c r="AD247" s="45" t="n"/>
      <c r="AE247" s="45" t="n">
        <v>1</v>
      </c>
      <c r="AF247" s="75">
        <f>IFERROR(AVERAGE(L247:U247),"")</f>
        <v/>
      </c>
      <c r="AG247" s="75">
        <f>IFERROR(AVERAGE(V247:AE247),"")</f>
        <v/>
      </c>
      <c r="AH247" s="75">
        <f>IFERROR(AVERAGE(B247:K247),"")</f>
        <v/>
      </c>
      <c r="AI247" s="45" t="n">
        <v>0.997764587402344</v>
      </c>
      <c r="AJ247" s="47" t="n">
        <v>0</v>
      </c>
    </row>
    <row r="248" ht="15" customHeight="1" s="30">
      <c r="A248" s="73" t="inlineStr">
        <is>
          <t>8017.jpg</t>
        </is>
      </c>
      <c r="B248" s="45" t="n"/>
      <c r="C248" s="45" t="n"/>
      <c r="D248" s="45" t="n"/>
      <c r="E248" s="45" t="n"/>
      <c r="F248" s="45" t="n"/>
      <c r="G248" s="45" t="n"/>
      <c r="H248" s="45" t="n">
        <v>0.839380669377541</v>
      </c>
      <c r="I248" s="45" t="n"/>
      <c r="J248" s="45" t="n"/>
      <c r="K248" s="45" t="n">
        <v>0.996000420598418</v>
      </c>
      <c r="L248" s="45" t="n"/>
      <c r="M248" s="45" t="n"/>
      <c r="N248" s="45" t="n"/>
      <c r="O248" s="45" t="n"/>
      <c r="P248" s="45" t="n"/>
      <c r="Q248" s="45" t="n"/>
      <c r="R248" s="45" t="n">
        <v>0.960107334525939</v>
      </c>
      <c r="S248" s="45" t="n"/>
      <c r="T248" s="45" t="n"/>
      <c r="U248" s="45" t="n">
        <v>0.99686615683248</v>
      </c>
      <c r="V248" s="45" t="n"/>
      <c r="W248" s="45" t="n"/>
      <c r="X248" s="45" t="n"/>
      <c r="Y248" s="45" t="n"/>
      <c r="Z248" s="45" t="n"/>
      <c r="AA248" s="45" t="n"/>
      <c r="AB248" s="45" t="n">
        <v>0.869713174526009</v>
      </c>
      <c r="AC248" s="45" t="n"/>
      <c r="AD248" s="45" t="n"/>
      <c r="AE248" s="45" t="n">
        <v>0.99912881436714</v>
      </c>
      <c r="AF248" s="75">
        <f>IFERROR(AVERAGE(L248:U248),"")</f>
        <v/>
      </c>
      <c r="AG248" s="75">
        <f>IFERROR(AVERAGE(V248:AE248),"")</f>
        <v/>
      </c>
      <c r="AH248" s="75">
        <f>IFERROR(AVERAGE(B248:K248),"")</f>
        <v/>
      </c>
      <c r="AI248" s="45" t="n">
        <v>0.996082305908203</v>
      </c>
      <c r="AJ248" s="47" t="n">
        <v>0</v>
      </c>
    </row>
    <row r="249" ht="15" customHeight="1" s="30">
      <c r="A249" s="73" t="inlineStr">
        <is>
          <t>8018.jpg</t>
        </is>
      </c>
      <c r="B249" s="45" t="n"/>
      <c r="C249" s="45" t="n"/>
      <c r="D249" s="45" t="n"/>
      <c r="E249" s="45" t="n"/>
      <c r="F249" s="45" t="n"/>
      <c r="G249" s="45" t="n"/>
      <c r="H249" s="45" t="n">
        <v>0.911448853294503</v>
      </c>
      <c r="I249" s="45" t="n"/>
      <c r="J249" s="45" t="n"/>
      <c r="K249" s="45" t="n">
        <v>0.99614086439878</v>
      </c>
      <c r="L249" s="45" t="n"/>
      <c r="M249" s="45" t="n"/>
      <c r="N249" s="45" t="n"/>
      <c r="O249" s="45" t="n"/>
      <c r="P249" s="45" t="n"/>
      <c r="Q249" s="45" t="n"/>
      <c r="R249" s="45" t="n">
        <v>0.991682344786613</v>
      </c>
      <c r="S249" s="45" t="n"/>
      <c r="T249" s="45" t="n"/>
      <c r="U249" s="45" t="n">
        <v>0.996472852070067</v>
      </c>
      <c r="V249" s="45" t="n"/>
      <c r="W249" s="45" t="n"/>
      <c r="X249" s="45" t="n"/>
      <c r="Y249" s="45" t="n"/>
      <c r="Z249" s="45" t="n"/>
      <c r="AA249" s="45" t="n"/>
      <c r="AB249" s="45" t="n">
        <v>0.918470286133529</v>
      </c>
      <c r="AC249" s="45" t="n"/>
      <c r="AD249" s="45" t="n"/>
      <c r="AE249" s="45" t="n">
        <v>0.99966565833466</v>
      </c>
      <c r="AF249" s="75">
        <f>IFERROR(AVERAGE(L249:U249),"")</f>
        <v/>
      </c>
      <c r="AG249" s="75">
        <f>IFERROR(AVERAGE(V249:AE249),"")</f>
        <v/>
      </c>
      <c r="AH249" s="75">
        <f>IFERROR(AVERAGE(B249:K249),"")</f>
        <v/>
      </c>
      <c r="AI249" s="45" t="n">
        <v>0.996288299560547</v>
      </c>
      <c r="AJ249" s="47" t="n">
        <v>0</v>
      </c>
    </row>
    <row r="250" ht="15" customHeight="1" s="30">
      <c r="A250" s="73" t="inlineStr">
        <is>
          <t>8021.jpg</t>
        </is>
      </c>
      <c r="B250" s="45" t="n"/>
      <c r="C250" s="45" t="n"/>
      <c r="D250" s="45" t="n"/>
      <c r="E250" s="45" t="n"/>
      <c r="F250" s="45" t="n"/>
      <c r="G250" s="45" t="n"/>
      <c r="H250" s="45" t="n">
        <v>0.928234453180843</v>
      </c>
      <c r="I250" s="45" t="n"/>
      <c r="J250" s="45" t="n"/>
      <c r="K250" s="45" t="n">
        <v>0.993793913419735</v>
      </c>
      <c r="L250" s="45" t="n"/>
      <c r="M250" s="45" t="n"/>
      <c r="N250" s="45" t="n"/>
      <c r="O250" s="45" t="n"/>
      <c r="P250" s="45" t="n"/>
      <c r="Q250" s="45" t="n"/>
      <c r="R250" s="45" t="n">
        <v>0.979385590024637</v>
      </c>
      <c r="S250" s="45" t="n"/>
      <c r="T250" s="45" t="n"/>
      <c r="U250" s="45" t="n">
        <v>0.9954758415718969</v>
      </c>
      <c r="V250" s="45" t="n"/>
      <c r="W250" s="45" t="n"/>
      <c r="X250" s="45" t="n"/>
      <c r="Y250" s="45" t="n"/>
      <c r="Z250" s="45" t="n"/>
      <c r="AA250" s="45" t="n"/>
      <c r="AB250" s="45" t="n">
        <v>0.946731470230863</v>
      </c>
      <c r="AC250" s="45" t="n"/>
      <c r="AD250" s="45" t="n"/>
      <c r="AE250" s="45" t="n">
        <v>0.9983027623577529</v>
      </c>
      <c r="AF250" s="75">
        <f>IFERROR(AVERAGE(L250:U250),"")</f>
        <v/>
      </c>
      <c r="AG250" s="75">
        <f>IFERROR(AVERAGE(V250:AE250),"")</f>
        <v/>
      </c>
      <c r="AH250" s="75">
        <f>IFERROR(AVERAGE(B250:K250),"")</f>
        <v/>
      </c>
      <c r="AI250" s="45" t="n">
        <v>0.994255065917969</v>
      </c>
      <c r="AJ250" s="47" t="n">
        <v>0</v>
      </c>
    </row>
    <row r="251" ht="15" customHeight="1" s="30">
      <c r="A251" s="73" t="inlineStr">
        <is>
          <t>8022.jpg</t>
        </is>
      </c>
      <c r="B251" s="45" t="n"/>
      <c r="C251" s="45" t="n"/>
      <c r="D251" s="45" t="n"/>
      <c r="E251" s="45" t="n"/>
      <c r="F251" s="45" t="n"/>
      <c r="G251" s="45" t="n"/>
      <c r="H251" s="45" t="n">
        <v>0.9406744988018</v>
      </c>
      <c r="I251" s="45" t="n"/>
      <c r="J251" s="45" t="n"/>
      <c r="K251" s="45" t="n">
        <v>0.995874822190612</v>
      </c>
      <c r="L251" s="45" t="n"/>
      <c r="M251" s="45" t="n"/>
      <c r="N251" s="45" t="n"/>
      <c r="O251" s="45" t="n"/>
      <c r="P251" s="45" t="n"/>
      <c r="Q251" s="45" t="n"/>
      <c r="R251" s="45" t="n">
        <v>0.98386110771488</v>
      </c>
      <c r="S251" s="45" t="n"/>
      <c r="T251" s="45" t="n"/>
      <c r="U251" s="45" t="n">
        <v>0.996944496431855</v>
      </c>
      <c r="V251" s="45" t="n"/>
      <c r="W251" s="45" t="n"/>
      <c r="X251" s="45" t="n"/>
      <c r="Y251" s="45" t="n"/>
      <c r="Z251" s="45" t="n"/>
      <c r="AA251" s="45" t="n"/>
      <c r="AB251" s="45" t="n">
        <v>0.955417037696646</v>
      </c>
      <c r="AC251" s="45" t="n"/>
      <c r="AD251" s="45" t="n"/>
      <c r="AE251" s="45" t="n">
        <v>0.9989237624287099</v>
      </c>
      <c r="AF251" s="75">
        <f>IFERROR(AVERAGE(L251:U251),"")</f>
        <v/>
      </c>
      <c r="AG251" s="75">
        <f>IFERROR(AVERAGE(V251:AE251),"")</f>
        <v/>
      </c>
      <c r="AH251" s="75">
        <f>IFERROR(AVERAGE(B251:K251),"")</f>
        <v/>
      </c>
      <c r="AI251" s="45" t="n">
        <v>0.996128082275391</v>
      </c>
      <c r="AJ251" s="47" t="n">
        <v>0</v>
      </c>
    </row>
    <row r="252" ht="15" customHeight="1" s="30">
      <c r="A252" s="73" t="inlineStr">
        <is>
          <t>8048.jpg</t>
        </is>
      </c>
      <c r="B252" s="45" t="n"/>
      <c r="C252" s="45" t="n"/>
      <c r="D252" s="45" t="n"/>
      <c r="E252" s="45" t="n"/>
      <c r="F252" s="45" t="n"/>
      <c r="G252" s="45" t="n"/>
      <c r="H252" s="45" t="n">
        <v>0</v>
      </c>
      <c r="I252" s="45" t="n"/>
      <c r="J252" s="45" t="n"/>
      <c r="K252" s="45" t="n">
        <v>0.998180389404297</v>
      </c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>
        <v>0.998180389404297</v>
      </c>
      <c r="V252" s="45" t="n"/>
      <c r="W252" s="45" t="n"/>
      <c r="X252" s="45" t="n"/>
      <c r="Y252" s="45" t="n"/>
      <c r="Z252" s="45" t="n"/>
      <c r="AA252" s="45" t="n"/>
      <c r="AB252" s="45" t="n">
        <v>0</v>
      </c>
      <c r="AC252" s="45" t="n"/>
      <c r="AD252" s="45" t="n"/>
      <c r="AE252" s="45" t="n">
        <v>1</v>
      </c>
      <c r="AF252" s="75">
        <f>IFERROR(AVERAGE(L252:U252),"")</f>
        <v/>
      </c>
      <c r="AG252" s="75">
        <f>IFERROR(AVERAGE(V252:AE252),"")</f>
        <v/>
      </c>
      <c r="AH252" s="75">
        <f>IFERROR(AVERAGE(B252:K252),"")</f>
        <v/>
      </c>
      <c r="AI252" s="45" t="n">
        <v>0.998180389404297</v>
      </c>
      <c r="AJ252" s="47" t="n">
        <v>0</v>
      </c>
    </row>
    <row r="253" ht="15" customHeight="1" s="30">
      <c r="A253" s="73" t="inlineStr">
        <is>
          <t>8062.jpg</t>
        </is>
      </c>
      <c r="B253" s="45" t="n"/>
      <c r="C253" s="45" t="n"/>
      <c r="D253" s="45" t="n"/>
      <c r="E253" s="45" t="n"/>
      <c r="F253" s="45" t="n"/>
      <c r="G253" s="45" t="n"/>
      <c r="H253" s="45" t="n">
        <v>0</v>
      </c>
      <c r="I253" s="45" t="n"/>
      <c r="J253" s="45" t="n"/>
      <c r="K253" s="45" t="n">
        <v>0.995429992675781</v>
      </c>
      <c r="L253" s="45" t="n"/>
      <c r="M253" s="45" t="n"/>
      <c r="N253" s="45" t="n"/>
      <c r="O253" s="45" t="n"/>
      <c r="P253" s="45" t="n"/>
      <c r="Q253" s="45" t="n"/>
      <c r="R253" s="45" t="n"/>
      <c r="S253" s="45" t="n"/>
      <c r="T253" s="45" t="n"/>
      <c r="U253" s="45" t="n">
        <v>0.995429992675781</v>
      </c>
      <c r="V253" s="45" t="n"/>
      <c r="W253" s="45" t="n"/>
      <c r="X253" s="45" t="n"/>
      <c r="Y253" s="45" t="n"/>
      <c r="Z253" s="45" t="n"/>
      <c r="AA253" s="45" t="n"/>
      <c r="AB253" s="45" t="n">
        <v>0</v>
      </c>
      <c r="AC253" s="45" t="n"/>
      <c r="AD253" s="45" t="n"/>
      <c r="AE253" s="45" t="n">
        <v>1</v>
      </c>
      <c r="AF253" s="75">
        <f>IFERROR(AVERAGE(L253:U253),"")</f>
        <v/>
      </c>
      <c r="AG253" s="75">
        <f>IFERROR(AVERAGE(V253:AE253),"")</f>
        <v/>
      </c>
      <c r="AH253" s="75">
        <f>IFERROR(AVERAGE(B253:K253),"")</f>
        <v/>
      </c>
      <c r="AI253" s="45" t="n">
        <v>0.995429992675781</v>
      </c>
      <c r="AJ253" s="47" t="n">
        <v>0</v>
      </c>
    </row>
    <row r="254" ht="15" customHeight="1" s="30">
      <c r="A254" s="73" t="inlineStr">
        <is>
          <t>8064.jpg</t>
        </is>
      </c>
      <c r="B254" s="45" t="n"/>
      <c r="C254" s="45" t="n"/>
      <c r="D254" s="45" t="n"/>
      <c r="E254" s="45" t="n"/>
      <c r="F254" s="45" t="n">
        <v>0.903664630760689</v>
      </c>
      <c r="G254" s="45" t="n"/>
      <c r="H254" s="45" t="n">
        <v>0</v>
      </c>
      <c r="I254" s="45" t="n"/>
      <c r="J254" s="45" t="n"/>
      <c r="K254" s="45" t="n">
        <v>0.995851503926393</v>
      </c>
      <c r="L254" s="45" t="n"/>
      <c r="M254" s="45" t="n"/>
      <c r="N254" s="45" t="n"/>
      <c r="O254" s="45" t="n"/>
      <c r="P254" s="45" t="n">
        <v>0.9948044009779951</v>
      </c>
      <c r="Q254" s="45" t="n"/>
      <c r="R254" s="45" t="n"/>
      <c r="S254" s="45" t="n"/>
      <c r="T254" s="45" t="n"/>
      <c r="U254" s="45" t="n">
        <v>0.995916901016719</v>
      </c>
      <c r="V254" s="45" t="n"/>
      <c r="W254" s="45" t="n"/>
      <c r="X254" s="45" t="n"/>
      <c r="Y254" s="45" t="n"/>
      <c r="Z254" s="45" t="n">
        <v>0.907949790794979</v>
      </c>
      <c r="AA254" s="45" t="n"/>
      <c r="AB254" s="45" t="n">
        <v>0</v>
      </c>
      <c r="AC254" s="45" t="n"/>
      <c r="AD254" s="45" t="n"/>
      <c r="AE254" s="45" t="n">
        <v>0.9999340655930991</v>
      </c>
      <c r="AF254" s="75">
        <f>IFERROR(AVERAGE(L254:U254),"")</f>
        <v/>
      </c>
      <c r="AG254" s="75">
        <f>IFERROR(AVERAGE(V254:AE254),"")</f>
        <v/>
      </c>
      <c r="AH254" s="75">
        <f>IFERROR(AVERAGE(B254:K254),"")</f>
        <v/>
      </c>
      <c r="AI254" s="45" t="n">
        <v>0.995903015136719</v>
      </c>
      <c r="AJ254" s="47" t="n">
        <v>0</v>
      </c>
    </row>
    <row r="255" ht="15" customHeight="1" s="30">
      <c r="A255" s="73" t="inlineStr">
        <is>
          <t>8066.jpg</t>
        </is>
      </c>
      <c r="B255" s="45" t="n"/>
      <c r="C255" s="45" t="n"/>
      <c r="D255" s="45" t="n"/>
      <c r="E255" s="45" t="n"/>
      <c r="F255" s="45" t="n">
        <v>0.9425129517508271</v>
      </c>
      <c r="G255" s="45" t="n"/>
      <c r="H255" s="45" t="n">
        <v>0</v>
      </c>
      <c r="I255" s="45" t="n"/>
      <c r="J255" s="45" t="n"/>
      <c r="K255" s="45" t="n">
        <v>0.990204174155211</v>
      </c>
      <c r="L255" s="45" t="n"/>
      <c r="M255" s="45" t="n"/>
      <c r="N255" s="45" t="n"/>
      <c r="O255" s="45" t="n"/>
      <c r="P255" s="45" t="n">
        <v>0.977219777375097</v>
      </c>
      <c r="Q255" s="45" t="n"/>
      <c r="R255" s="45" t="n"/>
      <c r="S255" s="45" t="n"/>
      <c r="T255" s="45" t="n"/>
      <c r="U255" s="45" t="n">
        <v>0.991617077165048</v>
      </c>
      <c r="V255" s="45" t="n"/>
      <c r="W255" s="45" t="n"/>
      <c r="X255" s="45" t="n"/>
      <c r="Y255" s="45" t="n"/>
      <c r="Z255" s="45" t="n">
        <v>0.963686259493267</v>
      </c>
      <c r="AA255" s="45" t="n"/>
      <c r="AB255" s="45" t="n">
        <v>0</v>
      </c>
      <c r="AC255" s="45" t="n"/>
      <c r="AD255" s="45" t="n"/>
      <c r="AE255" s="45" t="n">
        <v>0.998563124550976</v>
      </c>
      <c r="AF255" s="75">
        <f>IFERROR(AVERAGE(L255:U255),"")</f>
        <v/>
      </c>
      <c r="AG255" s="75">
        <f>IFERROR(AVERAGE(V255:AE255),"")</f>
        <v/>
      </c>
      <c r="AH255" s="75">
        <f>IFERROR(AVERAGE(B255:K255),"")</f>
        <v/>
      </c>
      <c r="AI255" s="45" t="n">
        <v>0.9907684326171881</v>
      </c>
      <c r="AJ255" s="47" t="n">
        <v>0</v>
      </c>
    </row>
    <row r="256" ht="15" customHeight="1" s="30">
      <c r="A256" s="73" t="inlineStr">
        <is>
          <t>8069.jpg</t>
        </is>
      </c>
      <c r="B256" s="45" t="n"/>
      <c r="C256" s="45" t="n"/>
      <c r="D256" s="45" t="n"/>
      <c r="E256" s="45" t="n"/>
      <c r="F256" s="45" t="n">
        <v>0.847227282664141</v>
      </c>
      <c r="G256" s="45" t="n"/>
      <c r="H256" s="45" t="n">
        <v>0.072966975590654</v>
      </c>
      <c r="I256" s="45" t="n"/>
      <c r="J256" s="45" t="n"/>
      <c r="K256" s="45" t="n">
        <v>0.922676401687366</v>
      </c>
      <c r="L256" s="45" t="n"/>
      <c r="M256" s="45" t="n"/>
      <c r="N256" s="45" t="n"/>
      <c r="O256" s="45" t="n"/>
      <c r="P256" s="45" t="n">
        <v>0.935019502191483</v>
      </c>
      <c r="Q256" s="45" t="n"/>
      <c r="R256" s="45" t="n">
        <v>0.985890652557319</v>
      </c>
      <c r="S256" s="45" t="n"/>
      <c r="T256" s="45" t="n"/>
      <c r="U256" s="45" t="n">
        <v>0.929029689888668</v>
      </c>
      <c r="V256" s="45" t="n"/>
      <c r="W256" s="45" t="n"/>
      <c r="X256" s="45" t="n"/>
      <c r="Y256" s="45" t="n"/>
      <c r="Z256" s="45" t="n">
        <v>0.900232288037166</v>
      </c>
      <c r="AA256" s="45" t="n"/>
      <c r="AB256" s="45" t="n">
        <v>0.0730432510126748</v>
      </c>
      <c r="AC256" s="45" t="n"/>
      <c r="AD256" s="45" t="n"/>
      <c r="AE256" s="45" t="n">
        <v>0.992642800260624</v>
      </c>
      <c r="AF256" s="75">
        <f>IFERROR(AVERAGE(L256:U256),"")</f>
        <v/>
      </c>
      <c r="AG256" s="75">
        <f>IFERROR(AVERAGE(V256:AE256),"")</f>
        <v/>
      </c>
      <c r="AH256" s="75">
        <f>IFERROR(AVERAGE(B256:K256),"")</f>
        <v/>
      </c>
      <c r="AI256" s="45" t="n">
        <v>0.929843902587891</v>
      </c>
      <c r="AJ256" s="47" t="n">
        <v>0</v>
      </c>
    </row>
    <row r="257" ht="15" customHeight="1" s="30">
      <c r="A257" s="73" t="inlineStr">
        <is>
          <t>8073.jpg</t>
        </is>
      </c>
      <c r="B257" s="45" t="n"/>
      <c r="C257" s="45" t="n"/>
      <c r="D257" s="45" t="n"/>
      <c r="E257" s="45" t="n"/>
      <c r="F257" s="45" t="n">
        <v>0.924012664555907</v>
      </c>
      <c r="G257" s="45" t="n"/>
      <c r="H257" s="45" t="n">
        <v>0.839707489283013</v>
      </c>
      <c r="I257" s="45" t="n"/>
      <c r="J257" s="45" t="n"/>
      <c r="K257" s="45" t="n">
        <v>0.976536226409943</v>
      </c>
      <c r="L257" s="45" t="n"/>
      <c r="M257" s="45" t="n"/>
      <c r="N257" s="45" t="n"/>
      <c r="O257" s="45" t="n"/>
      <c r="P257" s="45" t="n">
        <v>0.973191171953841</v>
      </c>
      <c r="Q257" s="45" t="n"/>
      <c r="R257" s="45" t="n">
        <v>0.849309245483528</v>
      </c>
      <c r="S257" s="45" t="n"/>
      <c r="T257" s="45" t="n"/>
      <c r="U257" s="45" t="n">
        <v>0.99425005096651</v>
      </c>
      <c r="V257" s="45" t="n"/>
      <c r="W257" s="45" t="n"/>
      <c r="X257" s="45" t="n"/>
      <c r="Y257" s="45" t="n"/>
      <c r="Z257" s="45" t="n">
        <v>0.948146881545762</v>
      </c>
      <c r="AA257" s="45" t="n"/>
      <c r="AB257" s="45" t="n">
        <v>0.986715393352758</v>
      </c>
      <c r="AC257" s="45" t="n"/>
      <c r="AD257" s="45" t="n"/>
      <c r="AE257" s="45" t="n">
        <v>0.982082543866875</v>
      </c>
      <c r="AF257" s="75">
        <f>IFERROR(AVERAGE(L257:U257),"")</f>
        <v/>
      </c>
      <c r="AG257" s="75">
        <f>IFERROR(AVERAGE(V257:AE257),"")</f>
        <v/>
      </c>
      <c r="AH257" s="75">
        <f>IFERROR(AVERAGE(B257:K257),"")</f>
        <v/>
      </c>
      <c r="AI257" s="45" t="n">
        <v>0.979412078857422</v>
      </c>
      <c r="AJ257" s="47" t="n">
        <v>0</v>
      </c>
    </row>
    <row r="258" ht="15" customHeight="1" s="30">
      <c r="A258" s="73" t="inlineStr">
        <is>
          <t>8076.jpg</t>
        </is>
      </c>
      <c r="B258" s="45" t="n"/>
      <c r="C258" s="45" t="n"/>
      <c r="D258" s="45" t="n"/>
      <c r="E258" s="45" t="n"/>
      <c r="F258" s="45" t="n">
        <v>0.900591010837883</v>
      </c>
      <c r="G258" s="45" t="n"/>
      <c r="H258" s="45" t="n"/>
      <c r="I258" s="45" t="n">
        <v>0.841441441441441</v>
      </c>
      <c r="J258" s="45" t="n"/>
      <c r="K258" s="45" t="n">
        <v>0.970762030130174</v>
      </c>
      <c r="L258" s="45" t="n"/>
      <c r="M258" s="45" t="n"/>
      <c r="N258" s="45" t="n"/>
      <c r="O258" s="45" t="n"/>
      <c r="P258" s="45" t="n">
        <v>0.931027019827859</v>
      </c>
      <c r="Q258" s="45" t="n"/>
      <c r="R258" s="45" t="n"/>
      <c r="S258" s="45" t="n">
        <v>0.929353233830846</v>
      </c>
      <c r="T258" s="45" t="n"/>
      <c r="U258" s="45" t="n">
        <v>0.990257221293865</v>
      </c>
      <c r="V258" s="45" t="n"/>
      <c r="W258" s="45" t="n"/>
      <c r="X258" s="45" t="n"/>
      <c r="Y258" s="45" t="n"/>
      <c r="Z258" s="45" t="n">
        <v>0.964972219346378</v>
      </c>
      <c r="AA258" s="45" t="n"/>
      <c r="AB258" s="45" t="n"/>
      <c r="AC258" s="45" t="n">
        <v>0.898941289701636</v>
      </c>
      <c r="AD258" s="45" t="n"/>
      <c r="AE258" s="45" t="n">
        <v>0.980123159620184</v>
      </c>
      <c r="AF258" s="75">
        <f>IFERROR(AVERAGE(L258:U258),"")</f>
        <v/>
      </c>
      <c r="AG258" s="75">
        <f>IFERROR(AVERAGE(V258:AE258),"")</f>
        <v/>
      </c>
      <c r="AH258" s="75">
        <f>IFERROR(AVERAGE(B258:K258),"")</f>
        <v/>
      </c>
      <c r="AI258" s="45" t="n">
        <v>0.976451873779297</v>
      </c>
      <c r="AJ258" s="47" t="n">
        <v>0</v>
      </c>
    </row>
    <row r="259" ht="15" customHeight="1" s="30">
      <c r="A259" s="73" t="inlineStr">
        <is>
          <t>8100.jpg</t>
        </is>
      </c>
      <c r="B259" s="45" t="n"/>
      <c r="C259" s="45" t="n"/>
      <c r="D259" s="45" t="n"/>
      <c r="E259" s="45" t="n"/>
      <c r="F259" s="45" t="n">
        <v>0.880429606899106</v>
      </c>
      <c r="G259" s="45" t="n"/>
      <c r="H259" s="45" t="n">
        <v>0</v>
      </c>
      <c r="I259" s="45" t="n"/>
      <c r="J259" s="45" t="n"/>
      <c r="K259" s="45" t="n">
        <v>0.988334154776113</v>
      </c>
      <c r="L259" s="45" t="n"/>
      <c r="M259" s="45" t="n"/>
      <c r="N259" s="45" t="n"/>
      <c r="O259" s="45" t="n"/>
      <c r="P259" s="45" t="n">
        <v>0.907756927776566</v>
      </c>
      <c r="Q259" s="45" t="n"/>
      <c r="R259" s="45" t="n">
        <v>0</v>
      </c>
      <c r="S259" s="45" t="n"/>
      <c r="T259" s="45" t="n"/>
      <c r="U259" s="45" t="n">
        <v>0.997660438801355</v>
      </c>
      <c r="V259" s="45" t="n"/>
      <c r="W259" s="45" t="n"/>
      <c r="X259" s="45" t="n"/>
      <c r="Y259" s="45" t="n"/>
      <c r="Z259" s="45" t="n">
        <v>0.966937826844858</v>
      </c>
      <c r="AA259" s="45" t="n"/>
      <c r="AB259" s="45" t="n"/>
      <c r="AC259" s="45" t="n"/>
      <c r="AD259" s="45" t="n"/>
      <c r="AE259" s="45" t="n">
        <v>0.990630128932692</v>
      </c>
      <c r="AF259" s="75">
        <f>IFERROR(AVERAGE(L259:U259),"")</f>
        <v/>
      </c>
      <c r="AG259" s="75">
        <f>IFERROR(AVERAGE(V259:AE259),"")</f>
        <v/>
      </c>
      <c r="AH259" s="75">
        <f>IFERROR(AVERAGE(B259:K259),"")</f>
        <v/>
      </c>
      <c r="AI259" s="45" t="n">
        <v>0.98907470703125</v>
      </c>
      <c r="AJ259" s="47" t="n">
        <v>0</v>
      </c>
    </row>
    <row r="260" ht="15" customHeight="1" s="30">
      <c r="A260" s="73" t="inlineStr">
        <is>
          <t>8103.jpg</t>
        </is>
      </c>
      <c r="B260" s="45" t="n"/>
      <c r="C260" s="45" t="n"/>
      <c r="D260" s="45" t="n"/>
      <c r="E260" s="45" t="n"/>
      <c r="F260" s="45" t="n">
        <v>0.830545548121462</v>
      </c>
      <c r="G260" s="45" t="n"/>
      <c r="H260" s="45" t="n"/>
      <c r="I260" s="45" t="n"/>
      <c r="J260" s="45" t="n"/>
      <c r="K260" s="45" t="n">
        <v>0.994849211346597</v>
      </c>
      <c r="L260" s="45" t="n"/>
      <c r="M260" s="45" t="n"/>
      <c r="N260" s="45" t="n"/>
      <c r="O260" s="45" t="n"/>
      <c r="P260" s="45" t="n">
        <v>0.922802001429593</v>
      </c>
      <c r="Q260" s="45" t="n"/>
      <c r="R260" s="45" t="n"/>
      <c r="S260" s="45" t="n"/>
      <c r="T260" s="45" t="n"/>
      <c r="U260" s="45" t="n">
        <v>0.996954720575037</v>
      </c>
      <c r="V260" s="45" t="n"/>
      <c r="W260" s="45" t="n"/>
      <c r="X260" s="45" t="n"/>
      <c r="Y260" s="45" t="n"/>
      <c r="Z260" s="45" t="n">
        <v>0.892560840707965</v>
      </c>
      <c r="AA260" s="45" t="n"/>
      <c r="AB260" s="45" t="n"/>
      <c r="AC260" s="45" t="n"/>
      <c r="AD260" s="45" t="n"/>
      <c r="AE260" s="45" t="n">
        <v>0.997881621893045</v>
      </c>
      <c r="AF260" s="75">
        <f>IFERROR(AVERAGE(L260:U260),"")</f>
        <v/>
      </c>
      <c r="AG260" s="75">
        <f>IFERROR(AVERAGE(V260:AE260),"")</f>
        <v/>
      </c>
      <c r="AH260" s="75">
        <f>IFERROR(AVERAGE(B260:K260),"")</f>
        <v/>
      </c>
      <c r="AI260" s="45" t="n">
        <v>0.994976043701172</v>
      </c>
      <c r="AJ260" s="47" t="n">
        <v>0</v>
      </c>
    </row>
    <row r="261" ht="15" customHeight="1" s="30">
      <c r="A261" s="73" t="inlineStr">
        <is>
          <t>8104.jpg</t>
        </is>
      </c>
      <c r="B261" s="45" t="n"/>
      <c r="C261" s="45" t="n"/>
      <c r="D261" s="45" t="n"/>
      <c r="E261" s="45" t="n"/>
      <c r="F261" s="45" t="n">
        <v>0.72206875383671</v>
      </c>
      <c r="G261" s="45" t="n"/>
      <c r="H261" s="45" t="n"/>
      <c r="I261" s="45" t="n"/>
      <c r="J261" s="45" t="n"/>
      <c r="K261" s="45" t="n">
        <v>0.992965323824285</v>
      </c>
      <c r="L261" s="45" t="n"/>
      <c r="M261" s="45" t="n"/>
      <c r="N261" s="45" t="n"/>
      <c r="O261" s="45" t="n"/>
      <c r="P261" s="45" t="n">
        <v>0.8970448045757869</v>
      </c>
      <c r="Q261" s="45" t="n"/>
      <c r="R261" s="45" t="n"/>
      <c r="S261" s="45" t="n"/>
      <c r="T261" s="45" t="n"/>
      <c r="U261" s="45" t="n">
        <v>0.995052530371858</v>
      </c>
      <c r="V261" s="45" t="n"/>
      <c r="W261" s="45" t="n"/>
      <c r="X261" s="45" t="n"/>
      <c r="Y261" s="45" t="n"/>
      <c r="Z261" s="45" t="n">
        <v>0.78731593038822</v>
      </c>
      <c r="AA261" s="45" t="n"/>
      <c r="AB261" s="45" t="n"/>
      <c r="AC261" s="45" t="n"/>
      <c r="AD261" s="45" t="n"/>
      <c r="AE261" s="45" t="n">
        <v>0.997892008369508</v>
      </c>
      <c r="AF261" s="75">
        <f>IFERROR(AVERAGE(L261:U261),"")</f>
        <v/>
      </c>
      <c r="AG261" s="75">
        <f>IFERROR(AVERAGE(V261:AE261),"")</f>
        <v/>
      </c>
      <c r="AH261" s="75">
        <f>IFERROR(AVERAGE(B261:K261),"")</f>
        <v/>
      </c>
      <c r="AI261" s="45" t="n">
        <v>0.993091583251953</v>
      </c>
      <c r="AJ261" s="47" t="n">
        <v>0</v>
      </c>
    </row>
    <row r="262" ht="15" customHeight="1" s="30">
      <c r="A262" s="73" t="inlineStr">
        <is>
          <t>8111.jpg</t>
        </is>
      </c>
      <c r="B262" s="45" t="n"/>
      <c r="C262" s="45" t="n"/>
      <c r="D262" s="45" t="n"/>
      <c r="E262" s="45" t="n"/>
      <c r="F262" s="45" t="n"/>
      <c r="G262" s="45" t="n">
        <v>0.871426182912557</v>
      </c>
      <c r="H262" s="45" t="n"/>
      <c r="I262" s="45" t="n"/>
      <c r="J262" s="45" t="n"/>
      <c r="K262" s="45" t="n">
        <v>0.9970069901763891</v>
      </c>
      <c r="L262" s="45" t="n"/>
      <c r="M262" s="45" t="n"/>
      <c r="N262" s="45" t="n"/>
      <c r="O262" s="45" t="n"/>
      <c r="P262" s="45" t="n"/>
      <c r="Q262" s="45" t="n">
        <v>0.962867171623869</v>
      </c>
      <c r="R262" s="45" t="n"/>
      <c r="S262" s="45" t="n"/>
      <c r="T262" s="45" t="n"/>
      <c r="U262" s="45" t="n">
        <v>0.997787567531775</v>
      </c>
      <c r="V262" s="45" t="n"/>
      <c r="W262" s="45" t="n"/>
      <c r="X262" s="45" t="n"/>
      <c r="Y262" s="45" t="n"/>
      <c r="Z262" s="45" t="n"/>
      <c r="AA262" s="45" t="n">
        <v>0.901730103806228</v>
      </c>
      <c r="AB262" s="45" t="n"/>
      <c r="AC262" s="45" t="n"/>
      <c r="AD262" s="45" t="n"/>
      <c r="AE262" s="45" t="n">
        <v>0.999215958558924</v>
      </c>
      <c r="AF262" s="75">
        <f>IFERROR(AVERAGE(L262:U262),"")</f>
        <v/>
      </c>
      <c r="AG262" s="75">
        <f>IFERROR(AVERAGE(V262:AE262),"")</f>
        <v/>
      </c>
      <c r="AH262" s="75">
        <f>IFERROR(AVERAGE(B262:K262),"")</f>
        <v/>
      </c>
      <c r="AI262" s="45" t="n">
        <v>0.997066497802734</v>
      </c>
      <c r="AJ262" s="47" t="n">
        <v>0</v>
      </c>
    </row>
    <row r="263" ht="15" customHeight="1" s="30">
      <c r="A263" s="73" t="inlineStr">
        <is>
          <t>8112.jpg</t>
        </is>
      </c>
      <c r="B263" s="45" t="n"/>
      <c r="C263" s="45" t="n"/>
      <c r="D263" s="45" t="n"/>
      <c r="E263" s="45" t="n"/>
      <c r="F263" s="45" t="n"/>
      <c r="G263" s="45" t="n">
        <v>0.902388884950734</v>
      </c>
      <c r="H263" s="45" t="n"/>
      <c r="I263" s="45" t="n"/>
      <c r="J263" s="45" t="n"/>
      <c r="K263" s="45" t="n">
        <v>0.994479058914095</v>
      </c>
      <c r="L263" s="45" t="n"/>
      <c r="M263" s="45" t="n"/>
      <c r="N263" s="45" t="n"/>
      <c r="O263" s="45" t="n"/>
      <c r="P263" s="45" t="n"/>
      <c r="Q263" s="45" t="n">
        <v>0.945554482656169</v>
      </c>
      <c r="R263" s="45" t="n"/>
      <c r="S263" s="45" t="n"/>
      <c r="T263" s="45" t="n"/>
      <c r="U263" s="45" t="n">
        <v>0.997410336937683</v>
      </c>
      <c r="V263" s="45" t="n"/>
      <c r="W263" s="45" t="n"/>
      <c r="X263" s="45" t="n"/>
      <c r="Y263" s="45" t="n"/>
      <c r="Z263" s="45" t="n"/>
      <c r="AA263" s="45" t="n">
        <v>0.951846867055481</v>
      </c>
      <c r="AB263" s="45" t="n"/>
      <c r="AC263" s="45" t="n"/>
      <c r="AD263" s="45" t="n"/>
      <c r="AE263" s="45" t="n">
        <v>0.997053503235921</v>
      </c>
      <c r="AF263" s="75">
        <f>IFERROR(AVERAGE(L263:U263),"")</f>
        <v/>
      </c>
      <c r="AG263" s="75">
        <f>IFERROR(AVERAGE(V263:AE263),"")</f>
        <v/>
      </c>
      <c r="AH263" s="75">
        <f>IFERROR(AVERAGE(B263:K263),"")</f>
        <v/>
      </c>
      <c r="AI263" s="45" t="n">
        <v>0.994747161865234</v>
      </c>
      <c r="AJ263" s="47" t="n">
        <v>0</v>
      </c>
    </row>
    <row r="264" ht="15" customHeight="1" s="30">
      <c r="A264" s="73" t="inlineStr">
        <is>
          <t>8115.jpg</t>
        </is>
      </c>
      <c r="B264" s="45" t="n"/>
      <c r="C264" s="45" t="n"/>
      <c r="D264" s="45" t="n"/>
      <c r="E264" s="45" t="n"/>
      <c r="F264" s="45" t="n"/>
      <c r="G264" s="45" t="n">
        <v>0.919644779332616</v>
      </c>
      <c r="H264" s="45" t="n"/>
      <c r="I264" s="45" t="n"/>
      <c r="J264" s="45" t="n"/>
      <c r="K264" s="45" t="n">
        <v>0.993907539878477</v>
      </c>
      <c r="L264" s="45" t="n"/>
      <c r="M264" s="45" t="n"/>
      <c r="N264" s="45" t="n"/>
      <c r="O264" s="45" t="n"/>
      <c r="P264" s="45" t="n"/>
      <c r="Q264" s="45" t="n">
        <v>0.921479803699509</v>
      </c>
      <c r="R264" s="45" t="n"/>
      <c r="S264" s="45" t="n"/>
      <c r="T264" s="45" t="n"/>
      <c r="U264" s="45" t="n">
        <v>0.999848112281969</v>
      </c>
      <c r="V264" s="45" t="n"/>
      <c r="W264" s="45" t="n"/>
      <c r="X264" s="45" t="n"/>
      <c r="Y264" s="45" t="n"/>
      <c r="Z264" s="45" t="n"/>
      <c r="AA264" s="45" t="n">
        <v>0.997839289885541</v>
      </c>
      <c r="AB264" s="45" t="n"/>
      <c r="AC264" s="45" t="n"/>
      <c r="AD264" s="45" t="n"/>
      <c r="AE264" s="45" t="n">
        <v>0.994057627948739</v>
      </c>
      <c r="AF264" s="75">
        <f>IFERROR(AVERAGE(L264:U264),"")</f>
        <v/>
      </c>
      <c r="AG264" s="75">
        <f>IFERROR(AVERAGE(V264:AE264),"")</f>
        <v/>
      </c>
      <c r="AH264" s="75">
        <f>IFERROR(AVERAGE(B264:K264),"")</f>
        <v/>
      </c>
      <c r="AI264" s="45" t="n">
        <v>0.994304656982422</v>
      </c>
      <c r="AJ264" s="47" t="n">
        <v>0</v>
      </c>
    </row>
    <row r="265" ht="15" customHeight="1" s="30">
      <c r="A265" s="73" t="inlineStr">
        <is>
          <t>8136.jpg</t>
        </is>
      </c>
      <c r="B265" s="45" t="n"/>
      <c r="C265" s="45" t="n"/>
      <c r="D265" s="45" t="n"/>
      <c r="E265" s="45" t="n"/>
      <c r="F265" s="45" t="n"/>
      <c r="G265" s="45" t="n">
        <v>0.988674864358993</v>
      </c>
      <c r="H265" s="45" t="n"/>
      <c r="I265" s="45" t="n"/>
      <c r="J265" s="45" t="n"/>
      <c r="K265" s="45" t="n">
        <v>0.994649832667361</v>
      </c>
      <c r="L265" s="45" t="n"/>
      <c r="M265" s="45" t="n"/>
      <c r="N265" s="45" t="n"/>
      <c r="O265" s="45" t="n"/>
      <c r="P265" s="45" t="n"/>
      <c r="Q265" s="45" t="n">
        <v>0.9954911970990979</v>
      </c>
      <c r="R265" s="45" t="n"/>
      <c r="S265" s="45" t="n"/>
      <c r="T265" s="45" t="n"/>
      <c r="U265" s="45" t="n">
        <v>0.996758418018261</v>
      </c>
      <c r="V265" s="45" t="n"/>
      <c r="W265" s="45" t="n"/>
      <c r="X265" s="45" t="n"/>
      <c r="Y265" s="45" t="n"/>
      <c r="Z265" s="45" t="n"/>
      <c r="AA265" s="45" t="n">
        <v>0.993121995335333</v>
      </c>
      <c r="AB265" s="45" t="n"/>
      <c r="AC265" s="45" t="n"/>
      <c r="AD265" s="45" t="n"/>
      <c r="AE265" s="45" t="n">
        <v>0.997877692186763</v>
      </c>
      <c r="AF265" s="75">
        <f>IFERROR(AVERAGE(L265:U265),"")</f>
        <v/>
      </c>
      <c r="AG265" s="75">
        <f>IFERROR(AVERAGE(V265:AE265),"")</f>
        <v/>
      </c>
      <c r="AH265" s="75">
        <f>IFERROR(AVERAGE(B265:K265),"")</f>
        <v/>
      </c>
      <c r="AI265" s="45" t="n">
        <v>0.9963531494140631</v>
      </c>
      <c r="AJ265" s="47" t="n">
        <v>0</v>
      </c>
    </row>
    <row r="266" ht="15" customHeight="1" s="30">
      <c r="A266" s="73" t="inlineStr">
        <is>
          <t>8140.jpg</t>
        </is>
      </c>
      <c r="B266" s="45" t="n"/>
      <c r="C266" s="45" t="n"/>
      <c r="D266" s="45" t="n"/>
      <c r="E266" s="45" t="n"/>
      <c r="F266" s="45" t="n">
        <v>0</v>
      </c>
      <c r="G266" s="45" t="n">
        <v>0.863870331836601</v>
      </c>
      <c r="H266" s="45" t="n"/>
      <c r="I266" s="45" t="n"/>
      <c r="J266" s="45" t="n"/>
      <c r="K266" s="45" t="n">
        <v>0.994993235164559</v>
      </c>
      <c r="L266" s="45" t="n"/>
      <c r="M266" s="45" t="n"/>
      <c r="N266" s="45" t="n"/>
      <c r="O266" s="45" t="n"/>
      <c r="P266" s="45" t="n">
        <v>0</v>
      </c>
      <c r="Q266" s="45" t="n">
        <v>0.885695037053672</v>
      </c>
      <c r="R266" s="45" t="n"/>
      <c r="S266" s="45" t="n"/>
      <c r="T266" s="45" t="n"/>
      <c r="U266" s="45" t="n">
        <v>0.999111402483334</v>
      </c>
      <c r="V266" s="45" t="n"/>
      <c r="W266" s="45" t="n"/>
      <c r="X266" s="45" t="n"/>
      <c r="Y266" s="45" t="n"/>
      <c r="Z266" s="45" t="n"/>
      <c r="AA266" s="45" t="n">
        <v>0.972266732404783</v>
      </c>
      <c r="AB266" s="45" t="n"/>
      <c r="AC266" s="45" t="n"/>
      <c r="AD266" s="45" t="n"/>
      <c r="AE266" s="45" t="n">
        <v>0.995874519251587</v>
      </c>
      <c r="AF266" s="75">
        <f>IFERROR(AVERAGE(L266:U266),"")</f>
        <v/>
      </c>
      <c r="AG266" s="75">
        <f>IFERROR(AVERAGE(V266:AE266),"")</f>
        <v/>
      </c>
      <c r="AH266" s="75">
        <f>IFERROR(AVERAGE(B266:K266),"")</f>
        <v/>
      </c>
      <c r="AI266" s="45" t="n">
        <v>0.995143890380859</v>
      </c>
      <c r="AJ266" s="47" t="n">
        <v>0</v>
      </c>
    </row>
    <row r="267" ht="15" customHeight="1" s="30">
      <c r="A267" s="73" t="inlineStr">
        <is>
          <t>8147.jpg</t>
        </is>
      </c>
      <c r="B267" s="45" t="n"/>
      <c r="C267" s="45" t="n"/>
      <c r="D267" s="45" t="n"/>
      <c r="E267" s="45" t="n"/>
      <c r="F267" s="45" t="n">
        <v>0.910443561152345</v>
      </c>
      <c r="G267" s="45" t="n"/>
      <c r="H267" s="45" t="n"/>
      <c r="I267" s="45" t="n"/>
      <c r="J267" s="45" t="n"/>
      <c r="K267" s="45" t="n">
        <v>0.989223782173105</v>
      </c>
      <c r="L267" s="45" t="n"/>
      <c r="M267" s="45" t="n"/>
      <c r="N267" s="45" t="n"/>
      <c r="O267" s="45" t="n"/>
      <c r="P267" s="45" t="n">
        <v>0.949486426999266</v>
      </c>
      <c r="Q267" s="45" t="n"/>
      <c r="R267" s="45" t="n"/>
      <c r="S267" s="45" t="n"/>
      <c r="T267" s="45" t="n"/>
      <c r="U267" s="45" t="n">
        <v>0.995023075220109</v>
      </c>
      <c r="V267" s="45" t="n"/>
      <c r="W267" s="45" t="n"/>
      <c r="X267" s="45" t="n"/>
      <c r="Y267" s="45" t="n"/>
      <c r="Z267" s="45" t="n">
        <v>0.956786928877717</v>
      </c>
      <c r="AA267" s="45" t="n"/>
      <c r="AB267" s="45" t="n"/>
      <c r="AC267" s="45" t="n"/>
      <c r="AD267" s="45" t="n"/>
      <c r="AE267" s="45" t="n">
        <v>0.994142718595273</v>
      </c>
      <c r="AF267" s="75">
        <f>IFERROR(AVERAGE(L267:U267),"")</f>
        <v/>
      </c>
      <c r="AG267" s="75">
        <f>IFERROR(AVERAGE(V267:AE267),"")</f>
        <v/>
      </c>
      <c r="AH267" s="75">
        <f>IFERROR(AVERAGE(B267:K267),"")</f>
        <v/>
      </c>
      <c r="AI267" s="45" t="n">
        <v>0.990287780761719</v>
      </c>
      <c r="AJ267" s="47" t="n">
        <v>0</v>
      </c>
    </row>
    <row r="268" ht="15" customHeight="1" s="30">
      <c r="A268" s="73" t="inlineStr">
        <is>
          <t>8154.jpg</t>
        </is>
      </c>
      <c r="B268" s="45" t="n"/>
      <c r="C268" s="45" t="n"/>
      <c r="D268" s="45" t="n"/>
      <c r="E268" s="45" t="n"/>
      <c r="F268" s="45" t="n">
        <v>0.8640029551191279</v>
      </c>
      <c r="G268" s="45" t="n"/>
      <c r="H268" s="45" t="n"/>
      <c r="I268" s="45" t="n"/>
      <c r="J268" s="45" t="n"/>
      <c r="K268" s="45" t="n">
        <v>0.98112578820554</v>
      </c>
      <c r="L268" s="45" t="n"/>
      <c r="M268" s="45" t="n"/>
      <c r="N268" s="45" t="n"/>
      <c r="O268" s="45" t="n"/>
      <c r="P268" s="45" t="n">
        <v>0.9481471472485899</v>
      </c>
      <c r="Q268" s="45" t="n"/>
      <c r="R268" s="45" t="n"/>
      <c r="S268" s="45" t="n"/>
      <c r="T268" s="45" t="n"/>
      <c r="U268" s="45" t="n">
        <v>0.9876021862811289</v>
      </c>
      <c r="V268" s="45" t="n"/>
      <c r="W268" s="45" t="n"/>
      <c r="X268" s="45" t="n"/>
      <c r="Y268" s="45" t="n"/>
      <c r="Z268" s="45" t="n">
        <v>0.906852767277309</v>
      </c>
      <c r="AA268" s="45" t="n"/>
      <c r="AB268" s="45" t="n"/>
      <c r="AC268" s="45" t="n"/>
      <c r="AD268" s="45" t="n"/>
      <c r="AE268" s="45" t="n">
        <v>0.9933605256214511</v>
      </c>
      <c r="AF268" s="75">
        <f>IFERROR(AVERAGE(L268:U268),"")</f>
        <v/>
      </c>
      <c r="AG268" s="75">
        <f>IFERROR(AVERAGE(V268:AE268),"")</f>
        <v/>
      </c>
      <c r="AH268" s="75">
        <f>IFERROR(AVERAGE(B268:K268),"")</f>
        <v/>
      </c>
      <c r="AI268" s="45" t="n">
        <v>0.983146667480469</v>
      </c>
      <c r="AJ268" s="47" t="n">
        <v>0</v>
      </c>
    </row>
    <row r="269" ht="15" customHeight="1" s="30">
      <c r="A269" s="73" t="inlineStr">
        <is>
          <t>8160.jpg</t>
        </is>
      </c>
      <c r="B269" s="45" t="n"/>
      <c r="C269" s="45" t="n"/>
      <c r="D269" s="45" t="n"/>
      <c r="E269" s="45" t="n"/>
      <c r="F269" s="45" t="n">
        <v>0.75294245858762</v>
      </c>
      <c r="G269" s="45" t="n"/>
      <c r="H269" s="45" t="n">
        <v>0.5571853204592701</v>
      </c>
      <c r="I269" s="45" t="n"/>
      <c r="J269" s="45" t="n"/>
      <c r="K269" s="45" t="n">
        <v>0.759766306684539</v>
      </c>
      <c r="L269" s="45" t="n"/>
      <c r="M269" s="45" t="n"/>
      <c r="N269" s="45" t="n"/>
      <c r="O269" s="45" t="n"/>
      <c r="P269" s="45" t="n">
        <v>0.776903182278196</v>
      </c>
      <c r="Q269" s="45" t="n"/>
      <c r="R269" s="45" t="n">
        <v>0.998120693255377</v>
      </c>
      <c r="S269" s="45" t="n"/>
      <c r="T269" s="45" t="n"/>
      <c r="U269" s="45" t="n">
        <v>0.767186119325989</v>
      </c>
      <c r="V269" s="45" t="n"/>
      <c r="W269" s="45" t="n"/>
      <c r="X269" s="45" t="n"/>
      <c r="Y269" s="45" t="n"/>
      <c r="Z269" s="45" t="n">
        <v>0.960650723025584</v>
      </c>
      <c r="AA269" s="45" t="n"/>
      <c r="AB269" s="45" t="n">
        <v>0.557770473949318</v>
      </c>
      <c r="AC269" s="45" t="n"/>
      <c r="AD269" s="45" t="n"/>
      <c r="AE269" s="45" t="n">
        <v>0.98743047977175</v>
      </c>
      <c r="AF269" s="75">
        <f>IFERROR(AVERAGE(L269:U269),"")</f>
        <v/>
      </c>
      <c r="AG269" s="75">
        <f>IFERROR(AVERAGE(V269:AE269),"")</f>
        <v/>
      </c>
      <c r="AH269" s="75">
        <f>IFERROR(AVERAGE(B269:K269),"")</f>
        <v/>
      </c>
      <c r="AI269" s="45" t="n">
        <v>0.818141937255859</v>
      </c>
      <c r="AJ269" s="47" t="n">
        <v>0</v>
      </c>
    </row>
    <row r="270" ht="15" customHeight="1" s="30">
      <c r="A270" s="73" t="inlineStr">
        <is>
          <t>8162.jpg</t>
        </is>
      </c>
      <c r="B270" s="45" t="n"/>
      <c r="C270" s="45" t="n"/>
      <c r="D270" s="45" t="n"/>
      <c r="E270" s="45" t="n"/>
      <c r="F270" s="45" t="n">
        <v>0.906085406369014</v>
      </c>
      <c r="G270" s="45" t="n">
        <v>0.911547680594069</v>
      </c>
      <c r="H270" s="45" t="n">
        <v>0.244807121661721</v>
      </c>
      <c r="I270" s="45" t="n"/>
      <c r="J270" s="45" t="n"/>
      <c r="K270" s="45" t="n">
        <v>0.987505558413476</v>
      </c>
      <c r="L270" s="45" t="n"/>
      <c r="M270" s="45" t="n"/>
      <c r="N270" s="45" t="n"/>
      <c r="O270" s="45" t="n"/>
      <c r="P270" s="45" t="n">
        <v>0.916782815446421</v>
      </c>
      <c r="Q270" s="45" t="n">
        <v>0.99650619123465</v>
      </c>
      <c r="R270" s="45" t="n">
        <v>0.363436123348018</v>
      </c>
      <c r="S270" s="45" t="n"/>
      <c r="T270" s="45" t="n"/>
      <c r="U270" s="45" t="n">
        <v>0.99255961509811</v>
      </c>
      <c r="V270" s="45" t="n"/>
      <c r="W270" s="45" t="n"/>
      <c r="X270" s="45" t="n"/>
      <c r="Y270" s="45" t="n"/>
      <c r="Z270" s="45" t="n">
        <v>0.987285890870563</v>
      </c>
      <c r="AA270" s="45" t="n">
        <v>0.914470272054317</v>
      </c>
      <c r="AB270" s="45" t="n">
        <v>0.428571428571429</v>
      </c>
      <c r="AC270" s="45" t="n"/>
      <c r="AD270" s="45" t="n"/>
      <c r="AE270" s="45" t="n">
        <v>0.994870083097627</v>
      </c>
      <c r="AF270" s="75">
        <f>IFERROR(AVERAGE(L270:U270),"")</f>
        <v/>
      </c>
      <c r="AG270" s="75">
        <f>IFERROR(AVERAGE(V270:AE270),"")</f>
        <v/>
      </c>
      <c r="AH270" s="75">
        <f>IFERROR(AVERAGE(B270:K270),"")</f>
        <v/>
      </c>
      <c r="AI270" s="45" t="n">
        <v>0.983879089355469</v>
      </c>
      <c r="AJ270" s="47" t="n">
        <v>0</v>
      </c>
    </row>
    <row r="271" ht="15" customHeight="1" s="30">
      <c r="A271" s="73" t="inlineStr">
        <is>
          <t>8169.jpg</t>
        </is>
      </c>
      <c r="B271" s="45" t="n"/>
      <c r="C271" s="45" t="n"/>
      <c r="D271" s="45" t="n"/>
      <c r="E271" s="45" t="n"/>
      <c r="F271" s="45" t="n">
        <v>0.7333769867254</v>
      </c>
      <c r="G271" s="45" t="n"/>
      <c r="H271" s="45" t="n">
        <v>0</v>
      </c>
      <c r="I271" s="45" t="n"/>
      <c r="J271" s="45" t="n"/>
      <c r="K271" s="45" t="n">
        <v>0.959415420371867</v>
      </c>
      <c r="L271" s="45" t="n"/>
      <c r="M271" s="45" t="n"/>
      <c r="N271" s="45" t="n"/>
      <c r="O271" s="45" t="n"/>
      <c r="P271" s="45" t="n">
        <v>0.98050139275766</v>
      </c>
      <c r="Q271" s="45" t="n"/>
      <c r="R271" s="45" t="n">
        <v>0</v>
      </c>
      <c r="S271" s="45" t="n"/>
      <c r="T271" s="45" t="n"/>
      <c r="U271" s="45" t="n">
        <v>0.9641692019311729</v>
      </c>
      <c r="V271" s="45" t="n"/>
      <c r="W271" s="45" t="n"/>
      <c r="X271" s="45" t="n"/>
      <c r="Y271" s="45" t="n"/>
      <c r="Z271" s="45" t="n">
        <v>0.7442310015706169</v>
      </c>
      <c r="AA271" s="45" t="n"/>
      <c r="AB271" s="45" t="n"/>
      <c r="AC271" s="45" t="n"/>
      <c r="AD271" s="45" t="n"/>
      <c r="AE271" s="45" t="n">
        <v>0.994887266630573</v>
      </c>
      <c r="AF271" s="75">
        <f>IFERROR(AVERAGE(L271:U271),"")</f>
        <v/>
      </c>
      <c r="AG271" s="75">
        <f>IFERROR(AVERAGE(V271:AE271),"")</f>
        <v/>
      </c>
      <c r="AH271" s="75">
        <f>IFERROR(AVERAGE(B271:K271),"")</f>
        <v/>
      </c>
      <c r="AI271" s="45" t="n">
        <v>0.963230133056641</v>
      </c>
      <c r="AJ271" s="47" t="n">
        <v>0</v>
      </c>
    </row>
    <row r="272" ht="15" customHeight="1" s="30">
      <c r="A272" s="73" t="inlineStr">
        <is>
          <t>8170.jpg</t>
        </is>
      </c>
      <c r="B272" s="45" t="n"/>
      <c r="C272" s="45" t="n"/>
      <c r="D272" s="45" t="n"/>
      <c r="E272" s="45" t="n"/>
      <c r="F272" s="45" t="n">
        <v>0.711341115587051</v>
      </c>
      <c r="G272" s="45" t="n"/>
      <c r="H272" s="45" t="n">
        <v>0</v>
      </c>
      <c r="I272" s="45" t="n"/>
      <c r="J272" s="45" t="n"/>
      <c r="K272" s="45" t="n">
        <v>0.957680540613233</v>
      </c>
      <c r="L272" s="45" t="n"/>
      <c r="M272" s="45" t="n"/>
      <c r="N272" s="45" t="n"/>
      <c r="O272" s="45" t="n"/>
      <c r="P272" s="45" t="n">
        <v>0.976113621691414</v>
      </c>
      <c r="Q272" s="45" t="n"/>
      <c r="R272" s="45" t="n">
        <v>0</v>
      </c>
      <c r="S272" s="45" t="n"/>
      <c r="T272" s="45" t="n"/>
      <c r="U272" s="45" t="n">
        <v>0.961093514742289</v>
      </c>
      <c r="V272" s="45" t="n"/>
      <c r="W272" s="45" t="n"/>
      <c r="X272" s="45" t="n"/>
      <c r="Y272" s="45" t="n"/>
      <c r="Z272" s="45" t="n">
        <v>0.723942903312685</v>
      </c>
      <c r="AA272" s="45" t="n"/>
      <c r="AB272" s="45" t="n"/>
      <c r="AC272" s="45" t="n"/>
      <c r="AD272" s="45" t="n"/>
      <c r="AE272" s="45" t="n">
        <v>0.996305639474133</v>
      </c>
      <c r="AF272" s="75">
        <f>IFERROR(AVERAGE(L272:U272),"")</f>
        <v/>
      </c>
      <c r="AG272" s="75">
        <f>IFERROR(AVERAGE(V272:AE272),"")</f>
        <v/>
      </c>
      <c r="AH272" s="75">
        <f>IFERROR(AVERAGE(B272:K272),"")</f>
        <v/>
      </c>
      <c r="AI272" s="45" t="n">
        <v>0.961585998535156</v>
      </c>
      <c r="AJ272" s="47" t="n">
        <v>0</v>
      </c>
    </row>
    <row r="273" ht="15" customHeight="1" s="30">
      <c r="A273" s="73" t="inlineStr">
        <is>
          <t>8183.jpg</t>
        </is>
      </c>
      <c r="B273" s="45" t="n"/>
      <c r="C273" s="45" t="n"/>
      <c r="D273" s="45" t="n"/>
      <c r="E273" s="45" t="n"/>
      <c r="F273" s="45" t="n"/>
      <c r="G273" s="45" t="n">
        <v>0.897854995531241</v>
      </c>
      <c r="H273" s="45" t="n">
        <v>0.459785643519769</v>
      </c>
      <c r="I273" s="45" t="n"/>
      <c r="J273" s="45" t="n"/>
      <c r="K273" s="45" t="n">
        <v>0.929006585018035</v>
      </c>
      <c r="L273" s="45" t="n"/>
      <c r="M273" s="45" t="n"/>
      <c r="N273" s="45" t="n"/>
      <c r="O273" s="45" t="n"/>
      <c r="P273" s="45" t="n"/>
      <c r="Q273" s="45" t="n">
        <v>0.900917181873769</v>
      </c>
      <c r="R273" s="45" t="n">
        <v>0.510397920415917</v>
      </c>
      <c r="S273" s="45" t="n"/>
      <c r="T273" s="45" t="n"/>
      <c r="U273" s="45" t="n">
        <v>0.9924277641181311</v>
      </c>
      <c r="V273" s="45" t="n"/>
      <c r="W273" s="45" t="n"/>
      <c r="X273" s="45" t="n"/>
      <c r="Y273" s="45" t="n"/>
      <c r="Z273" s="45" t="n"/>
      <c r="AA273" s="45" t="n">
        <v>0.99622862637858</v>
      </c>
      <c r="AB273" s="45" t="n">
        <v>0.822591040928134</v>
      </c>
      <c r="AC273" s="45" t="n"/>
      <c r="AD273" s="45" t="n"/>
      <c r="AE273" s="45" t="n">
        <v>0.935638702319098</v>
      </c>
      <c r="AF273" s="75">
        <f>IFERROR(AVERAGE(L273:U273),"")</f>
        <v/>
      </c>
      <c r="AG273" s="75">
        <f>IFERROR(AVERAGE(V273:AE273),"")</f>
        <v/>
      </c>
      <c r="AH273" s="75">
        <f>IFERROR(AVERAGE(B273:K273),"")</f>
        <v/>
      </c>
      <c r="AI273" s="45" t="n">
        <v>0.948345184326172</v>
      </c>
      <c r="AJ273" s="47" t="n">
        <v>0</v>
      </c>
    </row>
    <row r="274" ht="15" customHeight="1" s="30">
      <c r="A274" s="73" t="inlineStr">
        <is>
          <t>8189.jpg</t>
        </is>
      </c>
      <c r="B274" s="45" t="n"/>
      <c r="C274" s="45" t="n"/>
      <c r="D274" s="45" t="n"/>
      <c r="E274" s="45" t="n"/>
      <c r="F274" s="45" t="n"/>
      <c r="G274" s="45" t="n"/>
      <c r="H274" s="45" t="n">
        <v>0</v>
      </c>
      <c r="I274" s="45" t="n"/>
      <c r="J274" s="45" t="n"/>
      <c r="K274" s="45" t="n">
        <v>0.991992950439453</v>
      </c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>
        <v>0.991992950439453</v>
      </c>
      <c r="V274" s="45" t="n"/>
      <c r="W274" s="45" t="n"/>
      <c r="X274" s="45" t="n"/>
      <c r="Y274" s="45" t="n"/>
      <c r="Z274" s="45" t="n"/>
      <c r="AA274" s="45" t="n"/>
      <c r="AB274" s="45" t="n">
        <v>0</v>
      </c>
      <c r="AC274" s="45" t="n"/>
      <c r="AD274" s="45" t="n"/>
      <c r="AE274" s="45" t="n">
        <v>1</v>
      </c>
      <c r="AF274" s="75">
        <f>IFERROR(AVERAGE(L274:U274),"")</f>
        <v/>
      </c>
      <c r="AG274" s="75">
        <f>IFERROR(AVERAGE(V274:AE274),"")</f>
        <v/>
      </c>
      <c r="AH274" s="75">
        <f>IFERROR(AVERAGE(B274:K274),"")</f>
        <v/>
      </c>
      <c r="AI274" s="45" t="n">
        <v>0.991992950439453</v>
      </c>
      <c r="AJ274" s="47" t="n">
        <v>0</v>
      </c>
    </row>
    <row r="275" ht="15" customHeight="1" s="30">
      <c r="A275" s="73" t="inlineStr">
        <is>
          <t>8203.jpg</t>
        </is>
      </c>
      <c r="B275" s="45" t="n"/>
      <c r="C275" s="45" t="n"/>
      <c r="D275" s="45" t="n"/>
      <c r="E275" s="45" t="n"/>
      <c r="F275" s="45" t="n"/>
      <c r="G275" s="45" t="n">
        <v>0.898798397863818</v>
      </c>
      <c r="H275" s="45" t="n"/>
      <c r="I275" s="45" t="n"/>
      <c r="J275" s="45" t="n"/>
      <c r="K275" s="45" t="n">
        <v>0.9922752064700751</v>
      </c>
      <c r="L275" s="45" t="n"/>
      <c r="M275" s="45" t="n"/>
      <c r="N275" s="45" t="n"/>
      <c r="O275" s="45" t="n"/>
      <c r="P275" s="45" t="n"/>
      <c r="Q275" s="45" t="n">
        <v>0.990291262135922</v>
      </c>
      <c r="R275" s="45" t="n"/>
      <c r="S275" s="45" t="n"/>
      <c r="T275" s="45" t="n"/>
      <c r="U275" s="45" t="n">
        <v>0.992943067277452</v>
      </c>
      <c r="V275" s="45" t="n"/>
      <c r="W275" s="45" t="n"/>
      <c r="X275" s="45" t="n"/>
      <c r="Y275" s="45" t="n"/>
      <c r="Z275" s="45" t="n"/>
      <c r="AA275" s="45" t="n">
        <v>0.906788793103448</v>
      </c>
      <c r="AB275" s="45" t="n"/>
      <c r="AC275" s="45" t="n"/>
      <c r="AD275" s="45" t="n"/>
      <c r="AE275" s="45" t="n">
        <v>0.999322615606937</v>
      </c>
      <c r="AF275" s="75">
        <f>IFERROR(AVERAGE(L275:U275),"")</f>
        <v/>
      </c>
      <c r="AG275" s="75">
        <f>IFERROR(AVERAGE(V275:AE275),"")</f>
        <v/>
      </c>
      <c r="AH275" s="75">
        <f>IFERROR(AVERAGE(B275:K275),"")</f>
        <v/>
      </c>
      <c r="AI275" s="45" t="n">
        <v>0.992771148681641</v>
      </c>
      <c r="AJ275" s="47" t="n">
        <v>0</v>
      </c>
    </row>
    <row r="276" ht="15" customHeight="1" s="30">
      <c r="A276" s="73" t="inlineStr">
        <is>
          <t>8211.jpg</t>
        </is>
      </c>
      <c r="B276" s="45" t="n"/>
      <c r="C276" s="45" t="n"/>
      <c r="D276" s="45" t="n"/>
      <c r="E276" s="45" t="n"/>
      <c r="F276" s="45" t="n">
        <v>0.939519523408664</v>
      </c>
      <c r="G276" s="45" t="n">
        <v>0</v>
      </c>
      <c r="H276" s="45" t="n"/>
      <c r="I276" s="45" t="n"/>
      <c r="J276" s="45" t="n"/>
      <c r="K276" s="45" t="n">
        <v>0.931584792133584</v>
      </c>
      <c r="L276" s="45" t="n"/>
      <c r="M276" s="45" t="n"/>
      <c r="N276" s="45" t="n"/>
      <c r="O276" s="45" t="n"/>
      <c r="P276" s="45" t="n">
        <v>0.977102835207758</v>
      </c>
      <c r="Q276" s="45" t="n">
        <v>0</v>
      </c>
      <c r="R276" s="45" t="n"/>
      <c r="S276" s="45" t="n"/>
      <c r="T276" s="45" t="n"/>
      <c r="U276" s="45" t="n">
        <v>0.997431762269388</v>
      </c>
      <c r="V276" s="45" t="n"/>
      <c r="W276" s="45" t="n"/>
      <c r="X276" s="45" t="n"/>
      <c r="Y276" s="45" t="n"/>
      <c r="Z276" s="45" t="n">
        <v>0.960670065549891</v>
      </c>
      <c r="AA276" s="45" t="n"/>
      <c r="AB276" s="45" t="n"/>
      <c r="AC276" s="45" t="n"/>
      <c r="AD276" s="45" t="n"/>
      <c r="AE276" s="45" t="n">
        <v>0.933824749737898</v>
      </c>
      <c r="AF276" s="75">
        <f>IFERROR(AVERAGE(L276:U276),"")</f>
        <v/>
      </c>
      <c r="AG276" s="75">
        <f>IFERROR(AVERAGE(V276:AE276),"")</f>
        <v/>
      </c>
      <c r="AH276" s="75">
        <f>IFERROR(AVERAGE(B276:K276),"")</f>
        <v/>
      </c>
      <c r="AI276" s="45" t="n">
        <v>0.935371398925781</v>
      </c>
      <c r="AJ276" s="47" t="n">
        <v>0</v>
      </c>
    </row>
    <row r="277" ht="15" customHeight="1" s="30">
      <c r="A277" s="73" t="inlineStr">
        <is>
          <t>8214.jpg</t>
        </is>
      </c>
      <c r="B277" s="45" t="n"/>
      <c r="C277" s="45" t="n"/>
      <c r="D277" s="45" t="n"/>
      <c r="E277" s="45" t="n"/>
      <c r="F277" s="45" t="n">
        <v>0.884554767533491</v>
      </c>
      <c r="G277" s="45" t="n"/>
      <c r="H277" s="45" t="n"/>
      <c r="I277" s="45" t="n"/>
      <c r="J277" s="45" t="n"/>
      <c r="K277" s="45" t="n">
        <v>0.992930503389981</v>
      </c>
      <c r="L277" s="45" t="n"/>
      <c r="M277" s="45" t="n"/>
      <c r="N277" s="45" t="n"/>
      <c r="O277" s="45" t="n"/>
      <c r="P277" s="45" t="n">
        <v>0.911551735805644</v>
      </c>
      <c r="Q277" s="45" t="n"/>
      <c r="R277" s="45" t="n"/>
      <c r="S277" s="45" t="n"/>
      <c r="T277" s="45" t="n"/>
      <c r="U277" s="45" t="n">
        <v>0.9981767980369251</v>
      </c>
      <c r="V277" s="45" t="n"/>
      <c r="W277" s="45" t="n"/>
      <c r="X277" s="45" t="n"/>
      <c r="Y277" s="45" t="n"/>
      <c r="Z277" s="45" t="n">
        <v>0.967602902090367</v>
      </c>
      <c r="AA277" s="45" t="n"/>
      <c r="AB277" s="45" t="n"/>
      <c r="AC277" s="45" t="n"/>
      <c r="AD277" s="45" t="n"/>
      <c r="AE277" s="45" t="n">
        <v>0.994734573347353</v>
      </c>
      <c r="AF277" s="75">
        <f>IFERROR(AVERAGE(L277:U277),"")</f>
        <v/>
      </c>
      <c r="AG277" s="75">
        <f>IFERROR(AVERAGE(V277:AE277),"")</f>
        <v/>
      </c>
      <c r="AH277" s="75">
        <f>IFERROR(AVERAGE(B277:K277),"")</f>
        <v/>
      </c>
      <c r="AI277" s="45" t="n">
        <v>0.993293762207031</v>
      </c>
      <c r="AJ277" s="47" t="n">
        <v>0</v>
      </c>
    </row>
    <row r="278" ht="15" customHeight="1" s="30">
      <c r="A278" s="73" t="inlineStr">
        <is>
          <t>8219.jpg</t>
        </is>
      </c>
      <c r="B278" s="45" t="n"/>
      <c r="C278" s="45" t="n"/>
      <c r="D278" s="45" t="n"/>
      <c r="E278" s="45" t="n"/>
      <c r="F278" s="45" t="n"/>
      <c r="G278" s="45" t="n"/>
      <c r="H278" s="45" t="n">
        <v>0.789723008092638</v>
      </c>
      <c r="I278" s="45" t="n"/>
      <c r="J278" s="45" t="n"/>
      <c r="K278" s="45" t="n">
        <v>0.874401396787613</v>
      </c>
      <c r="L278" s="45" t="n"/>
      <c r="M278" s="45" t="n"/>
      <c r="N278" s="45" t="n"/>
      <c r="O278" s="45" t="n"/>
      <c r="P278" s="45" t="n"/>
      <c r="Q278" s="45" t="n"/>
      <c r="R278" s="45" t="n">
        <v>0.965692021239915</v>
      </c>
      <c r="S278" s="45" t="n"/>
      <c r="T278" s="45" t="n"/>
      <c r="U278" s="45" t="n">
        <v>0.889304434217588</v>
      </c>
      <c r="V278" s="45" t="n"/>
      <c r="W278" s="45" t="n"/>
      <c r="X278" s="45" t="n"/>
      <c r="Y278" s="45" t="n"/>
      <c r="Z278" s="45" t="n"/>
      <c r="AA278" s="45" t="n"/>
      <c r="AB278" s="45" t="n">
        <v>0.812519340863376</v>
      </c>
      <c r="AC278" s="45" t="n"/>
      <c r="AD278" s="45" t="n"/>
      <c r="AE278" s="45" t="n">
        <v>0.9811951920169339</v>
      </c>
      <c r="AF278" s="75">
        <f>IFERROR(AVERAGE(L278:U278),"")</f>
        <v/>
      </c>
      <c r="AG278" s="75">
        <f>IFERROR(AVERAGE(V278:AE278),"")</f>
        <v/>
      </c>
      <c r="AH278" s="75">
        <f>IFERROR(AVERAGE(B278:K278),"")</f>
        <v/>
      </c>
      <c r="AI278" s="45" t="n">
        <v>0.9146575927734381</v>
      </c>
      <c r="AJ278" s="47" t="n">
        <v>0</v>
      </c>
    </row>
    <row r="279" ht="15" customHeight="1" s="30">
      <c r="A279" s="73" t="inlineStr">
        <is>
          <t>8233.jpg</t>
        </is>
      </c>
      <c r="B279" s="45" t="n"/>
      <c r="C279" s="45" t="n"/>
      <c r="D279" s="45" t="n"/>
      <c r="E279" s="45" t="n"/>
      <c r="F279" s="45" t="n">
        <v>0.940290865648352</v>
      </c>
      <c r="G279" s="45" t="n"/>
      <c r="H279" s="45" t="n">
        <v>0.75280523255814</v>
      </c>
      <c r="I279" s="45" t="n">
        <v>0.799120234604106</v>
      </c>
      <c r="J279" s="45" t="n"/>
      <c r="K279" s="45" t="n">
        <v>0.835947335689475</v>
      </c>
      <c r="L279" s="45" t="n"/>
      <c r="M279" s="45" t="n"/>
      <c r="N279" s="45" t="n"/>
      <c r="O279" s="45" t="n"/>
      <c r="P279" s="45" t="n">
        <v>0.946916778177443</v>
      </c>
      <c r="Q279" s="45" t="n"/>
      <c r="R279" s="45" t="n">
        <v>0.832310214051552</v>
      </c>
      <c r="S279" s="45" t="n">
        <v>0.895645028759244</v>
      </c>
      <c r="T279" s="45" t="n"/>
      <c r="U279" s="45" t="n">
        <v>0.940132375769775</v>
      </c>
      <c r="V279" s="45" t="n"/>
      <c r="W279" s="45" t="n"/>
      <c r="X279" s="45" t="n"/>
      <c r="Y279" s="45" t="n"/>
      <c r="Z279" s="45" t="n">
        <v>0.992613278083056</v>
      </c>
      <c r="AA279" s="45" t="n"/>
      <c r="AB279" s="45" t="n">
        <v>0.887398269510837</v>
      </c>
      <c r="AC279" s="45" t="n">
        <v>0.881164106709782</v>
      </c>
      <c r="AD279" s="45" t="n"/>
      <c r="AE279" s="45" t="n">
        <v>0.882949493331197</v>
      </c>
      <c r="AF279" s="75">
        <f>IFERROR(AVERAGE(L279:U279),"")</f>
        <v/>
      </c>
      <c r="AG279" s="75">
        <f>IFERROR(AVERAGE(V279:AE279),"")</f>
        <v/>
      </c>
      <c r="AH279" s="75">
        <f>IFERROR(AVERAGE(B279:K279),"")</f>
        <v/>
      </c>
      <c r="AI279" s="45" t="n">
        <v>0.916439056396484</v>
      </c>
      <c r="AJ279" s="47" t="n">
        <v>0</v>
      </c>
    </row>
    <row r="280" ht="15" customHeight="1" s="30">
      <c r="A280" s="73" t="inlineStr">
        <is>
          <t>8237.jpg</t>
        </is>
      </c>
      <c r="B280" s="45" t="n"/>
      <c r="C280" s="45" t="n"/>
      <c r="D280" s="45" t="n"/>
      <c r="E280" s="45" t="n"/>
      <c r="F280" s="45" t="n">
        <v>0</v>
      </c>
      <c r="G280" s="45" t="n"/>
      <c r="H280" s="45" t="n">
        <v>0.730327889800404</v>
      </c>
      <c r="I280" s="45" t="n"/>
      <c r="J280" s="45" t="n"/>
      <c r="K280" s="45" t="n">
        <v>0.896029074589004</v>
      </c>
      <c r="L280" s="45" t="n"/>
      <c r="M280" s="45" t="n"/>
      <c r="N280" s="45" t="n"/>
      <c r="O280" s="45" t="n"/>
      <c r="P280" s="45" t="n">
        <v>0</v>
      </c>
      <c r="Q280" s="45" t="n"/>
      <c r="R280" s="45" t="n">
        <v>0.871050826792654</v>
      </c>
      <c r="S280" s="45" t="n"/>
      <c r="T280" s="45" t="n"/>
      <c r="U280" s="45" t="n">
        <v>0.935600040749796</v>
      </c>
      <c r="V280" s="45" t="n"/>
      <c r="W280" s="45" t="n"/>
      <c r="X280" s="45" t="n"/>
      <c r="Y280" s="45" t="n"/>
      <c r="Z280" s="45" t="n"/>
      <c r="AA280" s="45" t="n"/>
      <c r="AB280" s="45" t="n">
        <v>0.8188604094731869</v>
      </c>
      <c r="AC280" s="45" t="n"/>
      <c r="AD280" s="45" t="n"/>
      <c r="AE280" s="45" t="n">
        <v>0.954925213286404</v>
      </c>
      <c r="AF280" s="75">
        <f>IFERROR(AVERAGE(L280:U280),"")</f>
        <v/>
      </c>
      <c r="AG280" s="75">
        <f>IFERROR(AVERAGE(V280:AE280),"")</f>
        <v/>
      </c>
      <c r="AH280" s="75">
        <f>IFERROR(AVERAGE(B280:K280),"")</f>
        <v/>
      </c>
      <c r="AI280" s="45" t="n">
        <v>0.918697357177734</v>
      </c>
      <c r="AJ280" s="47" t="n">
        <v>0</v>
      </c>
    </row>
    <row r="281" ht="15" customHeight="1" s="30">
      <c r="A281" s="73" t="inlineStr">
        <is>
          <t>8250.jpg</t>
        </is>
      </c>
      <c r="B281" s="45" t="n"/>
      <c r="C281" s="45" t="n"/>
      <c r="D281" s="45" t="n"/>
      <c r="E281" s="45" t="n"/>
      <c r="F281" s="45" t="n"/>
      <c r="G281" s="45" t="n"/>
      <c r="H281" s="45" t="n">
        <v>0.802947001271024</v>
      </c>
      <c r="I281" s="45" t="n"/>
      <c r="J281" s="45" t="n"/>
      <c r="K281" s="45" t="n">
        <v>0.935841974833386</v>
      </c>
      <c r="L281" s="45" t="n"/>
      <c r="M281" s="45" t="n"/>
      <c r="N281" s="45" t="n"/>
      <c r="O281" s="45" t="n"/>
      <c r="P281" s="45" t="n"/>
      <c r="Q281" s="45" t="n"/>
      <c r="R281" s="45" t="n">
        <v>0.908025805588983</v>
      </c>
      <c r="S281" s="45" t="n"/>
      <c r="T281" s="45" t="n"/>
      <c r="U281" s="45" t="n">
        <v>0.961297402032504</v>
      </c>
      <c r="V281" s="45" t="n"/>
      <c r="W281" s="45" t="n"/>
      <c r="X281" s="45" t="n"/>
      <c r="Y281" s="45" t="n"/>
      <c r="Z281" s="45" t="n"/>
      <c r="AA281" s="45" t="n"/>
      <c r="AB281" s="45" t="n">
        <v>0.874032722534146</v>
      </c>
      <c r="AC281" s="45" t="n"/>
      <c r="AD281" s="45" t="n"/>
      <c r="AE281" s="45" t="n">
        <v>0.972482936220217</v>
      </c>
      <c r="AF281" s="75">
        <f>IFERROR(AVERAGE(L281:U281),"")</f>
        <v/>
      </c>
      <c r="AG281" s="75">
        <f>IFERROR(AVERAGE(V281:AE281),"")</f>
        <v/>
      </c>
      <c r="AH281" s="75">
        <f>IFERROR(AVERAGE(B281:K281),"")</f>
        <v/>
      </c>
      <c r="AI281" s="45" t="n">
        <v>0.949138641357422</v>
      </c>
      <c r="AJ281" s="47" t="n">
        <v>0</v>
      </c>
    </row>
    <row r="282" ht="15" customHeight="1" s="30">
      <c r="A282" s="73" t="inlineStr">
        <is>
          <t>8259.jpg</t>
        </is>
      </c>
      <c r="B282" s="45" t="n"/>
      <c r="C282" s="45" t="n"/>
      <c r="D282" s="45" t="n"/>
      <c r="E282" s="45" t="n"/>
      <c r="F282" s="45" t="n">
        <v>0.895121951219512</v>
      </c>
      <c r="G282" s="45" t="n"/>
      <c r="H282" s="45" t="n">
        <v>0.714349575324095</v>
      </c>
      <c r="I282" s="45" t="n"/>
      <c r="J282" s="45" t="n"/>
      <c r="K282" s="45" t="n">
        <v>0.9817803248289531</v>
      </c>
      <c r="L282" s="45" t="n"/>
      <c r="M282" s="45" t="n"/>
      <c r="N282" s="45" t="n"/>
      <c r="O282" s="45" t="n"/>
      <c r="P282" s="45" t="n">
        <v>0.969616908850727</v>
      </c>
      <c r="Q282" s="45" t="n"/>
      <c r="R282" s="45" t="n">
        <v>0.896026914450497</v>
      </c>
      <c r="S282" s="45" t="n"/>
      <c r="T282" s="45" t="n"/>
      <c r="U282" s="45" t="n">
        <v>0.986990916140022</v>
      </c>
      <c r="V282" s="45" t="n"/>
      <c r="W282" s="45" t="n"/>
      <c r="X282" s="45" t="n"/>
      <c r="Y282" s="45" t="n"/>
      <c r="Z282" s="45" t="n">
        <v>0.920953575909661</v>
      </c>
      <c r="AA282" s="45" t="n"/>
      <c r="AB282" s="45" t="n">
        <v>0.778915117331662</v>
      </c>
      <c r="AC282" s="45" t="n"/>
      <c r="AD282" s="45" t="n"/>
      <c r="AE282" s="45" t="n">
        <v>0.994651518709563</v>
      </c>
      <c r="AF282" s="75">
        <f>IFERROR(AVERAGE(L282:U282),"")</f>
        <v/>
      </c>
      <c r="AG282" s="75">
        <f>IFERROR(AVERAGE(V282:AE282),"")</f>
        <v/>
      </c>
      <c r="AH282" s="75">
        <f>IFERROR(AVERAGE(B282:K282),"")</f>
        <v/>
      </c>
      <c r="AI282" s="45" t="n">
        <v>0.982608795166016</v>
      </c>
      <c r="AJ282" s="47" t="n">
        <v>0</v>
      </c>
    </row>
    <row r="283" ht="15" customHeight="1" s="30">
      <c r="A283" s="73" t="inlineStr">
        <is>
          <t>8262.jpg</t>
        </is>
      </c>
      <c r="B283" s="45" t="n"/>
      <c r="C283" s="45" t="n"/>
      <c r="D283" s="45" t="n"/>
      <c r="E283" s="45" t="n"/>
      <c r="F283" s="45" t="n"/>
      <c r="G283" s="45" t="n"/>
      <c r="H283" s="45" t="n">
        <v>0.835976762806862</v>
      </c>
      <c r="I283" s="45" t="n"/>
      <c r="J283" s="45" t="n"/>
      <c r="K283" s="45" t="n">
        <v>0.9548136084816</v>
      </c>
      <c r="L283" s="45" t="n"/>
      <c r="M283" s="45" t="n"/>
      <c r="N283" s="45" t="n"/>
      <c r="O283" s="45" t="n"/>
      <c r="P283" s="45" t="n"/>
      <c r="Q283" s="45" t="n"/>
      <c r="R283" s="45" t="n">
        <v>0.910813720394981</v>
      </c>
      <c r="S283" s="45" t="n"/>
      <c r="T283" s="45" t="n"/>
      <c r="U283" s="45" t="n">
        <v>0.976842337757121</v>
      </c>
      <c r="V283" s="45" t="n"/>
      <c r="W283" s="45" t="n"/>
      <c r="X283" s="45" t="n"/>
      <c r="Y283" s="45" t="n"/>
      <c r="Z283" s="45" t="n"/>
      <c r="AA283" s="45" t="n"/>
      <c r="AB283" s="45" t="n">
        <v>0.910509518684826</v>
      </c>
      <c r="AC283" s="45" t="n"/>
      <c r="AD283" s="45" t="n"/>
      <c r="AE283" s="45" t="n">
        <v>0.976926770708283</v>
      </c>
      <c r="AF283" s="75">
        <f>IFERROR(AVERAGE(L283:U283),"")</f>
        <v/>
      </c>
      <c r="AG283" s="75">
        <f>IFERROR(AVERAGE(V283:AE283),"")</f>
        <v/>
      </c>
      <c r="AH283" s="75">
        <f>IFERROR(AVERAGE(B283:K283),"")</f>
        <v/>
      </c>
      <c r="AI283" s="45" t="n">
        <v>0.9632720947265631</v>
      </c>
      <c r="AJ283" s="47" t="n">
        <v>0</v>
      </c>
    </row>
    <row r="284" ht="15" customHeight="1" s="30">
      <c r="A284" s="73" t="inlineStr">
        <is>
          <t>8279.jpg</t>
        </is>
      </c>
      <c r="B284" s="45" t="n"/>
      <c r="C284" s="45" t="n"/>
      <c r="D284" s="45" t="n"/>
      <c r="E284" s="45" t="n"/>
      <c r="F284" s="45" t="n">
        <v>0.9521152623772871</v>
      </c>
      <c r="G284" s="45" t="n"/>
      <c r="H284" s="45" t="n">
        <v>0.663986405272102</v>
      </c>
      <c r="I284" s="45" t="n">
        <v>0.847176079734219</v>
      </c>
      <c r="J284" s="45" t="n"/>
      <c r="K284" s="45" t="n">
        <v>0.927045861249718</v>
      </c>
      <c r="L284" s="45" t="n"/>
      <c r="M284" s="45" t="n"/>
      <c r="N284" s="45" t="n"/>
      <c r="O284" s="45" t="n"/>
      <c r="P284" s="45" t="n">
        <v>0.962378640776699</v>
      </c>
      <c r="Q284" s="45" t="n"/>
      <c r="R284" s="45" t="n">
        <v>0.854445570430423</v>
      </c>
      <c r="S284" s="45" t="n">
        <v>0.867937372362151</v>
      </c>
      <c r="T284" s="45" t="n"/>
      <c r="U284" s="45" t="n">
        <v>0.961425911146582</v>
      </c>
      <c r="V284" s="45" t="n"/>
      <c r="W284" s="45" t="n"/>
      <c r="X284" s="45" t="n"/>
      <c r="Y284" s="45" t="n"/>
      <c r="Z284" s="45" t="n">
        <v>0.988923122065728</v>
      </c>
      <c r="AA284" s="45" t="n"/>
      <c r="AB284" s="45" t="n">
        <v>0.748668099822413</v>
      </c>
      <c r="AC284" s="45" t="n">
        <v>0.97254004576659</v>
      </c>
      <c r="AD284" s="45" t="n"/>
      <c r="AE284" s="45" t="n">
        <v>0.96285911838775</v>
      </c>
      <c r="AF284" s="75">
        <f>IFERROR(AVERAGE(L284:U284),"")</f>
        <v/>
      </c>
      <c r="AG284" s="75">
        <f>IFERROR(AVERAGE(V284:AE284),"")</f>
        <v/>
      </c>
      <c r="AH284" s="75">
        <f>IFERROR(AVERAGE(B284:K284),"")</f>
        <v/>
      </c>
      <c r="AI284" s="45" t="n">
        <v>0.953556060791016</v>
      </c>
      <c r="AJ284" s="47" t="n">
        <v>0</v>
      </c>
    </row>
    <row r="285" ht="15" customHeight="1" s="30">
      <c r="A285" s="73" t="inlineStr">
        <is>
          <t>8287.jpg</t>
        </is>
      </c>
      <c r="B285" s="45" t="n"/>
      <c r="C285" s="45" t="n"/>
      <c r="D285" s="45" t="n"/>
      <c r="E285" s="45" t="n"/>
      <c r="F285" s="45" t="n"/>
      <c r="G285" s="45" t="n"/>
      <c r="H285" s="45" t="n">
        <v>0.889695265239097</v>
      </c>
      <c r="I285" s="45" t="n"/>
      <c r="J285" s="45" t="n"/>
      <c r="K285" s="45" t="n">
        <v>0.930375109459049</v>
      </c>
      <c r="L285" s="45" t="n"/>
      <c r="M285" s="45" t="n"/>
      <c r="N285" s="45" t="n"/>
      <c r="O285" s="45" t="n"/>
      <c r="P285" s="45" t="n"/>
      <c r="Q285" s="45" t="n"/>
      <c r="R285" s="45" t="n">
        <v>0.951791050803651</v>
      </c>
      <c r="S285" s="45" t="n"/>
      <c r="T285" s="45" t="n"/>
      <c r="U285" s="45" t="n">
        <v>0.9576139206356989</v>
      </c>
      <c r="V285" s="45" t="n"/>
      <c r="W285" s="45" t="n"/>
      <c r="X285" s="45" t="n"/>
      <c r="Y285" s="45" t="n"/>
      <c r="Z285" s="45" t="n"/>
      <c r="AA285" s="45" t="n"/>
      <c r="AB285" s="45" t="n">
        <v>0.931680271974384</v>
      </c>
      <c r="AC285" s="45" t="n"/>
      <c r="AD285" s="45" t="n"/>
      <c r="AE285" s="45" t="n">
        <v>0.970333875917941</v>
      </c>
      <c r="AF285" s="75">
        <f>IFERROR(AVERAGE(L285:U285),"")</f>
        <v/>
      </c>
      <c r="AG285" s="75">
        <f>IFERROR(AVERAGE(V285:AE285),"")</f>
        <v/>
      </c>
      <c r="AH285" s="75">
        <f>IFERROR(AVERAGE(B285:K285),"")</f>
        <v/>
      </c>
      <c r="AI285" s="45" t="n">
        <v>0.955413818359375</v>
      </c>
      <c r="AJ285" s="47" t="n">
        <v>0</v>
      </c>
    </row>
    <row r="286" ht="15" customHeight="1" s="30">
      <c r="A286" s="73" t="inlineStr">
        <is>
          <t>8290.jpg</t>
        </is>
      </c>
      <c r="B286" s="45" t="n"/>
      <c r="C286" s="45" t="n"/>
      <c r="D286" s="45" t="n"/>
      <c r="E286" s="45" t="n"/>
      <c r="F286" s="45" t="n"/>
      <c r="G286" s="45" t="n"/>
      <c r="H286" s="45" t="n">
        <v>0.862294721810293</v>
      </c>
      <c r="I286" s="45" t="n"/>
      <c r="J286" s="45" t="n"/>
      <c r="K286" s="45" t="n">
        <v>0.931737863813336</v>
      </c>
      <c r="L286" s="45" t="n"/>
      <c r="M286" s="45" t="n"/>
      <c r="N286" s="45" t="n"/>
      <c r="O286" s="45" t="n"/>
      <c r="P286" s="45" t="n"/>
      <c r="Q286" s="45" t="n"/>
      <c r="R286" s="45" t="n">
        <v>0.975045958165648</v>
      </c>
      <c r="S286" s="45" t="n"/>
      <c r="T286" s="45" t="n"/>
      <c r="U286" s="45" t="n">
        <v>0.942043427514369</v>
      </c>
      <c r="V286" s="45" t="n"/>
      <c r="W286" s="45" t="n"/>
      <c r="X286" s="45" t="n"/>
      <c r="Y286" s="45" t="n"/>
      <c r="Z286" s="45" t="n"/>
      <c r="AA286" s="45" t="n"/>
      <c r="AB286" s="45" t="n">
        <v>0.881753645002584</v>
      </c>
      <c r="AC286" s="45" t="n"/>
      <c r="AD286" s="45" t="n"/>
      <c r="AE286" s="45" t="n">
        <v>0.988395198650631</v>
      </c>
      <c r="AF286" s="75">
        <f>IFERROR(AVERAGE(L286:U286),"")</f>
        <v/>
      </c>
      <c r="AG286" s="75">
        <f>IFERROR(AVERAGE(V286:AE286),"")</f>
        <v/>
      </c>
      <c r="AH286" s="75">
        <f>IFERROR(AVERAGE(B286:K286),"")</f>
        <v/>
      </c>
      <c r="AI286" s="45" t="n">
        <v>0.952178955078125</v>
      </c>
      <c r="AJ286" s="47" t="n">
        <v>0</v>
      </c>
    </row>
    <row r="287" ht="15" customHeight="1" s="30">
      <c r="A287" s="73" t="inlineStr">
        <is>
          <t>8292.jpg</t>
        </is>
      </c>
      <c r="B287" s="45" t="n"/>
      <c r="C287" s="45" t="n"/>
      <c r="D287" s="45" t="n"/>
      <c r="E287" s="45" t="n"/>
      <c r="F287" s="45" t="n"/>
      <c r="G287" s="45" t="n"/>
      <c r="H287" s="45" t="n">
        <v>0.74163210590256</v>
      </c>
      <c r="I287" s="45" t="n"/>
      <c r="J287" s="45" t="n"/>
      <c r="K287" s="45" t="n">
        <v>0.945597763047055</v>
      </c>
      <c r="L287" s="45" t="n"/>
      <c r="M287" s="45" t="n"/>
      <c r="N287" s="45" t="n"/>
      <c r="O287" s="45" t="n"/>
      <c r="P287" s="45" t="n"/>
      <c r="Q287" s="45" t="n"/>
      <c r="R287" s="45" t="n">
        <v>0.966137306265008</v>
      </c>
      <c r="S287" s="45" t="n"/>
      <c r="T287" s="45" t="n"/>
      <c r="U287" s="45" t="n">
        <v>0.950801788058325</v>
      </c>
      <c r="V287" s="45" t="n"/>
      <c r="W287" s="45" t="n"/>
      <c r="X287" s="45" t="n"/>
      <c r="Y287" s="45" t="n"/>
      <c r="Z287" s="45" t="n"/>
      <c r="AA287" s="45" t="n"/>
      <c r="AB287" s="45" t="n">
        <v>0.761424485494936</v>
      </c>
      <c r="AC287" s="45" t="n"/>
      <c r="AD287" s="45" t="n"/>
      <c r="AE287" s="45" t="n">
        <v>0.994245118088693</v>
      </c>
      <c r="AF287" s="75">
        <f>IFERROR(AVERAGE(L287:U287),"")</f>
        <v/>
      </c>
      <c r="AG287" s="75">
        <f>IFERROR(AVERAGE(V287:AE287),"")</f>
        <v/>
      </c>
      <c r="AH287" s="75">
        <f>IFERROR(AVERAGE(B287:K287),"")</f>
        <v/>
      </c>
      <c r="AI287" s="45" t="n">
        <v>0.952945709228516</v>
      </c>
      <c r="AJ287" s="47" t="n">
        <v>0</v>
      </c>
    </row>
    <row r="288" ht="15" customHeight="1" s="30">
      <c r="A288" s="73" t="inlineStr">
        <is>
          <t>8293.jpg</t>
        </is>
      </c>
      <c r="B288" s="45" t="n"/>
      <c r="C288" s="45" t="n"/>
      <c r="D288" s="45" t="n"/>
      <c r="E288" s="45" t="n"/>
      <c r="F288" s="45" t="n"/>
      <c r="G288" s="45" t="n"/>
      <c r="H288" s="45" t="n">
        <v>0.668232629349217</v>
      </c>
      <c r="I288" s="45" t="n"/>
      <c r="J288" s="45" t="n"/>
      <c r="K288" s="45" t="n">
        <v>0.931305963991975</v>
      </c>
      <c r="L288" s="45" t="n"/>
      <c r="M288" s="45" t="n"/>
      <c r="N288" s="45" t="n"/>
      <c r="O288" s="45" t="n"/>
      <c r="P288" s="45" t="n"/>
      <c r="Q288" s="45" t="n"/>
      <c r="R288" s="45" t="n">
        <v>0.884760635343774</v>
      </c>
      <c r="S288" s="45" t="n"/>
      <c r="T288" s="45" t="n"/>
      <c r="U288" s="45" t="n">
        <v>0.948397396211063</v>
      </c>
      <c r="V288" s="45" t="n"/>
      <c r="W288" s="45" t="n"/>
      <c r="X288" s="45" t="n"/>
      <c r="Y288" s="45" t="n"/>
      <c r="Z288" s="45" t="n"/>
      <c r="AA288" s="45" t="n"/>
      <c r="AB288" s="45" t="n">
        <v>0.731938159013117</v>
      </c>
      <c r="AC288" s="45" t="n"/>
      <c r="AD288" s="45" t="n"/>
      <c r="AE288" s="45" t="n">
        <v>0.981016682447979</v>
      </c>
      <c r="AF288" s="75">
        <f>IFERROR(AVERAGE(L288:U288),"")</f>
        <v/>
      </c>
      <c r="AG288" s="75">
        <f>IFERROR(AVERAGE(V288:AE288),"")</f>
        <v/>
      </c>
      <c r="AH288" s="75">
        <f>IFERROR(AVERAGE(B288:K288),"")</f>
        <v/>
      </c>
      <c r="AI288" s="45" t="n">
        <v>0.939655303955078</v>
      </c>
      <c r="AJ288" s="47" t="n">
        <v>0</v>
      </c>
    </row>
    <row r="289" ht="15" customHeight="1" s="30">
      <c r="A289" s="73" t="inlineStr">
        <is>
          <t>8302.jpg</t>
        </is>
      </c>
      <c r="B289" s="45" t="n"/>
      <c r="C289" s="45" t="n"/>
      <c r="D289" s="45" t="n"/>
      <c r="E289" s="45" t="n"/>
      <c r="F289" s="45" t="n">
        <v>0.854412724790789</v>
      </c>
      <c r="G289" s="45" t="n"/>
      <c r="H289" s="45" t="n"/>
      <c r="I289" s="45" t="n"/>
      <c r="J289" s="45" t="n"/>
      <c r="K289" s="45" t="n">
        <v>0.990098810081212</v>
      </c>
      <c r="L289" s="45" t="n"/>
      <c r="M289" s="45" t="n"/>
      <c r="N289" s="45" t="n"/>
      <c r="O289" s="45" t="n"/>
      <c r="P289" s="45" t="n">
        <v>0.949792175232566</v>
      </c>
      <c r="Q289" s="45" t="n"/>
      <c r="R289" s="45" t="n"/>
      <c r="S289" s="45" t="n"/>
      <c r="T289" s="45" t="n"/>
      <c r="U289" s="45" t="n">
        <v>0.993149437014904</v>
      </c>
      <c r="V289" s="45" t="n"/>
      <c r="W289" s="45" t="n"/>
      <c r="X289" s="45" t="n"/>
      <c r="Y289" s="45" t="n"/>
      <c r="Z289" s="45" t="n">
        <v>0.894828443560418</v>
      </c>
      <c r="AA289" s="45" t="n"/>
      <c r="AB289" s="45" t="n"/>
      <c r="AC289" s="45" t="n"/>
      <c r="AD289" s="45" t="n"/>
      <c r="AE289" s="45" t="n">
        <v>0.996907208115226</v>
      </c>
      <c r="AF289" s="75">
        <f>IFERROR(AVERAGE(L289:U289),"")</f>
        <v/>
      </c>
      <c r="AG289" s="75">
        <f>IFERROR(AVERAGE(V289:AE289),"")</f>
        <v/>
      </c>
      <c r="AH289" s="75">
        <f>IFERROR(AVERAGE(B289:K289),"")</f>
        <v/>
      </c>
      <c r="AI289" s="45" t="n">
        <v>0.990642547607422</v>
      </c>
      <c r="AJ289" s="47" t="n">
        <v>0</v>
      </c>
    </row>
    <row r="290" ht="15" customHeight="1" s="30">
      <c r="A290" s="73" t="inlineStr">
        <is>
          <t>8303.jpg</t>
        </is>
      </c>
      <c r="B290" s="45" t="n"/>
      <c r="C290" s="45" t="n"/>
      <c r="D290" s="45" t="n"/>
      <c r="E290" s="45" t="n"/>
      <c r="F290" s="45" t="n">
        <v>0.851851851851852</v>
      </c>
      <c r="G290" s="45" t="n"/>
      <c r="H290" s="45" t="n">
        <v>0.6329259857044039</v>
      </c>
      <c r="I290" s="45" t="n"/>
      <c r="J290" s="45" t="n"/>
      <c r="K290" s="45" t="n">
        <v>0.992932013252475</v>
      </c>
      <c r="L290" s="45" t="n"/>
      <c r="M290" s="45" t="n"/>
      <c r="N290" s="45" t="n"/>
      <c r="O290" s="45" t="n"/>
      <c r="P290" s="45" t="n">
        <v>0.9758595464520849</v>
      </c>
      <c r="Q290" s="45" t="n"/>
      <c r="R290" s="45" t="n">
        <v>0.9248652291105121</v>
      </c>
      <c r="S290" s="45" t="n"/>
      <c r="T290" s="45" t="n"/>
      <c r="U290" s="45" t="n">
        <v>0.993917978038005</v>
      </c>
      <c r="V290" s="45" t="n"/>
      <c r="W290" s="45" t="n"/>
      <c r="X290" s="45" t="n"/>
      <c r="Y290" s="45" t="n"/>
      <c r="Z290" s="45" t="n">
        <v>0.870189171559035</v>
      </c>
      <c r="AA290" s="45" t="n"/>
      <c r="AB290" s="45" t="n">
        <v>0.667233835683034</v>
      </c>
      <c r="AC290" s="45" t="n"/>
      <c r="AD290" s="45" t="n"/>
      <c r="AE290" s="45" t="n">
        <v>0.999001937644495</v>
      </c>
      <c r="AF290" s="75">
        <f>IFERROR(AVERAGE(L290:U290),"")</f>
        <v/>
      </c>
      <c r="AG290" s="75">
        <f>IFERROR(AVERAGE(V290:AE290),"")</f>
        <v/>
      </c>
      <c r="AH290" s="75">
        <f>IFERROR(AVERAGE(B290:K290),"")</f>
        <v/>
      </c>
      <c r="AI290" s="45" t="n">
        <v>0.9930419921875</v>
      </c>
      <c r="AJ290" s="47" t="n">
        <v>0</v>
      </c>
    </row>
    <row r="291" ht="15" customHeight="1" s="30">
      <c r="A291" s="73" t="inlineStr">
        <is>
          <t>8307.jpg</t>
        </is>
      </c>
      <c r="B291" s="45" t="n"/>
      <c r="C291" s="45" t="n"/>
      <c r="D291" s="45" t="n"/>
      <c r="E291" s="45" t="n"/>
      <c r="F291" s="45" t="n"/>
      <c r="G291" s="45" t="n"/>
      <c r="H291" s="45" t="n">
        <v>0.76165515711235</v>
      </c>
      <c r="I291" s="45" t="n"/>
      <c r="J291" s="45" t="n"/>
      <c r="K291" s="45" t="n">
        <v>0.963380077637303</v>
      </c>
      <c r="L291" s="45" t="n"/>
      <c r="M291" s="45" t="n"/>
      <c r="N291" s="45" t="n"/>
      <c r="O291" s="45" t="n"/>
      <c r="P291" s="45" t="n"/>
      <c r="Q291" s="45" t="n"/>
      <c r="R291" s="45" t="n">
        <v>0.96239837398374</v>
      </c>
      <c r="S291" s="45" t="n"/>
      <c r="T291" s="45" t="n"/>
      <c r="U291" s="45" t="n">
        <v>0.967805040923256</v>
      </c>
      <c r="V291" s="45" t="n"/>
      <c r="W291" s="45" t="n"/>
      <c r="X291" s="45" t="n"/>
      <c r="Y291" s="45" t="n"/>
      <c r="Z291" s="45" t="n"/>
      <c r="AA291" s="45" t="n"/>
      <c r="AB291" s="45" t="n">
        <v>0.785016007317631</v>
      </c>
      <c r="AC291" s="45" t="n"/>
      <c r="AD291" s="45" t="n"/>
      <c r="AE291" s="45" t="n">
        <v>0.995276457122733</v>
      </c>
      <c r="AF291" s="75">
        <f>IFERROR(AVERAGE(L291:U291),"")</f>
        <v/>
      </c>
      <c r="AG291" s="75">
        <f>IFERROR(AVERAGE(V291:AE291),"")</f>
        <v/>
      </c>
      <c r="AH291" s="75">
        <f>IFERROR(AVERAGE(B291:K291),"")</f>
        <v/>
      </c>
      <c r="AI291" s="45" t="n">
        <v>0.967216491699219</v>
      </c>
      <c r="AJ291" s="47" t="n">
        <v>0</v>
      </c>
    </row>
    <row r="292" ht="15" customHeight="1" s="30">
      <c r="A292" s="73" t="inlineStr">
        <is>
          <t>8308.jpg</t>
        </is>
      </c>
      <c r="B292" s="45" t="n"/>
      <c r="C292" s="45" t="n"/>
      <c r="D292" s="45" t="n"/>
      <c r="E292" s="45" t="n"/>
      <c r="F292" s="45" t="n"/>
      <c r="G292" s="45" t="n"/>
      <c r="H292" s="45" t="n">
        <v>0.798435342843994</v>
      </c>
      <c r="I292" s="45" t="n"/>
      <c r="J292" s="45" t="n"/>
      <c r="K292" s="45" t="n">
        <v>0.980177652339555</v>
      </c>
      <c r="L292" s="45" t="n"/>
      <c r="M292" s="45" t="n"/>
      <c r="N292" s="45" t="n"/>
      <c r="O292" s="45" t="n"/>
      <c r="P292" s="45" t="n"/>
      <c r="Q292" s="45" t="n"/>
      <c r="R292" s="45" t="n">
        <v>0.950779654261944</v>
      </c>
      <c r="S292" s="45" t="n"/>
      <c r="T292" s="45" t="n"/>
      <c r="U292" s="45" t="n">
        <v>0.984178195653341</v>
      </c>
      <c r="V292" s="45" t="n"/>
      <c r="W292" s="45" t="n"/>
      <c r="X292" s="45" t="n"/>
      <c r="Y292" s="45" t="n"/>
      <c r="Z292" s="45" t="n"/>
      <c r="AA292" s="45" t="n"/>
      <c r="AB292" s="45" t="n">
        <v>0.83286057167794</v>
      </c>
      <c r="AC292" s="45" t="n"/>
      <c r="AD292" s="45" t="n"/>
      <c r="AE292" s="45" t="n">
        <v>0.995870065920102</v>
      </c>
      <c r="AF292" s="75">
        <f>IFERROR(AVERAGE(L292:U292),"")</f>
        <v/>
      </c>
      <c r="AG292" s="75">
        <f>IFERROR(AVERAGE(V292:AE292),"")</f>
        <v/>
      </c>
      <c r="AH292" s="75">
        <f>IFERROR(AVERAGE(B292:K292),"")</f>
        <v/>
      </c>
      <c r="AI292" s="45" t="n">
        <v>0.981620788574219</v>
      </c>
      <c r="AJ292" s="47" t="n">
        <v>0</v>
      </c>
    </row>
    <row r="293" ht="15" customHeight="1" s="30">
      <c r="A293" s="73" t="inlineStr">
        <is>
          <t>8309.jpg</t>
        </is>
      </c>
      <c r="B293" s="45" t="n"/>
      <c r="C293" s="45" t="n"/>
      <c r="D293" s="45" t="n"/>
      <c r="E293" s="45" t="n"/>
      <c r="F293" s="45" t="n"/>
      <c r="G293" s="45" t="n"/>
      <c r="H293" s="45" t="n">
        <v>0.619646333549643</v>
      </c>
      <c r="I293" s="45" t="n"/>
      <c r="J293" s="45" t="n"/>
      <c r="K293" s="45" t="n">
        <v>0.962011779669942</v>
      </c>
      <c r="L293" s="45" t="n"/>
      <c r="M293" s="45" t="n"/>
      <c r="N293" s="45" t="n"/>
      <c r="O293" s="45" t="n"/>
      <c r="P293" s="45" t="n"/>
      <c r="Q293" s="45" t="n"/>
      <c r="R293" s="45" t="n">
        <v>0.963364650986821</v>
      </c>
      <c r="S293" s="45" t="n"/>
      <c r="T293" s="45" t="n"/>
      <c r="U293" s="45" t="n">
        <v>0.964281218913048</v>
      </c>
      <c r="V293" s="45" t="n"/>
      <c r="W293" s="45" t="n"/>
      <c r="X293" s="45" t="n"/>
      <c r="Y293" s="45" t="n"/>
      <c r="Z293" s="45" t="n"/>
      <c r="AA293" s="45" t="n"/>
      <c r="AB293" s="45" t="n">
        <v>0.63460020768432</v>
      </c>
      <c r="AC293" s="45" t="n"/>
      <c r="AD293" s="45" t="n"/>
      <c r="AE293" s="45" t="n">
        <v>0.997559531060323</v>
      </c>
      <c r="AF293" s="75">
        <f>IFERROR(AVERAGE(L293:U293),"")</f>
        <v/>
      </c>
      <c r="AG293" s="75">
        <f>IFERROR(AVERAGE(V293:AE293),"")</f>
        <v/>
      </c>
      <c r="AH293" s="75">
        <f>IFERROR(AVERAGE(B293:K293),"")</f>
        <v/>
      </c>
      <c r="AI293" s="45" t="n">
        <v>0.964225769042969</v>
      </c>
      <c r="AJ293" s="47" t="n">
        <v>0</v>
      </c>
    </row>
    <row r="294" ht="15" customHeight="1" s="30">
      <c r="A294" s="73" t="inlineStr">
        <is>
          <t>8310.jpg</t>
        </is>
      </c>
      <c r="B294" s="45" t="n"/>
      <c r="C294" s="45" t="n"/>
      <c r="D294" s="45" t="n"/>
      <c r="E294" s="45" t="n"/>
      <c r="F294" s="45" t="n"/>
      <c r="G294" s="45" t="n"/>
      <c r="H294" s="45" t="n">
        <v>0.815575358388222</v>
      </c>
      <c r="I294" s="45" t="n"/>
      <c r="J294" s="45" t="n"/>
      <c r="K294" s="45" t="n">
        <v>0.9736432985914411</v>
      </c>
      <c r="L294" s="45" t="n"/>
      <c r="M294" s="45" t="n"/>
      <c r="N294" s="45" t="n"/>
      <c r="O294" s="45" t="n"/>
      <c r="P294" s="45" t="n"/>
      <c r="Q294" s="45" t="n"/>
      <c r="R294" s="45" t="n">
        <v>0.93513993780542</v>
      </c>
      <c r="S294" s="45" t="n"/>
      <c r="T294" s="45" t="n"/>
      <c r="U294" s="45" t="n">
        <v>0.98157857446507</v>
      </c>
      <c r="V294" s="45" t="n"/>
      <c r="W294" s="45" t="n"/>
      <c r="X294" s="45" t="n"/>
      <c r="Y294" s="45" t="n"/>
      <c r="Z294" s="45" t="n"/>
      <c r="AA294" s="45" t="n"/>
      <c r="AB294" s="45" t="n">
        <v>0.864476386036961</v>
      </c>
      <c r="AC294" s="45" t="n"/>
      <c r="AD294" s="45" t="n"/>
      <c r="AE294" s="45" t="n">
        <v>0.991765333703561</v>
      </c>
      <c r="AF294" s="75">
        <f>IFERROR(AVERAGE(L294:U294),"")</f>
        <v/>
      </c>
      <c r="AG294" s="75">
        <f>IFERROR(AVERAGE(V294:AE294),"")</f>
        <v/>
      </c>
      <c r="AH294" s="75">
        <f>IFERROR(AVERAGE(B294:K294),"")</f>
        <v/>
      </c>
      <c r="AI294" s="45" t="n">
        <v>0.9763946533203131</v>
      </c>
      <c r="AJ294" s="47" t="n">
        <v>0</v>
      </c>
    </row>
    <row r="295" ht="15" customHeight="1" s="30">
      <c r="A295" s="73" t="inlineStr">
        <is>
          <t>8316.jpg</t>
        </is>
      </c>
      <c r="B295" s="45" t="n"/>
      <c r="C295" s="45" t="n"/>
      <c r="D295" s="45" t="n"/>
      <c r="E295" s="45" t="n"/>
      <c r="F295" s="45" t="n"/>
      <c r="G295" s="45" t="n"/>
      <c r="H295" s="45" t="n">
        <v>0.910729927007299</v>
      </c>
      <c r="I295" s="45" t="n"/>
      <c r="J295" s="45" t="n"/>
      <c r="K295" s="45" t="n">
        <v>0.960818444911951</v>
      </c>
      <c r="L295" s="45" t="n"/>
      <c r="M295" s="45" t="n"/>
      <c r="N295" s="45" t="n"/>
      <c r="O295" s="45" t="n"/>
      <c r="P295" s="45" t="n"/>
      <c r="Q295" s="45" t="n"/>
      <c r="R295" s="45" t="n">
        <v>0.962632445221685</v>
      </c>
      <c r="S295" s="45" t="n"/>
      <c r="T295" s="45" t="n"/>
      <c r="U295" s="45" t="n">
        <v>0.975962164273007</v>
      </c>
      <c r="V295" s="45" t="n"/>
      <c r="W295" s="45" t="n"/>
      <c r="X295" s="45" t="n"/>
      <c r="Y295" s="45" t="n"/>
      <c r="Z295" s="45" t="n"/>
      <c r="AA295" s="45" t="n"/>
      <c r="AB295" s="45" t="n">
        <v>0.944106741998134</v>
      </c>
      <c r="AC295" s="45" t="n"/>
      <c r="AD295" s="45" t="n"/>
      <c r="AE295" s="45" t="n">
        <v>0.984107191687175</v>
      </c>
      <c r="AF295" s="75">
        <f>IFERROR(AVERAGE(L295:U295),"")</f>
        <v/>
      </c>
      <c r="AG295" s="75">
        <f>IFERROR(AVERAGE(V295:AE295),"")</f>
        <v/>
      </c>
      <c r="AH295" s="75">
        <f>IFERROR(AVERAGE(B295:K295),"")</f>
        <v/>
      </c>
      <c r="AI295" s="45" t="n">
        <v>0.972007751464844</v>
      </c>
      <c r="AJ295" s="47" t="n">
        <v>0</v>
      </c>
    </row>
    <row r="296" ht="15" customHeight="1" s="30">
      <c r="A296" s="73" t="inlineStr">
        <is>
          <t>8324.jpg</t>
        </is>
      </c>
      <c r="B296" s="45" t="n"/>
      <c r="C296" s="45" t="n"/>
      <c r="D296" s="45" t="n"/>
      <c r="E296" s="45" t="n"/>
      <c r="F296" s="45" t="n">
        <v>0.91857359217954</v>
      </c>
      <c r="G296" s="45" t="n"/>
      <c r="H296" s="45" t="n">
        <v>0.807186950374177</v>
      </c>
      <c r="I296" s="45" t="n">
        <v>0.884845693228927</v>
      </c>
      <c r="J296" s="45" t="n"/>
      <c r="K296" s="45" t="n">
        <v>0.9591651944549699</v>
      </c>
      <c r="L296" s="45" t="n"/>
      <c r="M296" s="45" t="n"/>
      <c r="N296" s="45" t="n"/>
      <c r="O296" s="45" t="n"/>
      <c r="P296" s="45" t="n">
        <v>0.925711114194533</v>
      </c>
      <c r="Q296" s="45" t="n"/>
      <c r="R296" s="45" t="n">
        <v>0.918783120706575</v>
      </c>
      <c r="S296" s="45" t="n">
        <v>0.936159844054581</v>
      </c>
      <c r="T296" s="45" t="n"/>
      <c r="U296" s="45" t="n">
        <v>0.9815139337905751</v>
      </c>
      <c r="V296" s="45" t="n"/>
      <c r="W296" s="45" t="n"/>
      <c r="X296" s="45" t="n"/>
      <c r="Y296" s="45" t="n"/>
      <c r="Z296" s="45" t="n">
        <v>0.991676080623105</v>
      </c>
      <c r="AA296" s="45" t="n"/>
      <c r="AB296" s="45" t="n">
        <v>0.869206773618538</v>
      </c>
      <c r="AC296" s="45" t="n">
        <v>0.941666666666667</v>
      </c>
      <c r="AD296" s="45" t="n"/>
      <c r="AE296" s="45" t="n">
        <v>0.976811434413495</v>
      </c>
      <c r="AF296" s="75">
        <f>IFERROR(AVERAGE(L296:U296),"")</f>
        <v/>
      </c>
      <c r="AG296" s="75">
        <f>IFERROR(AVERAGE(V296:AE296),"")</f>
        <v/>
      </c>
      <c r="AH296" s="75">
        <f>IFERROR(AVERAGE(B296:K296),"")</f>
        <v/>
      </c>
      <c r="AI296" s="45" t="n">
        <v>0.9673919677734381</v>
      </c>
      <c r="AJ296" s="47" t="n">
        <v>0</v>
      </c>
    </row>
    <row r="297" ht="15" customHeight="1" s="30">
      <c r="A297" s="73" t="inlineStr">
        <is>
          <t>8329.jpg</t>
        </is>
      </c>
      <c r="B297" s="45" t="n"/>
      <c r="C297" s="45" t="n"/>
      <c r="D297" s="45" t="n"/>
      <c r="E297" s="45" t="n"/>
      <c r="F297" s="45" t="n"/>
      <c r="G297" s="45" t="n"/>
      <c r="H297" s="45" t="n">
        <v>0.933285169049339</v>
      </c>
      <c r="I297" s="45" t="n"/>
      <c r="J297" s="45" t="n"/>
      <c r="K297" s="45" t="n">
        <v>0.931905701836058</v>
      </c>
      <c r="L297" s="45" t="n"/>
      <c r="M297" s="45" t="n"/>
      <c r="N297" s="45" t="n"/>
      <c r="O297" s="45" t="n"/>
      <c r="P297" s="45" t="n"/>
      <c r="Q297" s="45" t="n"/>
      <c r="R297" s="45" t="n">
        <v>0.9596089201032481</v>
      </c>
      <c r="S297" s="45" t="n"/>
      <c r="T297" s="45" t="n"/>
      <c r="U297" s="45" t="n">
        <v>0.9708315227512569</v>
      </c>
      <c r="V297" s="45" t="n"/>
      <c r="W297" s="45" t="n"/>
      <c r="X297" s="45" t="n"/>
      <c r="Y297" s="45" t="n"/>
      <c r="Z297" s="45" t="n"/>
      <c r="AA297" s="45" t="n"/>
      <c r="AB297" s="45" t="n">
        <v>0.97144658483228</v>
      </c>
      <c r="AC297" s="45" t="n"/>
      <c r="AD297" s="45" t="n"/>
      <c r="AE297" s="45" t="n">
        <v>0.958749693477195</v>
      </c>
      <c r="AF297" s="75">
        <f>IFERROR(AVERAGE(L297:U297),"")</f>
        <v/>
      </c>
      <c r="AG297" s="75">
        <f>IFERROR(AVERAGE(V297:AE297),"")</f>
        <v/>
      </c>
      <c r="AH297" s="75">
        <f>IFERROR(AVERAGE(B297:K297),"")</f>
        <v/>
      </c>
      <c r="AI297" s="45" t="n">
        <v>0.965126037597656</v>
      </c>
      <c r="AJ297" s="47" t="n">
        <v>0</v>
      </c>
    </row>
    <row r="298" ht="15" customHeight="1" s="30">
      <c r="A298" s="73" t="inlineStr">
        <is>
          <t>8332.jpg</t>
        </is>
      </c>
      <c r="B298" s="45" t="n"/>
      <c r="C298" s="45" t="n"/>
      <c r="D298" s="45" t="n"/>
      <c r="E298" s="45" t="n"/>
      <c r="F298" s="45" t="n"/>
      <c r="G298" s="45" t="n"/>
      <c r="H298" s="45" t="n">
        <v>0.9603782374527</v>
      </c>
      <c r="I298" s="45" t="n"/>
      <c r="J298" s="45" t="n"/>
      <c r="K298" s="45" t="n">
        <v>0.966481142185501</v>
      </c>
      <c r="L298" s="45" t="n"/>
      <c r="M298" s="45" t="n"/>
      <c r="N298" s="45" t="n"/>
      <c r="O298" s="45" t="n"/>
      <c r="P298" s="45" t="n"/>
      <c r="Q298" s="45" t="n"/>
      <c r="R298" s="45" t="n">
        <v>0.992961078906897</v>
      </c>
      <c r="S298" s="45" t="n"/>
      <c r="T298" s="45" t="n"/>
      <c r="U298" s="45" t="n">
        <v>0.9720796650950611</v>
      </c>
      <c r="V298" s="45" t="n"/>
      <c r="W298" s="45" t="n"/>
      <c r="X298" s="45" t="n"/>
      <c r="Y298" s="45" t="n"/>
      <c r="Z298" s="45" t="n"/>
      <c r="AA298" s="45" t="n"/>
      <c r="AB298" s="45" t="n">
        <v>0.966961258681413</v>
      </c>
      <c r="AC298" s="45" t="n"/>
      <c r="AD298" s="45" t="n"/>
      <c r="AE298" s="45" t="n">
        <v>0.994076233821647</v>
      </c>
      <c r="AF298" s="75">
        <f>IFERROR(AVERAGE(L298:U298),"")</f>
        <v/>
      </c>
      <c r="AG298" s="75">
        <f>IFERROR(AVERAGE(V298:AE298),"")</f>
        <v/>
      </c>
      <c r="AH298" s="75">
        <f>IFERROR(AVERAGE(B298:K298),"")</f>
        <v/>
      </c>
      <c r="AI298" s="45" t="n">
        <v>0.98150634765625</v>
      </c>
      <c r="AJ298" s="47" t="n">
        <v>0</v>
      </c>
    </row>
    <row r="299" ht="15" customHeight="1" s="30">
      <c r="A299" s="73" t="inlineStr">
        <is>
          <t>8338.jpg</t>
        </is>
      </c>
      <c r="B299" s="45" t="n"/>
      <c r="C299" s="45" t="n"/>
      <c r="D299" s="45" t="n">
        <v>0.9132032146957521</v>
      </c>
      <c r="E299" s="45" t="n"/>
      <c r="F299" s="45" t="n">
        <v>0</v>
      </c>
      <c r="G299" s="45" t="n"/>
      <c r="H299" s="45" t="n">
        <v>0.866315050988449</v>
      </c>
      <c r="I299" s="45" t="n"/>
      <c r="J299" s="45" t="n"/>
      <c r="K299" s="45" t="n">
        <v>0.932319073282143</v>
      </c>
      <c r="L299" s="45" t="n"/>
      <c r="M299" s="45" t="n"/>
      <c r="N299" s="45" t="n">
        <v>0.9728473581213311</v>
      </c>
      <c r="O299" s="45" t="n"/>
      <c r="P299" s="45" t="n">
        <v>0</v>
      </c>
      <c r="Q299" s="45" t="n"/>
      <c r="R299" s="45" t="n">
        <v>0.929261573607472</v>
      </c>
      <c r="S299" s="45" t="n"/>
      <c r="T299" s="45" t="n"/>
      <c r="U299" s="45" t="n">
        <v>0.970397784935798</v>
      </c>
      <c r="V299" s="45" t="n"/>
      <c r="W299" s="45" t="n"/>
      <c r="X299" s="45" t="n">
        <v>0.9370876531573989</v>
      </c>
      <c r="Y299" s="45" t="n"/>
      <c r="Z299" s="45" t="n"/>
      <c r="AA299" s="45" t="n"/>
      <c r="AB299" s="45" t="n">
        <v>0.927479277877626</v>
      </c>
      <c r="AC299" s="45" t="n"/>
      <c r="AD299" s="45" t="n"/>
      <c r="AE299" s="45" t="n">
        <v>0.959611000207263</v>
      </c>
      <c r="AF299" s="75">
        <f>IFERROR(AVERAGE(L299:U299),"")</f>
        <v/>
      </c>
      <c r="AG299" s="75">
        <f>IFERROR(AVERAGE(V299:AE299),"")</f>
        <v/>
      </c>
      <c r="AH299" s="75">
        <f>IFERROR(AVERAGE(B299:K299),"")</f>
        <v/>
      </c>
      <c r="AI299" s="45" t="n">
        <v>0.950107574462891</v>
      </c>
      <c r="AJ299" s="47" t="n">
        <v>0</v>
      </c>
    </row>
    <row r="300" ht="15" customHeight="1" s="30">
      <c r="A300" s="73" t="inlineStr">
        <is>
          <t>8339.jpg</t>
        </is>
      </c>
      <c r="B300" s="45" t="n"/>
      <c r="C300" s="45" t="n"/>
      <c r="D300" s="45" t="n">
        <v>0.928268050967438</v>
      </c>
      <c r="E300" s="45" t="n"/>
      <c r="F300" s="45" t="n">
        <v>0</v>
      </c>
      <c r="G300" s="45" t="n"/>
      <c r="H300" s="45" t="n">
        <v>0.840674838080646</v>
      </c>
      <c r="I300" s="45" t="n"/>
      <c r="J300" s="45" t="n"/>
      <c r="K300" s="45" t="n">
        <v>0.945084445122591</v>
      </c>
      <c r="L300" s="45" t="n"/>
      <c r="M300" s="45" t="n"/>
      <c r="N300" s="45" t="n">
        <v>0.988690625785373</v>
      </c>
      <c r="O300" s="45" t="n"/>
      <c r="P300" s="45" t="n">
        <v>0</v>
      </c>
      <c r="Q300" s="45" t="n"/>
      <c r="R300" s="45" t="n">
        <v>0.927879626426842</v>
      </c>
      <c r="S300" s="45" t="n"/>
      <c r="T300" s="45" t="n"/>
      <c r="U300" s="45" t="n">
        <v>0.973219941176182</v>
      </c>
      <c r="V300" s="45" t="n"/>
      <c r="W300" s="45" t="n"/>
      <c r="X300" s="45" t="n">
        <v>0.938230383973289</v>
      </c>
      <c r="Y300" s="45" t="n"/>
      <c r="Z300" s="45" t="n"/>
      <c r="AA300" s="45" t="n"/>
      <c r="AB300" s="45" t="n">
        <v>0.899446752230688</v>
      </c>
      <c r="AC300" s="45" t="n"/>
      <c r="AD300" s="45" t="n"/>
      <c r="AE300" s="45" t="n">
        <v>0.970318405232342</v>
      </c>
      <c r="AF300" s="75">
        <f>IFERROR(AVERAGE(L300:U300),"")</f>
        <v/>
      </c>
      <c r="AG300" s="75">
        <f>IFERROR(AVERAGE(V300:AE300),"")</f>
        <v/>
      </c>
      <c r="AH300" s="75">
        <f>IFERROR(AVERAGE(B300:K300),"")</f>
        <v/>
      </c>
      <c r="AI300" s="45" t="n">
        <v>0.955291748046875</v>
      </c>
      <c r="AJ300" s="47" t="n">
        <v>0</v>
      </c>
    </row>
    <row r="301" ht="15" customHeight="1" s="30">
      <c r="A301" s="73" t="inlineStr">
        <is>
          <t>8340.jpg</t>
        </is>
      </c>
      <c r="B301" s="45" t="n"/>
      <c r="C301" s="45" t="n"/>
      <c r="D301" s="45" t="n">
        <v>0.9374709437470941</v>
      </c>
      <c r="E301" s="45" t="n"/>
      <c r="F301" s="45" t="n">
        <v>0</v>
      </c>
      <c r="G301" s="45" t="n"/>
      <c r="H301" s="45" t="n">
        <v>0.85370598163458</v>
      </c>
      <c r="I301" s="45" t="n"/>
      <c r="J301" s="45" t="n"/>
      <c r="K301" s="45" t="n">
        <v>0.969495061961101</v>
      </c>
      <c r="L301" s="45" t="n"/>
      <c r="M301" s="45" t="n"/>
      <c r="N301" s="45" t="n">
        <v>0.9819819819819821</v>
      </c>
      <c r="O301" s="45" t="n"/>
      <c r="P301" s="45" t="n">
        <v>0</v>
      </c>
      <c r="Q301" s="45" t="n"/>
      <c r="R301" s="45" t="n">
        <v>0.923303013427387</v>
      </c>
      <c r="S301" s="45" t="n"/>
      <c r="T301" s="45" t="n"/>
      <c r="U301" s="45" t="n">
        <v>0.987987867254542</v>
      </c>
      <c r="V301" s="45" t="n"/>
      <c r="W301" s="45" t="n"/>
      <c r="X301" s="45" t="n">
        <v>0.953878902554399</v>
      </c>
      <c r="Y301" s="45" t="n"/>
      <c r="Z301" s="45" t="n"/>
      <c r="AA301" s="45" t="n"/>
      <c r="AB301" s="45" t="n">
        <v>0.918868156906214</v>
      </c>
      <c r="AC301" s="45" t="n"/>
      <c r="AD301" s="45" t="n"/>
      <c r="AE301" s="45" t="n">
        <v>0.9810590938528549</v>
      </c>
      <c r="AF301" s="75">
        <f>IFERROR(AVERAGE(L301:U301),"")</f>
        <v/>
      </c>
      <c r="AG301" s="75">
        <f>IFERROR(AVERAGE(V301:AE301),"")</f>
        <v/>
      </c>
      <c r="AH301" s="75">
        <f>IFERROR(AVERAGE(B301:K301),"")</f>
        <v/>
      </c>
      <c r="AI301" s="45" t="n">
        <v>0.9729156494140631</v>
      </c>
      <c r="AJ301" s="47" t="n">
        <v>0</v>
      </c>
    </row>
    <row r="302" ht="15" customHeight="1" s="30">
      <c r="A302" s="73" t="inlineStr">
        <is>
          <t>8341.jpg</t>
        </is>
      </c>
      <c r="B302" s="45" t="n"/>
      <c r="C302" s="45" t="n"/>
      <c r="D302" s="45" t="n">
        <v>0.940089228808158</v>
      </c>
      <c r="E302" s="45" t="n"/>
      <c r="F302" s="45" t="n"/>
      <c r="G302" s="45" t="n"/>
      <c r="H302" s="45" t="n">
        <v>0.656656006396162</v>
      </c>
      <c r="I302" s="45" t="n"/>
      <c r="J302" s="45" t="n"/>
      <c r="K302" s="45" t="n">
        <v>0.97137515495133</v>
      </c>
      <c r="L302" s="45" t="n"/>
      <c r="M302" s="45" t="n"/>
      <c r="N302" s="45" t="n">
        <v>0.961851972611673</v>
      </c>
      <c r="O302" s="45" t="n"/>
      <c r="P302" s="45" t="n"/>
      <c r="Q302" s="45" t="n"/>
      <c r="R302" s="45" t="n">
        <v>0.972902939216703</v>
      </c>
      <c r="S302" s="45" t="n"/>
      <c r="T302" s="45" t="n"/>
      <c r="U302" s="45" t="n">
        <v>0.973254061978255</v>
      </c>
      <c r="V302" s="45" t="n"/>
      <c r="W302" s="45" t="n"/>
      <c r="X302" s="45" t="n">
        <v>0.976497848394571</v>
      </c>
      <c r="Y302" s="45" t="n"/>
      <c r="Z302" s="45" t="n"/>
      <c r="AA302" s="45" t="n"/>
      <c r="AB302" s="45" t="n">
        <v>0.668889341341749</v>
      </c>
      <c r="AC302" s="45" t="n"/>
      <c r="AD302" s="45" t="n"/>
      <c r="AE302" s="45" t="n">
        <v>0.998016510980178</v>
      </c>
      <c r="AF302" s="75">
        <f>IFERROR(AVERAGE(L302:U302),"")</f>
        <v/>
      </c>
      <c r="AG302" s="75">
        <f>IFERROR(AVERAGE(V302:AE302),"")</f>
        <v/>
      </c>
      <c r="AH302" s="75">
        <f>IFERROR(AVERAGE(B302:K302),"")</f>
        <v/>
      </c>
      <c r="AI302" s="45" t="n">
        <v>0.973102569580078</v>
      </c>
      <c r="AJ302" s="47" t="n">
        <v>0</v>
      </c>
    </row>
    <row r="303" ht="15" customHeight="1" s="30">
      <c r="A303" s="73" t="inlineStr">
        <is>
          <t>8343.jpg</t>
        </is>
      </c>
      <c r="B303" s="45" t="n"/>
      <c r="C303" s="45" t="n"/>
      <c r="D303" s="45" t="n"/>
      <c r="E303" s="45" t="n"/>
      <c r="F303" s="45" t="n">
        <v>0.8605847659681271</v>
      </c>
      <c r="G303" s="45" t="n">
        <v>0.645971099681607</v>
      </c>
      <c r="H303" s="45" t="n"/>
      <c r="I303" s="45" t="n"/>
      <c r="J303" s="45" t="n"/>
      <c r="K303" s="45" t="n">
        <v>0.978972087533364</v>
      </c>
      <c r="L303" s="45" t="n"/>
      <c r="M303" s="45" t="n"/>
      <c r="N303" s="45" t="n"/>
      <c r="O303" s="45" t="n"/>
      <c r="P303" s="45" t="n">
        <v>0.868266126479711</v>
      </c>
      <c r="Q303" s="45" t="n">
        <v>0.993970228000754</v>
      </c>
      <c r="R303" s="45" t="n"/>
      <c r="S303" s="45" t="n"/>
      <c r="T303" s="45" t="n"/>
      <c r="U303" s="45" t="n">
        <v>0.987553932957186</v>
      </c>
      <c r="V303" s="45" t="n"/>
      <c r="W303" s="45" t="n"/>
      <c r="X303" s="45" t="n"/>
      <c r="Y303" s="45" t="n"/>
      <c r="Z303" s="45" t="n">
        <v>0.989824637367396</v>
      </c>
      <c r="AA303" s="45" t="n">
        <v>0.648512417014999</v>
      </c>
      <c r="AB303" s="45" t="n"/>
      <c r="AC303" s="45" t="n"/>
      <c r="AD303" s="45" t="n"/>
      <c r="AE303" s="45" t="n">
        <v>0.991201442413795</v>
      </c>
      <c r="AF303" s="75">
        <f>IFERROR(AVERAGE(L303:U303),"")</f>
        <v/>
      </c>
      <c r="AG303" s="75">
        <f>IFERROR(AVERAGE(V303:AE303),"")</f>
        <v/>
      </c>
      <c r="AH303" s="75">
        <f>IFERROR(AVERAGE(B303:K303),"")</f>
        <v/>
      </c>
      <c r="AI303" s="45" t="n">
        <v>0.980495452880859</v>
      </c>
      <c r="AJ303" s="47" t="n">
        <v>0</v>
      </c>
    </row>
    <row r="304" ht="15" customHeight="1" s="30">
      <c r="A304" s="73" t="inlineStr">
        <is>
          <t>8346.jpg</t>
        </is>
      </c>
      <c r="B304" s="45" t="n"/>
      <c r="C304" s="45" t="n"/>
      <c r="D304" s="45" t="n"/>
      <c r="E304" s="45" t="n"/>
      <c r="F304" s="45" t="n">
        <v>0.883627400103788</v>
      </c>
      <c r="G304" s="45" t="n"/>
      <c r="H304" s="45" t="n"/>
      <c r="I304" s="45" t="n"/>
      <c r="J304" s="45" t="n"/>
      <c r="K304" s="45" t="n">
        <v>0.992781323182656</v>
      </c>
      <c r="L304" s="45" t="n"/>
      <c r="M304" s="45" t="n"/>
      <c r="N304" s="45" t="n"/>
      <c r="O304" s="45" t="n"/>
      <c r="P304" s="45" t="n">
        <v>0.887368901048792</v>
      </c>
      <c r="Q304" s="45" t="n"/>
      <c r="R304" s="45" t="n"/>
      <c r="S304" s="45" t="n"/>
      <c r="T304" s="45" t="n"/>
      <c r="U304" s="45" t="n">
        <v>0.9997366213790509</v>
      </c>
      <c r="V304" s="45" t="n"/>
      <c r="W304" s="45" t="n"/>
      <c r="X304" s="45" t="n"/>
      <c r="Y304" s="45" t="n"/>
      <c r="Z304" s="45" t="n">
        <v>0.9952509680718929</v>
      </c>
      <c r="AA304" s="45" t="n"/>
      <c r="AB304" s="45" t="n"/>
      <c r="AC304" s="45" t="n"/>
      <c r="AD304" s="45" t="n"/>
      <c r="AE304" s="45" t="n">
        <v>0.993041049356629</v>
      </c>
      <c r="AF304" s="75">
        <f>IFERROR(AVERAGE(L304:U304),"")</f>
        <v/>
      </c>
      <c r="AG304" s="75">
        <f>IFERROR(AVERAGE(V304:AE304),"")</f>
        <v/>
      </c>
      <c r="AH304" s="75">
        <f>IFERROR(AVERAGE(B304:K304),"")</f>
        <v/>
      </c>
      <c r="AI304" s="45" t="n">
        <v>0.993156433105469</v>
      </c>
      <c r="AJ304" s="47" t="n">
        <v>0</v>
      </c>
    </row>
    <row r="305" ht="15" customHeight="1" s="30">
      <c r="A305" s="73" t="inlineStr">
        <is>
          <t>8356.jpg</t>
        </is>
      </c>
      <c r="B305" s="45" t="n"/>
      <c r="C305" s="45" t="n"/>
      <c r="D305" s="45" t="n"/>
      <c r="E305" s="45" t="n"/>
      <c r="F305" s="45" t="n">
        <v>0.9457956914523979</v>
      </c>
      <c r="G305" s="45" t="n"/>
      <c r="H305" s="45" t="n">
        <v>0.867074785479683</v>
      </c>
      <c r="I305" s="45" t="n">
        <v>0.81549815498155</v>
      </c>
      <c r="J305" s="45" t="n"/>
      <c r="K305" s="45" t="n">
        <v>0.8935586376047649</v>
      </c>
      <c r="L305" s="45" t="n"/>
      <c r="M305" s="45" t="n"/>
      <c r="N305" s="45" t="n"/>
      <c r="O305" s="45" t="n"/>
      <c r="P305" s="45" t="n">
        <v>0.971294901276663</v>
      </c>
      <c r="Q305" s="45" t="n"/>
      <c r="R305" s="45" t="n">
        <v>0.898653525695292</v>
      </c>
      <c r="S305" s="45" t="n">
        <v>0.82957957957958</v>
      </c>
      <c r="T305" s="45" t="n"/>
      <c r="U305" s="45" t="n">
        <v>0.969856304510891</v>
      </c>
      <c r="V305" s="45" t="n"/>
      <c r="W305" s="45" t="n"/>
      <c r="X305" s="45" t="n"/>
      <c r="Y305" s="45" t="n"/>
      <c r="Z305" s="45" t="n">
        <v>0.972992294860593</v>
      </c>
      <c r="AA305" s="45" t="n"/>
      <c r="AB305" s="45" t="n">
        <v>0.9610513375201321</v>
      </c>
      <c r="AC305" s="45" t="n">
        <v>0.979609929078014</v>
      </c>
      <c r="AD305" s="45" t="n"/>
      <c r="AE305" s="45" t="n">
        <v>0.919083724755042</v>
      </c>
      <c r="AF305" s="75">
        <f>IFERROR(AVERAGE(L305:U305),"")</f>
        <v/>
      </c>
      <c r="AG305" s="75">
        <f>IFERROR(AVERAGE(V305:AE305),"")</f>
        <v/>
      </c>
      <c r="AH305" s="75">
        <f>IFERROR(AVERAGE(B305:K305),"")</f>
        <v/>
      </c>
      <c r="AI305" s="45" t="n">
        <v>0.938732147216797</v>
      </c>
      <c r="AJ305" s="47" t="n">
        <v>0</v>
      </c>
    </row>
    <row r="306" ht="15" customHeight="1" s="30">
      <c r="A306" s="73" t="inlineStr">
        <is>
          <t>8358.jpg</t>
        </is>
      </c>
      <c r="B306" s="45" t="n"/>
      <c r="C306" s="45" t="n"/>
      <c r="D306" s="45" t="n"/>
      <c r="E306" s="45" t="n"/>
      <c r="F306" s="45" t="n">
        <v>0.893598254491435</v>
      </c>
      <c r="G306" s="45" t="n"/>
      <c r="H306" s="45" t="n">
        <v>0.952541086149931</v>
      </c>
      <c r="I306" s="45" t="n">
        <v>0.539172749391728</v>
      </c>
      <c r="J306" s="45" t="n"/>
      <c r="K306" s="45" t="n">
        <v>0.848218729429897</v>
      </c>
      <c r="L306" s="45" t="n"/>
      <c r="M306" s="45" t="n"/>
      <c r="N306" s="45" t="n"/>
      <c r="O306" s="45" t="n"/>
      <c r="P306" s="45" t="n">
        <v>0.904090930440092</v>
      </c>
      <c r="Q306" s="45" t="n"/>
      <c r="R306" s="45" t="n">
        <v>0.9790527582549829</v>
      </c>
      <c r="S306" s="45" t="n">
        <v>0.8432267884322679</v>
      </c>
      <c r="T306" s="45" t="n"/>
      <c r="U306" s="45" t="n">
        <v>0.917908891900344</v>
      </c>
      <c r="V306" s="45" t="n"/>
      <c r="W306" s="45" t="n"/>
      <c r="X306" s="45" t="n"/>
      <c r="Y306" s="45" t="n"/>
      <c r="Z306" s="45" t="n">
        <v>0.987178829683574</v>
      </c>
      <c r="AA306" s="45" t="n"/>
      <c r="AB306" s="45" t="n">
        <v>0.972357750199199</v>
      </c>
      <c r="AC306" s="45" t="n">
        <v>0.599242833964305</v>
      </c>
      <c r="AD306" s="45" t="n"/>
      <c r="AE306" s="45" t="n">
        <v>0.917845106146416</v>
      </c>
      <c r="AF306" s="75">
        <f>IFERROR(AVERAGE(L306:U306),"")</f>
        <v/>
      </c>
      <c r="AG306" s="75">
        <f>IFERROR(AVERAGE(V306:AE306),"")</f>
        <v/>
      </c>
      <c r="AH306" s="75">
        <f>IFERROR(AVERAGE(B306:K306),"")</f>
        <v/>
      </c>
      <c r="AI306" s="45" t="n">
        <v>0.958858489990234</v>
      </c>
      <c r="AJ306" s="47" t="n">
        <v>0</v>
      </c>
    </row>
    <row r="307" ht="15" customHeight="1" s="30">
      <c r="A307" s="73" t="inlineStr">
        <is>
          <t>8362.jpg</t>
        </is>
      </c>
      <c r="B307" s="45" t="n"/>
      <c r="C307" s="45" t="n"/>
      <c r="D307" s="45" t="n">
        <v>0</v>
      </c>
      <c r="E307" s="45" t="n"/>
      <c r="F307" s="45" t="n">
        <v>0.665615141955836</v>
      </c>
      <c r="G307" s="45" t="n"/>
      <c r="H307" s="45" t="n">
        <v>0.865272488054844</v>
      </c>
      <c r="I307" s="45" t="n"/>
      <c r="J307" s="45" t="n"/>
      <c r="K307" s="45" t="n">
        <v>0.948498222943493</v>
      </c>
      <c r="L307" s="45" t="n"/>
      <c r="M307" s="45" t="n"/>
      <c r="N307" s="45" t="n">
        <v>0</v>
      </c>
      <c r="O307" s="45" t="n"/>
      <c r="P307" s="45" t="n">
        <v>0.906691221608349</v>
      </c>
      <c r="Q307" s="45" t="n"/>
      <c r="R307" s="45" t="n">
        <v>0.894189208530127</v>
      </c>
      <c r="S307" s="45" t="n"/>
      <c r="T307" s="45" t="n"/>
      <c r="U307" s="45" t="n">
        <v>0.986673398336016</v>
      </c>
      <c r="V307" s="45" t="n"/>
      <c r="W307" s="45" t="n"/>
      <c r="X307" s="45" t="n"/>
      <c r="Y307" s="45" t="n"/>
      <c r="Z307" s="45" t="n">
        <v>0.714562167392356</v>
      </c>
      <c r="AA307" s="45" t="n"/>
      <c r="AB307" s="45" t="n">
        <v>0.963972721101031</v>
      </c>
      <c r="AC307" s="45" t="n"/>
      <c r="AD307" s="45" t="n"/>
      <c r="AE307" s="45" t="n">
        <v>0.9608071082887359</v>
      </c>
      <c r="AF307" s="75">
        <f>IFERROR(AVERAGE(L307:U307),"")</f>
        <v/>
      </c>
      <c r="AG307" s="75">
        <f>IFERROR(AVERAGE(V307:AE307),"")</f>
        <v/>
      </c>
      <c r="AH307" s="75">
        <f>IFERROR(AVERAGE(B307:K307),"")</f>
        <v/>
      </c>
      <c r="AI307" s="45" t="n">
        <v>0.959648132324219</v>
      </c>
      <c r="AJ307" s="47" t="n">
        <v>0</v>
      </c>
    </row>
    <row r="308" ht="15" customHeight="1" s="30">
      <c r="A308" s="73" t="inlineStr">
        <is>
          <t>8363.jpg</t>
        </is>
      </c>
      <c r="B308" s="45" t="n"/>
      <c r="C308" s="45" t="n"/>
      <c r="D308" s="45" t="n">
        <v>0</v>
      </c>
      <c r="E308" s="45" t="n"/>
      <c r="F308" s="45" t="n"/>
      <c r="G308" s="45" t="n"/>
      <c r="H308" s="45" t="n">
        <v>0.871583965019802</v>
      </c>
      <c r="I308" s="45" t="n"/>
      <c r="J308" s="45" t="n"/>
      <c r="K308" s="45" t="n">
        <v>0.965954277845691</v>
      </c>
      <c r="L308" s="45" t="n"/>
      <c r="M308" s="45" t="n"/>
      <c r="N308" s="45" t="n">
        <v>0</v>
      </c>
      <c r="O308" s="45" t="n"/>
      <c r="P308" s="45" t="n"/>
      <c r="Q308" s="45" t="n"/>
      <c r="R308" s="45" t="n">
        <v>0.926066260472201</v>
      </c>
      <c r="S308" s="45" t="n"/>
      <c r="T308" s="45" t="n"/>
      <c r="U308" s="45" t="n">
        <v>0.984330926255602</v>
      </c>
      <c r="V308" s="45" t="n"/>
      <c r="W308" s="45" t="n"/>
      <c r="X308" s="45" t="n"/>
      <c r="Y308" s="45" t="n"/>
      <c r="Z308" s="45" t="n"/>
      <c r="AA308" s="45" t="n"/>
      <c r="AB308" s="45" t="n">
        <v>0.936768104776579</v>
      </c>
      <c r="AC308" s="45" t="n"/>
      <c r="AD308" s="45" t="n"/>
      <c r="AE308" s="45" t="n">
        <v>0.981039272395159</v>
      </c>
      <c r="AF308" s="75">
        <f>IFERROR(AVERAGE(L308:U308),"")</f>
        <v/>
      </c>
      <c r="AG308" s="75">
        <f>IFERROR(AVERAGE(V308:AE308),"")</f>
        <v/>
      </c>
      <c r="AH308" s="75">
        <f>IFERROR(AVERAGE(B308:K308),"")</f>
        <v/>
      </c>
      <c r="AI308" s="45" t="n">
        <v>0.972270965576172</v>
      </c>
      <c r="AJ308" s="47" t="n">
        <v>0</v>
      </c>
    </row>
    <row r="309" ht="15" customHeight="1" s="30">
      <c r="A309" s="73" t="inlineStr">
        <is>
          <t>8364.jpg</t>
        </is>
      </c>
      <c r="B309" s="45" t="n"/>
      <c r="C309" s="45" t="n"/>
      <c r="D309" s="45" t="n"/>
      <c r="E309" s="45" t="n"/>
      <c r="F309" s="45" t="n">
        <v>0.930716764389135</v>
      </c>
      <c r="G309" s="45" t="n"/>
      <c r="H309" s="45" t="n">
        <v>0.85298372037977</v>
      </c>
      <c r="I309" s="45" t="n">
        <v>0.825539568345324</v>
      </c>
      <c r="J309" s="45" t="n"/>
      <c r="K309" s="45" t="n">
        <v>0.964872389114813</v>
      </c>
      <c r="L309" s="45" t="n"/>
      <c r="M309" s="45" t="n"/>
      <c r="N309" s="45" t="n"/>
      <c r="O309" s="45" t="n"/>
      <c r="P309" s="45" t="n">
        <v>0.973873121869783</v>
      </c>
      <c r="Q309" s="45" t="n"/>
      <c r="R309" s="45" t="n">
        <v>0.923070355191257</v>
      </c>
      <c r="S309" s="45" t="n">
        <v>0.867674858223062</v>
      </c>
      <c r="T309" s="45" t="n"/>
      <c r="U309" s="45" t="n">
        <v>0.9806042889802929</v>
      </c>
      <c r="V309" s="45" t="n"/>
      <c r="W309" s="45" t="n"/>
      <c r="X309" s="45" t="n"/>
      <c r="Y309" s="45" t="n"/>
      <c r="Z309" s="45" t="n">
        <v>0.95455103293107</v>
      </c>
      <c r="AA309" s="45" t="n"/>
      <c r="AB309" s="45" t="n">
        <v>0.91826160815402</v>
      </c>
      <c r="AC309" s="45" t="n">
        <v>0.944444444444444</v>
      </c>
      <c r="AD309" s="45" t="n"/>
      <c r="AE309" s="45" t="n">
        <v>0.983644801949548</v>
      </c>
      <c r="AF309" s="75">
        <f>IFERROR(AVERAGE(L309:U309),"")</f>
        <v/>
      </c>
      <c r="AG309" s="75">
        <f>IFERROR(AVERAGE(V309:AE309),"")</f>
        <v/>
      </c>
      <c r="AH309" s="75">
        <f>IFERROR(AVERAGE(B309:K309),"")</f>
        <v/>
      </c>
      <c r="AI309" s="45" t="n">
        <v>0.972049713134766</v>
      </c>
      <c r="AJ309" s="47" t="n">
        <v>0</v>
      </c>
    </row>
    <row r="310" ht="15" customHeight="1" s="30">
      <c r="A310" s="73" t="inlineStr">
        <is>
          <t>8367.jpg</t>
        </is>
      </c>
      <c r="B310" s="45" t="n"/>
      <c r="C310" s="45" t="n"/>
      <c r="D310" s="45" t="n"/>
      <c r="E310" s="45" t="n"/>
      <c r="F310" s="45" t="n">
        <v>0.906151373972555</v>
      </c>
      <c r="G310" s="45" t="n"/>
      <c r="H310" s="45" t="n">
        <v>0.825144609380445</v>
      </c>
      <c r="I310" s="45" t="n">
        <v>0.824281150159745</v>
      </c>
      <c r="J310" s="45" t="n"/>
      <c r="K310" s="45" t="n">
        <v>0.938591677563983</v>
      </c>
      <c r="L310" s="45" t="n"/>
      <c r="M310" s="45" t="n"/>
      <c r="N310" s="45" t="n"/>
      <c r="O310" s="45" t="n"/>
      <c r="P310" s="45" t="n">
        <v>0.937618124835522</v>
      </c>
      <c r="Q310" s="45" t="n"/>
      <c r="R310" s="45" t="n">
        <v>0.894462491501096</v>
      </c>
      <c r="S310" s="45" t="n">
        <v>0.86</v>
      </c>
      <c r="T310" s="45" t="n"/>
      <c r="U310" s="45" t="n">
        <v>0.976127594727671</v>
      </c>
      <c r="V310" s="45" t="n"/>
      <c r="W310" s="45" t="n"/>
      <c r="X310" s="45" t="n"/>
      <c r="Y310" s="45" t="n"/>
      <c r="Z310" s="45" t="n">
        <v>0.964286593017248</v>
      </c>
      <c r="AA310" s="45" t="n"/>
      <c r="AB310" s="45" t="n">
        <v>0.9141445336627551</v>
      </c>
      <c r="AC310" s="45" t="n">
        <v>0.952029520295203</v>
      </c>
      <c r="AD310" s="45" t="n"/>
      <c r="AE310" s="45" t="n">
        <v>0.960642671064267</v>
      </c>
      <c r="AF310" s="75">
        <f>IFERROR(AVERAGE(L310:U310),"")</f>
        <v/>
      </c>
      <c r="AG310" s="75">
        <f>IFERROR(AVERAGE(V310:AE310),"")</f>
        <v/>
      </c>
      <c r="AH310" s="75">
        <f>IFERROR(AVERAGE(B310:K310),"")</f>
        <v/>
      </c>
      <c r="AI310" s="45" t="n">
        <v>0.9594573974609381</v>
      </c>
      <c r="AJ310" s="47" t="n">
        <v>0</v>
      </c>
    </row>
    <row r="311" ht="15" customHeight="1" s="30">
      <c r="A311" s="73" t="inlineStr">
        <is>
          <t>8372.jpg</t>
        </is>
      </c>
      <c r="B311" s="45" t="n"/>
      <c r="C311" s="45" t="n"/>
      <c r="D311" s="45" t="n">
        <v>0.967784338232125</v>
      </c>
      <c r="E311" s="45" t="n"/>
      <c r="F311" s="45" t="n">
        <v>0.939906367520274</v>
      </c>
      <c r="G311" s="45" t="n"/>
      <c r="H311" s="45" t="n">
        <v>0.910794198053248</v>
      </c>
      <c r="I311" s="45" t="n">
        <v>0.650853889943074</v>
      </c>
      <c r="J311" s="45" t="n"/>
      <c r="K311" s="45" t="n">
        <v>0.858187634136672</v>
      </c>
      <c r="L311" s="45" t="n"/>
      <c r="M311" s="45" t="n"/>
      <c r="N311" s="45" t="n">
        <v>0.968326865028029</v>
      </c>
      <c r="O311" s="45" t="n"/>
      <c r="P311" s="45" t="n">
        <v>0.995987855129039</v>
      </c>
      <c r="Q311" s="45" t="n"/>
      <c r="R311" s="45" t="n">
        <v>0.929727423812867</v>
      </c>
      <c r="S311" s="45" t="n">
        <v>0.682587064676617</v>
      </c>
      <c r="T311" s="45" t="n"/>
      <c r="U311" s="45" t="n">
        <v>0.960628595911372</v>
      </c>
      <c r="V311" s="45" t="n"/>
      <c r="W311" s="45" t="n"/>
      <c r="X311" s="45" t="n">
        <v>0.999421412199301</v>
      </c>
      <c r="Y311" s="45" t="n"/>
      <c r="Z311" s="45" t="n">
        <v>0.943478595824452</v>
      </c>
      <c r="AA311" s="45" t="n"/>
      <c r="AB311" s="45" t="n">
        <v>0.9781301717609</v>
      </c>
      <c r="AC311" s="45" t="n">
        <v>0.933333333333333</v>
      </c>
      <c r="AD311" s="45" t="n"/>
      <c r="AE311" s="45" t="n">
        <v>0.889472938509493</v>
      </c>
      <c r="AF311" s="75">
        <f>IFERROR(AVERAGE(L311:U311),"")</f>
        <v/>
      </c>
      <c r="AG311" s="75">
        <f>IFERROR(AVERAGE(V311:AE311),"")</f>
        <v/>
      </c>
      <c r="AH311" s="75">
        <f>IFERROR(AVERAGE(B311:K311),"")</f>
        <v/>
      </c>
      <c r="AI311" s="45" t="n">
        <v>0.95263671875</v>
      </c>
      <c r="AJ311" s="47" t="n">
        <v>0</v>
      </c>
    </row>
    <row r="312" ht="15" customHeight="1" s="30">
      <c r="A312" s="73" t="inlineStr">
        <is>
          <t>8376.jpg</t>
        </is>
      </c>
      <c r="B312" s="45" t="n"/>
      <c r="C312" s="45" t="n"/>
      <c r="D312" s="45" t="n">
        <v>0.96524934871604</v>
      </c>
      <c r="E312" s="45" t="n"/>
      <c r="F312" s="45" t="n">
        <v>0.925387691407393</v>
      </c>
      <c r="G312" s="45" t="n"/>
      <c r="H312" s="45" t="n">
        <v>0.760200400144314</v>
      </c>
      <c r="I312" s="45" t="n">
        <v>0.785527788138754</v>
      </c>
      <c r="J312" s="45" t="n"/>
      <c r="K312" s="45" t="n">
        <v>0.741430540927034</v>
      </c>
      <c r="L312" s="45" t="n"/>
      <c r="M312" s="45" t="n"/>
      <c r="N312" s="45" t="n">
        <v>0.981550688301244</v>
      </c>
      <c r="O312" s="45" t="n"/>
      <c r="P312" s="45" t="n">
        <v>0.968360889977546</v>
      </c>
      <c r="Q312" s="45" t="n"/>
      <c r="R312" s="45" t="n">
        <v>0.967281187726272</v>
      </c>
      <c r="S312" s="45" t="n">
        <v>0.8901098901098899</v>
      </c>
      <c r="T312" s="45" t="n"/>
      <c r="U312" s="45" t="n">
        <v>0.76354962168645</v>
      </c>
      <c r="V312" s="45" t="n"/>
      <c r="W312" s="45" t="n"/>
      <c r="X312" s="45" t="n">
        <v>0.983085378565337</v>
      </c>
      <c r="Y312" s="45" t="n"/>
      <c r="Z312" s="45" t="n">
        <v>0.954239163230413</v>
      </c>
      <c r="AA312" s="45" t="n"/>
      <c r="AB312" s="45" t="n">
        <v>0.780264265275206</v>
      </c>
      <c r="AC312" s="45" t="n">
        <v>0.869888475836431</v>
      </c>
      <c r="AD312" s="45" t="n"/>
      <c r="AE312" s="45" t="n">
        <v>0.962397741419171</v>
      </c>
      <c r="AF312" s="75">
        <f>IFERROR(AVERAGE(L312:U312),"")</f>
        <v/>
      </c>
      <c r="AG312" s="75">
        <f>IFERROR(AVERAGE(V312:AE312),"")</f>
        <v/>
      </c>
      <c r="AH312" s="75">
        <f>IFERROR(AVERAGE(B312:K312),"")</f>
        <v/>
      </c>
      <c r="AI312" s="45" t="n">
        <v>0.879726409912109</v>
      </c>
      <c r="AJ312" s="47" t="n">
        <v>0</v>
      </c>
    </row>
    <row r="313" ht="15" customHeight="1" s="30">
      <c r="A313" s="73" t="inlineStr">
        <is>
          <t>8378.jpg</t>
        </is>
      </c>
      <c r="B313" s="45" t="n"/>
      <c r="C313" s="45" t="n"/>
      <c r="D313" s="45" t="n">
        <v>0.829113415320312</v>
      </c>
      <c r="E313" s="45" t="n"/>
      <c r="F313" s="45" t="n">
        <v>0.843733207952714</v>
      </c>
      <c r="G313" s="45" t="n"/>
      <c r="H313" s="45" t="n">
        <v>0.592813120233992</v>
      </c>
      <c r="I313" s="45" t="n"/>
      <c r="J313" s="45" t="n"/>
      <c r="K313" s="45" t="n">
        <v>0.764685964761072</v>
      </c>
      <c r="L313" s="45" t="n"/>
      <c r="M313" s="45" t="n"/>
      <c r="N313" s="45" t="n">
        <v>0.931629335260116</v>
      </c>
      <c r="O313" s="45" t="n"/>
      <c r="P313" s="45" t="n">
        <v>0.8941524006121651</v>
      </c>
      <c r="Q313" s="45" t="n"/>
      <c r="R313" s="45" t="n">
        <v>0.87890625</v>
      </c>
      <c r="S313" s="45" t="n"/>
      <c r="T313" s="45" t="n"/>
      <c r="U313" s="45" t="n">
        <v>0.807661046485165</v>
      </c>
      <c r="V313" s="45" t="n"/>
      <c r="W313" s="45" t="n"/>
      <c r="X313" s="45" t="n">
        <v>0.882831222184184</v>
      </c>
      <c r="Y313" s="45" t="n"/>
      <c r="Z313" s="45" t="n">
        <v>0.937355421237221</v>
      </c>
      <c r="AA313" s="45" t="n"/>
      <c r="AB313" s="45" t="n">
        <v>0.645538422649141</v>
      </c>
      <c r="AC313" s="45" t="n"/>
      <c r="AD313" s="45" t="n"/>
      <c r="AE313" s="45" t="n">
        <v>0.934943622322249</v>
      </c>
      <c r="AF313" s="75">
        <f>IFERROR(AVERAGE(L313:U313),"")</f>
        <v/>
      </c>
      <c r="AG313" s="75">
        <f>IFERROR(AVERAGE(V313:AE313),"")</f>
        <v/>
      </c>
      <c r="AH313" s="75">
        <f>IFERROR(AVERAGE(B313:K313),"")</f>
        <v/>
      </c>
      <c r="AI313" s="45" t="n">
        <v>0.843196868896484</v>
      </c>
      <c r="AJ313" s="47" t="n">
        <v>0</v>
      </c>
    </row>
    <row r="314" ht="15" customHeight="1" s="30">
      <c r="A314" s="73" t="inlineStr">
        <is>
          <t>8391.jpg</t>
        </is>
      </c>
      <c r="B314" s="45" t="n"/>
      <c r="C314" s="45" t="n"/>
      <c r="D314" s="45" t="n"/>
      <c r="E314" s="45" t="n"/>
      <c r="F314" s="45" t="n"/>
      <c r="G314" s="45" t="n">
        <v>0.669349767324865</v>
      </c>
      <c r="H314" s="45" t="n">
        <v>0.507439691871072</v>
      </c>
      <c r="I314" s="45" t="n"/>
      <c r="J314" s="45" t="n"/>
      <c r="K314" s="45" t="n">
        <v>0.901086552883248</v>
      </c>
      <c r="L314" s="45" t="n"/>
      <c r="M314" s="45" t="n"/>
      <c r="N314" s="45" t="n"/>
      <c r="O314" s="45" t="n"/>
      <c r="P314" s="45" t="n"/>
      <c r="Q314" s="45" t="n">
        <v>0.717817298984566</v>
      </c>
      <c r="R314" s="45" t="n">
        <v>0.811620517476169</v>
      </c>
      <c r="S314" s="45" t="n"/>
      <c r="T314" s="45" t="n"/>
      <c r="U314" s="45" t="n">
        <v>0.95903482117193</v>
      </c>
      <c r="V314" s="45" t="n"/>
      <c r="W314" s="45" t="n"/>
      <c r="X314" s="45" t="n"/>
      <c r="Y314" s="45" t="n"/>
      <c r="Z314" s="45" t="n"/>
      <c r="AA314" s="45" t="n">
        <v>0.908368282453916</v>
      </c>
      <c r="AB314" s="45" t="n">
        <v>0.575183823529412</v>
      </c>
      <c r="AC314" s="45" t="n"/>
      <c r="AD314" s="45" t="n"/>
      <c r="AE314" s="45" t="n">
        <v>0.937157675099813</v>
      </c>
      <c r="AF314" s="75">
        <f>IFERROR(AVERAGE(L314:U314),"")</f>
        <v/>
      </c>
      <c r="AG314" s="75">
        <f>IFERROR(AVERAGE(V314:AE314),"")</f>
        <v/>
      </c>
      <c r="AH314" s="75">
        <f>IFERROR(AVERAGE(B314:K314),"")</f>
        <v/>
      </c>
      <c r="AI314" s="45" t="n">
        <v>0.902606964111328</v>
      </c>
      <c r="AJ314" s="47" t="n">
        <v>0</v>
      </c>
    </row>
    <row r="315" ht="15" customHeight="1" s="30">
      <c r="A315" s="73" t="inlineStr">
        <is>
          <t>8397.jpg</t>
        </is>
      </c>
      <c r="B315" s="45" t="n"/>
      <c r="C315" s="45" t="n"/>
      <c r="D315" s="45" t="n">
        <v>0.9103923647932129</v>
      </c>
      <c r="E315" s="45" t="n"/>
      <c r="F315" s="45" t="n">
        <v>0.659327698053863</v>
      </c>
      <c r="G315" s="45" t="n">
        <v>0.776634135068352</v>
      </c>
      <c r="H315" s="45" t="n">
        <v>0.473421369495273</v>
      </c>
      <c r="I315" s="45" t="n"/>
      <c r="J315" s="45" t="n"/>
      <c r="K315" s="45" t="n">
        <v>0.8450266882741581</v>
      </c>
      <c r="L315" s="45" t="n"/>
      <c r="M315" s="45" t="n"/>
      <c r="N315" s="45" t="n">
        <v>0.970056497175141</v>
      </c>
      <c r="O315" s="45" t="n"/>
      <c r="P315" s="45" t="n">
        <v>0.815859888105084</v>
      </c>
      <c r="Q315" s="45" t="n">
        <v>0.8519500780031199</v>
      </c>
      <c r="R315" s="45" t="n">
        <v>0.585575467552127</v>
      </c>
      <c r="S315" s="45" t="n"/>
      <c r="T315" s="45" t="n"/>
      <c r="U315" s="45" t="n">
        <v>0.943013961958721</v>
      </c>
      <c r="V315" s="45" t="n"/>
      <c r="W315" s="45" t="n"/>
      <c r="X315" s="45" t="n">
        <v>0.936715766503001</v>
      </c>
      <c r="Y315" s="45" t="n"/>
      <c r="Z315" s="45" t="n">
        <v>0.7745958429561201</v>
      </c>
      <c r="AA315" s="45" t="n">
        <v>0.897803168862128</v>
      </c>
      <c r="AB315" s="45" t="n">
        <v>0.7119660403122871</v>
      </c>
      <c r="AC315" s="45" t="n"/>
      <c r="AD315" s="45" t="n"/>
      <c r="AE315" s="45" t="n">
        <v>0.890499791007345</v>
      </c>
      <c r="AF315" s="75">
        <f>IFERROR(AVERAGE(L315:U315),"")</f>
        <v/>
      </c>
      <c r="AG315" s="75">
        <f>IFERROR(AVERAGE(V315:AE315),"")</f>
        <v/>
      </c>
      <c r="AH315" s="75">
        <f>IFERROR(AVERAGE(B315:K315),"")</f>
        <v/>
      </c>
      <c r="AI315" s="45" t="n">
        <v>0.865730285644531</v>
      </c>
      <c r="AJ315" s="47" t="n">
        <v>0</v>
      </c>
    </row>
    <row r="316" ht="15" customHeight="1" s="30">
      <c r="A316" s="73" t="inlineStr">
        <is>
          <t>8399.jpg</t>
        </is>
      </c>
      <c r="B316" s="45" t="n"/>
      <c r="C316" s="45" t="n"/>
      <c r="D316" s="45" t="n">
        <v>0.906309751434035</v>
      </c>
      <c r="E316" s="45" t="n"/>
      <c r="F316" s="45" t="n">
        <v>0.472483016563621</v>
      </c>
      <c r="G316" s="45" t="n">
        <v>0.705383104125737</v>
      </c>
      <c r="H316" s="45" t="n">
        <v>0.625440258191258</v>
      </c>
      <c r="I316" s="45" t="n"/>
      <c r="J316" s="45" t="n"/>
      <c r="K316" s="45" t="n">
        <v>0.8087058916773761</v>
      </c>
      <c r="L316" s="45" t="n"/>
      <c r="M316" s="45" t="n"/>
      <c r="N316" s="45" t="n">
        <v>0.952900631820793</v>
      </c>
      <c r="O316" s="45" t="n"/>
      <c r="P316" s="45" t="n">
        <v>0.894831947958077</v>
      </c>
      <c r="Q316" s="45" t="n">
        <v>0.763427599404635</v>
      </c>
      <c r="R316" s="45" t="n">
        <v>0.83307478085341</v>
      </c>
      <c r="S316" s="45" t="n"/>
      <c r="T316" s="45" t="n"/>
      <c r="U316" s="45" t="n">
        <v>0.8512594676090079</v>
      </c>
      <c r="V316" s="45" t="n"/>
      <c r="W316" s="45" t="n"/>
      <c r="X316" s="45" t="n">
        <v>0.948813268515871</v>
      </c>
      <c r="Y316" s="45" t="n"/>
      <c r="Z316" s="45" t="n">
        <v>0.5002626580999719</v>
      </c>
      <c r="AA316" s="45" t="n">
        <v>0.902700256448937</v>
      </c>
      <c r="AB316" s="45" t="n">
        <v>0.715051175923252</v>
      </c>
      <c r="AC316" s="45" t="n"/>
      <c r="AD316" s="45" t="n"/>
      <c r="AE316" s="45" t="n">
        <v>0.941784953751014</v>
      </c>
      <c r="AF316" s="75">
        <f>IFERROR(AVERAGE(L316:U316),"")</f>
        <v/>
      </c>
      <c r="AG316" s="75">
        <f>IFERROR(AVERAGE(V316:AE316),"")</f>
        <v/>
      </c>
      <c r="AH316" s="75">
        <f>IFERROR(AVERAGE(B316:K316),"")</f>
        <v/>
      </c>
      <c r="AI316" s="45" t="n">
        <v>0.843318939208984</v>
      </c>
      <c r="AJ316" s="47" t="n">
        <v>0</v>
      </c>
    </row>
    <row r="317" ht="15" customHeight="1" s="30">
      <c r="A317" s="73" t="inlineStr">
        <is>
          <t>8401.jpg</t>
        </is>
      </c>
      <c r="B317" s="45" t="n"/>
      <c r="C317" s="45" t="n"/>
      <c r="D317" s="45" t="n">
        <v>0.866853445400574</v>
      </c>
      <c r="E317" s="45" t="n"/>
      <c r="F317" s="45" t="n">
        <v>0.581311984705461</v>
      </c>
      <c r="G317" s="45" t="n"/>
      <c r="H317" s="45" t="n">
        <v>0.794426221600502</v>
      </c>
      <c r="I317" s="45" t="n"/>
      <c r="J317" s="45" t="n"/>
      <c r="K317" s="45" t="n">
        <v>0.88495886984552</v>
      </c>
      <c r="L317" s="45" t="n"/>
      <c r="M317" s="45" t="n"/>
      <c r="N317" s="45" t="n">
        <v>0.923661951808942</v>
      </c>
      <c r="O317" s="45" t="n"/>
      <c r="P317" s="45" t="n">
        <v>0.753562577447336</v>
      </c>
      <c r="Q317" s="45" t="n"/>
      <c r="R317" s="45" t="n">
        <v>0.908548022287196</v>
      </c>
      <c r="S317" s="45" t="n"/>
      <c r="T317" s="45" t="n"/>
      <c r="U317" s="45" t="n">
        <v>0.926623835725923</v>
      </c>
      <c r="V317" s="45" t="n"/>
      <c r="W317" s="45" t="n"/>
      <c r="X317" s="45" t="n">
        <v>0.933750089818208</v>
      </c>
      <c r="Y317" s="45" t="n"/>
      <c r="Z317" s="45" t="n">
        <v>0.717763352021245</v>
      </c>
      <c r="AA317" s="45" t="n"/>
      <c r="AB317" s="45" t="n">
        <v>0.863473713184696</v>
      </c>
      <c r="AC317" s="45" t="n"/>
      <c r="AD317" s="45" t="n"/>
      <c r="AE317" s="45" t="n">
        <v>0.951647324754701</v>
      </c>
      <c r="AF317" s="75">
        <f>IFERROR(AVERAGE(L317:U317),"")</f>
        <v/>
      </c>
      <c r="AG317" s="75">
        <f>IFERROR(AVERAGE(V317:AE317),"")</f>
        <v/>
      </c>
      <c r="AH317" s="75">
        <f>IFERROR(AVERAGE(B317:K317),"")</f>
        <v/>
      </c>
      <c r="AI317" s="45" t="n">
        <v>0.912940979003906</v>
      </c>
      <c r="AJ317" s="47" t="n">
        <v>0</v>
      </c>
    </row>
    <row r="318" ht="15" customHeight="1" s="30">
      <c r="A318" s="73" t="inlineStr">
        <is>
          <t>8402.jpg</t>
        </is>
      </c>
      <c r="B318" s="45" t="n"/>
      <c r="C318" s="45" t="n"/>
      <c r="D318" s="45" t="n">
        <v>0.799441900400687</v>
      </c>
      <c r="E318" s="45" t="n"/>
      <c r="F318" s="45" t="n">
        <v>0.653791054279196</v>
      </c>
      <c r="G318" s="45" t="n"/>
      <c r="H318" s="45" t="n">
        <v>0.836949401252522</v>
      </c>
      <c r="I318" s="45" t="n">
        <v>0.0217391304347826</v>
      </c>
      <c r="J318" s="45" t="n"/>
      <c r="K318" s="45" t="n">
        <v>0.906448910248205</v>
      </c>
      <c r="L318" s="45" t="n"/>
      <c r="M318" s="45" t="n"/>
      <c r="N318" s="45" t="n">
        <v>0.918303608120326</v>
      </c>
      <c r="O318" s="45" t="n"/>
      <c r="P318" s="45" t="n">
        <v>0.856646273637375</v>
      </c>
      <c r="Q318" s="45" t="n"/>
      <c r="R318" s="45" t="n">
        <v>0.921072741691298</v>
      </c>
      <c r="S318" s="45" t="n">
        <v>1</v>
      </c>
      <c r="T318" s="45" t="n"/>
      <c r="U318" s="45" t="n">
        <v>0.9371917033614861</v>
      </c>
      <c r="V318" s="45" t="n"/>
      <c r="W318" s="45" t="n"/>
      <c r="X318" s="45" t="n">
        <v>0.860653212139886</v>
      </c>
      <c r="Y318" s="45" t="n"/>
      <c r="Z318" s="45" t="n">
        <v>0.734107834375931</v>
      </c>
      <c r="AA318" s="45" t="n"/>
      <c r="AB318" s="45" t="n">
        <v>0.901611810534636</v>
      </c>
      <c r="AC318" s="45" t="n">
        <v>0.0217391304347826</v>
      </c>
      <c r="AD318" s="45" t="n"/>
      <c r="AE318" s="45" t="n">
        <v>0.965075294394579</v>
      </c>
      <c r="AF318" s="75">
        <f>IFERROR(AVERAGE(L318:U318),"")</f>
        <v/>
      </c>
      <c r="AG318" s="75">
        <f>IFERROR(AVERAGE(V318:AE318),"")</f>
        <v/>
      </c>
      <c r="AH318" s="75">
        <f>IFERROR(AVERAGE(B318:K318),"")</f>
        <v/>
      </c>
      <c r="AI318" s="45" t="n">
        <v>0.927631378173828</v>
      </c>
      <c r="AJ318" s="47" t="n">
        <v>0</v>
      </c>
    </row>
    <row r="319" ht="15" customHeight="1" s="30">
      <c r="A319" s="73" t="inlineStr">
        <is>
          <t>8428.jpg</t>
        </is>
      </c>
      <c r="B319" s="45" t="n"/>
      <c r="C319" s="45" t="n"/>
      <c r="D319" s="45" t="n"/>
      <c r="E319" s="45" t="n"/>
      <c r="F319" s="45" t="n"/>
      <c r="G319" s="45" t="n"/>
      <c r="H319" s="45" t="n">
        <v>0.68796992481203</v>
      </c>
      <c r="I319" s="45" t="n"/>
      <c r="J319" s="45" t="n"/>
      <c r="K319" s="45" t="n">
        <v>0.997452815712751</v>
      </c>
      <c r="L319" s="45" t="n"/>
      <c r="M319" s="45" t="n"/>
      <c r="N319" s="45" t="n"/>
      <c r="O319" s="45" t="n"/>
      <c r="P319" s="45" t="n"/>
      <c r="Q319" s="45" t="n"/>
      <c r="R319" s="45" t="n">
        <v>0.938461538461539</v>
      </c>
      <c r="S319" s="45" t="n"/>
      <c r="T319" s="45" t="n"/>
      <c r="U319" s="45" t="n">
        <v>0.997820280600497</v>
      </c>
      <c r="V319" s="45" t="n"/>
      <c r="W319" s="45" t="n"/>
      <c r="X319" s="45" t="n"/>
      <c r="Y319" s="45" t="n"/>
      <c r="Z319" s="45" t="n"/>
      <c r="AA319" s="45" t="n"/>
      <c r="AB319" s="45" t="n">
        <v>0.7204724409448821</v>
      </c>
      <c r="AC319" s="45" t="n"/>
      <c r="AD319" s="45" t="n"/>
      <c r="AE319" s="45" t="n">
        <v>0.999630928215538</v>
      </c>
      <c r="AF319" s="75">
        <f>IFERROR(AVERAGE(L319:U319),"")</f>
        <v/>
      </c>
      <c r="AG319" s="75">
        <f>IFERROR(AVERAGE(V319:AE319),"")</f>
        <v/>
      </c>
      <c r="AH319" s="75">
        <f>IFERROR(AVERAGE(B319:K319),"")</f>
        <v/>
      </c>
      <c r="AI319" s="45" t="n">
        <v>0.997467041015625</v>
      </c>
      <c r="AJ319" s="47" t="n">
        <v>0</v>
      </c>
    </row>
    <row r="320" ht="15" customHeight="1" s="30">
      <c r="A320" s="73" t="inlineStr">
        <is>
          <t>8439.jpg</t>
        </is>
      </c>
      <c r="B320" s="45" t="n">
        <v>0</v>
      </c>
      <c r="C320" s="45" t="n"/>
      <c r="D320" s="45" t="n">
        <v>0.875379939209727</v>
      </c>
      <c r="E320" s="45" t="n"/>
      <c r="F320" s="45" t="n">
        <v>0.845005666180994</v>
      </c>
      <c r="G320" s="45" t="n">
        <v>0</v>
      </c>
      <c r="H320" s="45" t="n">
        <v>0.814830519704238</v>
      </c>
      <c r="I320" s="45" t="n">
        <v>0.305084745762712</v>
      </c>
      <c r="J320" s="45" t="n">
        <v>0</v>
      </c>
      <c r="K320" s="45" t="n">
        <v>0.958397639820677</v>
      </c>
      <c r="L320" s="45" t="n"/>
      <c r="M320" s="45" t="n"/>
      <c r="N320" s="45" t="n">
        <v>0.908173562058527</v>
      </c>
      <c r="O320" s="45" t="n"/>
      <c r="P320" s="45" t="n">
        <v>0.938169530519807</v>
      </c>
      <c r="Q320" s="45" t="n">
        <v>0</v>
      </c>
      <c r="R320" s="45" t="n">
        <v>0.924636112113557</v>
      </c>
      <c r="S320" s="45" t="n">
        <v>0.659685863874346</v>
      </c>
      <c r="T320" s="45" t="n">
        <v>0</v>
      </c>
      <c r="U320" s="45" t="n">
        <v>0.969420372966314</v>
      </c>
      <c r="V320" s="45" t="n">
        <v>0</v>
      </c>
      <c r="W320" s="45" t="n"/>
      <c r="X320" s="45" t="n">
        <v>0.960384153661465</v>
      </c>
      <c r="Y320" s="45" t="n"/>
      <c r="Z320" s="45" t="n">
        <v>0.894839705126007</v>
      </c>
      <c r="AA320" s="45" t="n"/>
      <c r="AB320" s="45" t="n">
        <v>0.872796434553042</v>
      </c>
      <c r="AC320" s="45" t="n">
        <v>0.362068965517241</v>
      </c>
      <c r="AD320" s="45" t="n"/>
      <c r="AE320" s="45" t="n">
        <v>0.988275096760224</v>
      </c>
      <c r="AF320" s="75">
        <f>IFERROR(AVERAGE(L320:U320),"")</f>
        <v/>
      </c>
      <c r="AG320" s="75">
        <f>IFERROR(AVERAGE(V320:AE320),"")</f>
        <v/>
      </c>
      <c r="AH320" s="75">
        <f>IFERROR(AVERAGE(B320:K320),"")</f>
        <v/>
      </c>
      <c r="AI320" s="45" t="n">
        <v>0.941234588623047</v>
      </c>
      <c r="AJ320" s="47" t="n">
        <v>0</v>
      </c>
    </row>
    <row r="321" ht="15" customHeight="1" s="30">
      <c r="A321" s="73" t="inlineStr">
        <is>
          <t>8440.jpg</t>
        </is>
      </c>
      <c r="B321" s="45" t="n"/>
      <c r="C321" s="45" t="n"/>
      <c r="D321" s="45" t="n">
        <v>0.9354714437060579</v>
      </c>
      <c r="E321" s="45" t="n"/>
      <c r="F321" s="45" t="n">
        <v>0.878247520075579</v>
      </c>
      <c r="G321" s="45" t="n">
        <v>0</v>
      </c>
      <c r="H321" s="45" t="n">
        <v>0.828029572484732</v>
      </c>
      <c r="I321" s="45" t="n">
        <v>0.429663608562691</v>
      </c>
      <c r="J321" s="45" t="n">
        <v>0</v>
      </c>
      <c r="K321" s="45" t="n">
        <v>0.928953840905464</v>
      </c>
      <c r="L321" s="45" t="n"/>
      <c r="M321" s="45" t="n"/>
      <c r="N321" s="45" t="n">
        <v>0.9529088590208969</v>
      </c>
      <c r="O321" s="45" t="n"/>
      <c r="P321" s="45" t="n">
        <v>0.94772053904234</v>
      </c>
      <c r="Q321" s="45" t="n">
        <v>0</v>
      </c>
      <c r="R321" s="45" t="n">
        <v>0.963206700568352</v>
      </c>
      <c r="S321" s="45" t="n">
        <v>0.7025</v>
      </c>
      <c r="T321" s="45" t="n">
        <v>0</v>
      </c>
      <c r="U321" s="45" t="n">
        <v>0.957710285675387</v>
      </c>
      <c r="V321" s="45" t="n"/>
      <c r="W321" s="45" t="n"/>
      <c r="X321" s="45" t="n">
        <v>0.98081389477936</v>
      </c>
      <c r="Y321" s="45" t="n"/>
      <c r="Z321" s="45" t="n">
        <v>0.922962365424591</v>
      </c>
      <c r="AA321" s="45" t="n"/>
      <c r="AB321" s="45" t="n">
        <v>0.855075350195844</v>
      </c>
      <c r="AC321" s="45" t="n">
        <v>0.5252336448598131</v>
      </c>
      <c r="AD321" s="45" t="n"/>
      <c r="AE321" s="45" t="n">
        <v>0.968689395591155</v>
      </c>
      <c r="AF321" s="75">
        <f>IFERROR(AVERAGE(L321:U321),"")</f>
        <v/>
      </c>
      <c r="AG321" s="75">
        <f>IFERROR(AVERAGE(V321:AE321),"")</f>
        <v/>
      </c>
      <c r="AH321" s="75">
        <f>IFERROR(AVERAGE(B321:K321),"")</f>
        <v/>
      </c>
      <c r="AI321" s="45" t="n">
        <v>0.943035125732422</v>
      </c>
      <c r="AJ321" s="47" t="n">
        <v>0</v>
      </c>
    </row>
    <row r="322" ht="15" customHeight="1" s="30">
      <c r="A322" s="73" t="inlineStr">
        <is>
          <t>8447.jpg</t>
        </is>
      </c>
      <c r="B322" s="45" t="n">
        <v>0.542893042993801</v>
      </c>
      <c r="C322" s="45" t="n"/>
      <c r="D322" s="45" t="n">
        <v>0.9299874930147159</v>
      </c>
      <c r="E322" s="45" t="n"/>
      <c r="F322" s="45" t="n">
        <v>0.495242736470807</v>
      </c>
      <c r="G322" s="45" t="n">
        <v>0</v>
      </c>
      <c r="H322" s="45" t="n">
        <v>0.770965517241379</v>
      </c>
      <c r="I322" s="45" t="n">
        <v>0.634281200631912</v>
      </c>
      <c r="J322" s="45" t="n"/>
      <c r="K322" s="45" t="n">
        <v>0</v>
      </c>
      <c r="L322" s="45" t="n">
        <v>0.993901909722222</v>
      </c>
      <c r="M322" s="45" t="n"/>
      <c r="N322" s="45" t="n">
        <v>0.932319594504468</v>
      </c>
      <c r="O322" s="45" t="n"/>
      <c r="P322" s="45" t="n">
        <v>0.511983302545402</v>
      </c>
      <c r="Q322" s="45" t="n">
        <v>0</v>
      </c>
      <c r="R322" s="45" t="n">
        <v>0.80299293666946</v>
      </c>
      <c r="S322" s="45" t="n">
        <v>0.698868581375109</v>
      </c>
      <c r="T322" s="45" t="n"/>
      <c r="U322" s="45" t="n">
        <v>0</v>
      </c>
      <c r="V322" s="45" t="n">
        <v>0.54470742150333</v>
      </c>
      <c r="W322" s="45" t="n"/>
      <c r="X322" s="45" t="n">
        <v>0.997317504708635</v>
      </c>
      <c r="Y322" s="45" t="n"/>
      <c r="Z322" s="45" t="n">
        <v>0.938065934065934</v>
      </c>
      <c r="AA322" s="45" t="n"/>
      <c r="AB322" s="45" t="n">
        <v>0.950810841460649</v>
      </c>
      <c r="AC322" s="45" t="n">
        <v>0.872826086956522</v>
      </c>
      <c r="AD322" s="45" t="n"/>
      <c r="AE322" s="45" t="n"/>
      <c r="AF322" s="75">
        <f>IFERROR(AVERAGE(L322:U322),"")</f>
        <v/>
      </c>
      <c r="AG322" s="75">
        <f>IFERROR(AVERAGE(V322:AE322),"")</f>
        <v/>
      </c>
      <c r="AH322" s="75">
        <f>IFERROR(AVERAGE(B322:K322),"")</f>
        <v/>
      </c>
      <c r="AI322" s="45" t="n">
        <v>0.695140838623047</v>
      </c>
      <c r="AJ322" s="47" t="n">
        <v>0</v>
      </c>
    </row>
    <row r="323" ht="15" customHeight="1" s="30">
      <c r="A323" s="73" t="inlineStr">
        <is>
          <t>8462.jpg</t>
        </is>
      </c>
      <c r="B323" s="45" t="n"/>
      <c r="C323" s="45" t="n"/>
      <c r="D323" s="45" t="n">
        <v>0</v>
      </c>
      <c r="E323" s="45" t="n"/>
      <c r="F323" s="45" t="n">
        <v>0.898170475410924</v>
      </c>
      <c r="G323" s="45" t="n"/>
      <c r="H323" s="45" t="n">
        <v>0.889582821080239</v>
      </c>
      <c r="I323" s="45" t="n">
        <v>0</v>
      </c>
      <c r="J323" s="45" t="n"/>
      <c r="K323" s="45" t="n">
        <v>0.9346212152987911</v>
      </c>
      <c r="L323" s="45" t="n"/>
      <c r="M323" s="45" t="n"/>
      <c r="N323" s="45" t="n">
        <v>0</v>
      </c>
      <c r="O323" s="45" t="n"/>
      <c r="P323" s="45" t="n">
        <v>0.930957785879709</v>
      </c>
      <c r="Q323" s="45" t="n"/>
      <c r="R323" s="45" t="n">
        <v>0.985275962236747</v>
      </c>
      <c r="S323" s="45" t="n">
        <v>0</v>
      </c>
      <c r="T323" s="45" t="n"/>
      <c r="U323" s="45" t="n">
        <v>0.95628076930151</v>
      </c>
      <c r="V323" s="45" t="n"/>
      <c r="W323" s="45" t="n"/>
      <c r="X323" s="45" t="n"/>
      <c r="Y323" s="45" t="n"/>
      <c r="Z323" s="45" t="n">
        <v>0.962267728479333</v>
      </c>
      <c r="AA323" s="45" t="n"/>
      <c r="AB323" s="45" t="n">
        <v>0.901568262617537</v>
      </c>
      <c r="AC323" s="45" t="n"/>
      <c r="AD323" s="45" t="n"/>
      <c r="AE323" s="45" t="n">
        <v>0.976339213059753</v>
      </c>
      <c r="AF323" s="75">
        <f>IFERROR(AVERAGE(L323:U323),"")</f>
        <v/>
      </c>
      <c r="AG323" s="75">
        <f>IFERROR(AVERAGE(V323:AE323),"")</f>
        <v/>
      </c>
      <c r="AH323" s="75">
        <f>IFERROR(AVERAGE(B323:K323),"")</f>
        <v/>
      </c>
      <c r="AI323" s="45" t="n">
        <v>0.956905364990234</v>
      </c>
      <c r="AJ323" s="47" t="n">
        <v>0</v>
      </c>
    </row>
    <row r="324" ht="15" customHeight="1" s="30">
      <c r="A324" s="73" t="inlineStr">
        <is>
          <t>8478.jpg</t>
        </is>
      </c>
      <c r="B324" s="45" t="n"/>
      <c r="C324" s="45" t="n"/>
      <c r="D324" s="45" t="n"/>
      <c r="E324" s="45" t="n"/>
      <c r="F324" s="45" t="n">
        <v>0.720570264765784</v>
      </c>
      <c r="G324" s="45" t="n">
        <v>0.640988823346787</v>
      </c>
      <c r="H324" s="45" t="n">
        <v>0.65536364005248</v>
      </c>
      <c r="I324" s="45" t="n"/>
      <c r="J324" s="45" t="n"/>
      <c r="K324" s="45" t="n">
        <v>0.896229501201838</v>
      </c>
      <c r="L324" s="45" t="n"/>
      <c r="M324" s="45" t="n"/>
      <c r="N324" s="45" t="n"/>
      <c r="O324" s="45" t="n"/>
      <c r="P324" s="45" t="n">
        <v>0.872431366102252</v>
      </c>
      <c r="Q324" s="45" t="n">
        <v>0.996771370809571</v>
      </c>
      <c r="R324" s="45" t="n">
        <v>0.703614422839551</v>
      </c>
      <c r="S324" s="45" t="n"/>
      <c r="T324" s="45" t="n"/>
      <c r="U324" s="45" t="n">
        <v>0.92797184260132</v>
      </c>
      <c r="V324" s="45" t="n"/>
      <c r="W324" s="45" t="n"/>
      <c r="X324" s="45" t="n"/>
      <c r="Y324" s="45" t="n"/>
      <c r="Z324" s="45" t="n">
        <v>0.805433297920777</v>
      </c>
      <c r="AA324" s="45" t="n">
        <v>0.642322425090902</v>
      </c>
      <c r="AB324" s="45" t="n">
        <v>0.905274368028698</v>
      </c>
      <c r="AC324" s="45" t="n"/>
      <c r="AD324" s="45" t="n"/>
      <c r="AE324" s="45" t="n">
        <v>0.963236418111223</v>
      </c>
      <c r="AF324" s="75">
        <f>IFERROR(AVERAGE(L324:U324),"")</f>
        <v/>
      </c>
      <c r="AG324" s="75">
        <f>IFERROR(AVERAGE(V324:AE324),"")</f>
        <v/>
      </c>
      <c r="AH324" s="75">
        <f>IFERROR(AVERAGE(B324:K324),"")</f>
        <v/>
      </c>
      <c r="AI324" s="45" t="n">
        <v>0.872577667236328</v>
      </c>
      <c r="AJ324" s="47" t="n">
        <v>0</v>
      </c>
    </row>
    <row r="325" ht="15" customHeight="1" s="30">
      <c r="A325" s="73" t="inlineStr">
        <is>
          <t>8486.jpg</t>
        </is>
      </c>
      <c r="B325" s="45" t="n"/>
      <c r="C325" s="45" t="n"/>
      <c r="D325" s="45" t="n">
        <v>0.82226660009985</v>
      </c>
      <c r="E325" s="45" t="n"/>
      <c r="F325" s="45" t="n">
        <v>0.750799802325279</v>
      </c>
      <c r="G325" s="45" t="n">
        <v>0.50325932923949</v>
      </c>
      <c r="H325" s="45" t="n">
        <v>0.590211889196958</v>
      </c>
      <c r="I325" s="45" t="n">
        <v>0.00306748466257669</v>
      </c>
      <c r="J325" s="45" t="n"/>
      <c r="K325" s="45" t="n">
        <v>0.865195730600599</v>
      </c>
      <c r="L325" s="45" t="n"/>
      <c r="M325" s="45" t="n"/>
      <c r="N325" s="45" t="n">
        <v>0.887966357558766</v>
      </c>
      <c r="O325" s="45" t="n"/>
      <c r="P325" s="45" t="n">
        <v>0.885568781445576</v>
      </c>
      <c r="Q325" s="45" t="n">
        <v>0.994214259051885</v>
      </c>
      <c r="R325" s="45" t="n">
        <v>0.661997146932953</v>
      </c>
      <c r="S325" s="45" t="n">
        <v>1</v>
      </c>
      <c r="T325" s="45" t="n"/>
      <c r="U325" s="45" t="n">
        <v>0.899752215688864</v>
      </c>
      <c r="V325" s="45" t="n"/>
      <c r="W325" s="45" t="n"/>
      <c r="X325" s="45" t="n">
        <v>0.917446524064171</v>
      </c>
      <c r="Y325" s="45" t="n"/>
      <c r="Z325" s="45" t="n">
        <v>0.831465852464211</v>
      </c>
      <c r="AA325" s="45" t="n">
        <v>0.504737540269092</v>
      </c>
      <c r="AB325" s="45" t="n">
        <v>0.844789922085488</v>
      </c>
      <c r="AC325" s="45" t="n">
        <v>0.00306748466257669</v>
      </c>
      <c r="AD325" s="45" t="n"/>
      <c r="AE325" s="45" t="n">
        <v>0.957496052968746</v>
      </c>
      <c r="AF325" s="75">
        <f>IFERROR(AVERAGE(L325:U325),"")</f>
        <v/>
      </c>
      <c r="AG325" s="75">
        <f>IFERROR(AVERAGE(V325:AE325),"")</f>
        <v/>
      </c>
      <c r="AH325" s="75">
        <f>IFERROR(AVERAGE(B325:K325),"")</f>
        <v/>
      </c>
      <c r="AI325" s="45" t="n">
        <v>0.841716766357422</v>
      </c>
      <c r="AJ325" s="47" t="n">
        <v>0</v>
      </c>
    </row>
    <row r="326" ht="15" customHeight="1" s="30">
      <c r="A326" s="73" t="inlineStr">
        <is>
          <t>8494.jpg</t>
        </is>
      </c>
      <c r="B326" s="45" t="n"/>
      <c r="C326" s="45" t="n"/>
      <c r="D326" s="45" t="n">
        <v>0.858974358974359</v>
      </c>
      <c r="E326" s="45" t="n"/>
      <c r="F326" s="45" t="n">
        <v>0.803406248759379</v>
      </c>
      <c r="G326" s="45" t="n">
        <v>0.8101749310672151</v>
      </c>
      <c r="H326" s="45" t="n">
        <v>0.631603032172062</v>
      </c>
      <c r="I326" s="45" t="n"/>
      <c r="J326" s="45" t="n"/>
      <c r="K326" s="45" t="n">
        <v>0.900245539972554</v>
      </c>
      <c r="L326" s="45" t="n"/>
      <c r="M326" s="45" t="n"/>
      <c r="N326" s="45" t="n">
        <v>0.919870194707938</v>
      </c>
      <c r="O326" s="45" t="n"/>
      <c r="P326" s="45" t="n">
        <v>0.9164477855266731</v>
      </c>
      <c r="Q326" s="45" t="n">
        <v>0.9707793966311</v>
      </c>
      <c r="R326" s="45" t="n">
        <v>0.709908983160767</v>
      </c>
      <c r="S326" s="45" t="n"/>
      <c r="T326" s="45" t="n"/>
      <c r="U326" s="45" t="n">
        <v>0.947387849468633</v>
      </c>
      <c r="V326" s="45" t="n"/>
      <c r="W326" s="45" t="n"/>
      <c r="X326" s="45" t="n">
        <v>0.928445452254976</v>
      </c>
      <c r="Y326" s="45" t="n"/>
      <c r="Z326" s="45" t="n">
        <v>0.866903701165182</v>
      </c>
      <c r="AA326" s="45" t="n">
        <v>0.8304260198762941</v>
      </c>
      <c r="AB326" s="45" t="n">
        <v>0.851323446592829</v>
      </c>
      <c r="AC326" s="45" t="n"/>
      <c r="AD326" s="45" t="n"/>
      <c r="AE326" s="45" t="n">
        <v>0.947621052631579</v>
      </c>
      <c r="AF326" s="75">
        <f>IFERROR(AVERAGE(L326:U326),"")</f>
        <v/>
      </c>
      <c r="AG326" s="75">
        <f>IFERROR(AVERAGE(V326:AE326),"")</f>
        <v/>
      </c>
      <c r="AH326" s="75">
        <f>IFERROR(AVERAGE(B326:K326),"")</f>
        <v/>
      </c>
      <c r="AI326" s="45" t="n">
        <v>0.907146453857422</v>
      </c>
      <c r="AJ326" s="47" t="n">
        <v>0</v>
      </c>
    </row>
    <row r="327" ht="15" customHeight="1" s="30">
      <c r="A327" s="73" t="inlineStr">
        <is>
          <t>8511.jpg</t>
        </is>
      </c>
      <c r="B327" s="45" t="n"/>
      <c r="C327" s="45" t="n"/>
      <c r="D327" s="45" t="n">
        <v>0.0123456790123457</v>
      </c>
      <c r="E327" s="45" t="n"/>
      <c r="F327" s="45" t="n">
        <v>0</v>
      </c>
      <c r="G327" s="45" t="n">
        <v>0</v>
      </c>
      <c r="H327" s="45" t="n">
        <v>0.733062785081835</v>
      </c>
      <c r="I327" s="45" t="n"/>
      <c r="J327" s="45" t="n"/>
      <c r="K327" s="45" t="n">
        <v>0.000275265265394425</v>
      </c>
      <c r="L327" s="45" t="n"/>
      <c r="M327" s="45" t="n"/>
      <c r="N327" s="45" t="n">
        <v>1</v>
      </c>
      <c r="O327" s="45" t="n"/>
      <c r="P327" s="45" t="n"/>
      <c r="Q327" s="45" t="n">
        <v>0</v>
      </c>
      <c r="R327" s="45" t="n">
        <v>0.972849067521253</v>
      </c>
      <c r="S327" s="45" t="n"/>
      <c r="T327" s="45" t="n"/>
      <c r="U327" s="45" t="n">
        <v>0.9411764705882349</v>
      </c>
      <c r="V327" s="45" t="n"/>
      <c r="W327" s="45" t="n"/>
      <c r="X327" s="45" t="n">
        <v>0.0123456790123457</v>
      </c>
      <c r="Y327" s="45" t="n"/>
      <c r="Z327" s="45" t="n">
        <v>0</v>
      </c>
      <c r="AA327" s="45" t="n"/>
      <c r="AB327" s="45" t="n">
        <v>0.748373621858522</v>
      </c>
      <c r="AC327" s="45" t="n"/>
      <c r="AD327" s="45" t="n"/>
      <c r="AE327" s="45" t="n">
        <v>0.000275270001161295</v>
      </c>
      <c r="AF327" s="75">
        <f>IFERROR(AVERAGE(L327:U327),"")</f>
        <v/>
      </c>
      <c r="AG327" s="75">
        <f>IFERROR(AVERAGE(V327:AE327),"")</f>
        <v/>
      </c>
      <c r="AH327" s="75">
        <f>IFERROR(AVERAGE(B327:K327),"")</f>
        <v/>
      </c>
      <c r="AI327" s="45" t="n">
        <v>0.0836334228515625</v>
      </c>
      <c r="AJ327" s="47" t="n">
        <v>0</v>
      </c>
    </row>
    <row r="328" ht="15" customHeight="1" s="30">
      <c r="A328" s="73" t="inlineStr">
        <is>
          <t>8514.jpg</t>
        </is>
      </c>
      <c r="B328" s="45" t="n"/>
      <c r="C328" s="45" t="n"/>
      <c r="D328" s="45" t="n">
        <v>0.947125932426503</v>
      </c>
      <c r="E328" s="45" t="n"/>
      <c r="F328" s="45" t="n">
        <v>0.854443487067858</v>
      </c>
      <c r="G328" s="45" t="n"/>
      <c r="H328" s="45" t="n">
        <v>0.740455885869132</v>
      </c>
      <c r="I328" s="45" t="n">
        <v>0.711287988422576</v>
      </c>
      <c r="J328" s="45" t="n"/>
      <c r="K328" s="45" t="n">
        <v>0.901235656897553</v>
      </c>
      <c r="L328" s="45" t="n"/>
      <c r="M328" s="45" t="n"/>
      <c r="N328" s="45" t="n">
        <v>0.971859522737506</v>
      </c>
      <c r="O328" s="45" t="n"/>
      <c r="P328" s="45" t="n">
        <v>0.947514877210628</v>
      </c>
      <c r="Q328" s="45" t="n"/>
      <c r="R328" s="45" t="n">
        <v>0.823260965883917</v>
      </c>
      <c r="S328" s="45" t="n">
        <v>0.796596434359806</v>
      </c>
      <c r="T328" s="45" t="n"/>
      <c r="U328" s="45" t="n">
        <v>0.947027335995613</v>
      </c>
      <c r="V328" s="45" t="n"/>
      <c r="W328" s="45" t="n"/>
      <c r="X328" s="45" t="n">
        <v>0.973832618993909</v>
      </c>
      <c r="Y328" s="45" t="n"/>
      <c r="Z328" s="45" t="n">
        <v>0.89689314842436</v>
      </c>
      <c r="AA328" s="45" t="n"/>
      <c r="AB328" s="45" t="n">
        <v>0.880407486377636</v>
      </c>
      <c r="AC328" s="45" t="n">
        <v>0.869142351900973</v>
      </c>
      <c r="AD328" s="45" t="n"/>
      <c r="AE328" s="45" t="n">
        <v>0.949079987304831</v>
      </c>
      <c r="AF328" s="75">
        <f>IFERROR(AVERAGE(L328:U328),"")</f>
        <v/>
      </c>
      <c r="AG328" s="75">
        <f>IFERROR(AVERAGE(V328:AE328),"")</f>
        <v/>
      </c>
      <c r="AH328" s="75">
        <f>IFERROR(AVERAGE(B328:K328),"")</f>
        <v/>
      </c>
      <c r="AI328" s="45" t="n">
        <v>0.927642822265625</v>
      </c>
      <c r="AJ328" s="47" t="n">
        <v>0</v>
      </c>
    </row>
    <row r="329" ht="15" customHeight="1" s="30">
      <c r="A329" s="73" t="inlineStr">
        <is>
          <t>8523.jpg</t>
        </is>
      </c>
      <c r="B329" s="45" t="n">
        <v>0</v>
      </c>
      <c r="C329" s="45" t="n"/>
      <c r="D329" s="45" t="n"/>
      <c r="E329" s="45" t="n"/>
      <c r="F329" s="45" t="n">
        <v>0</v>
      </c>
      <c r="G329" s="45" t="n">
        <v>0</v>
      </c>
      <c r="H329" s="45" t="n">
        <v>0.919767717468594</v>
      </c>
      <c r="I329" s="45" t="n"/>
      <c r="J329" s="45" t="n"/>
      <c r="K329" s="45" t="n">
        <v>0.992262175694128</v>
      </c>
      <c r="L329" s="45" t="n"/>
      <c r="M329" s="45" t="n"/>
      <c r="N329" s="45" t="n"/>
      <c r="O329" s="45" t="n"/>
      <c r="P329" s="45" t="n">
        <v>0</v>
      </c>
      <c r="Q329" s="45" t="n">
        <v>0</v>
      </c>
      <c r="R329" s="45" t="n">
        <v>0.9666209988790631</v>
      </c>
      <c r="S329" s="45" t="n"/>
      <c r="T329" s="45" t="n"/>
      <c r="U329" s="45" t="n">
        <v>0.994248359388857</v>
      </c>
      <c r="V329" s="45" t="n">
        <v>0</v>
      </c>
      <c r="W329" s="45" t="n"/>
      <c r="X329" s="45" t="n"/>
      <c r="Y329" s="45" t="n"/>
      <c r="Z329" s="45" t="n"/>
      <c r="AA329" s="45" t="n"/>
      <c r="AB329" s="45" t="n">
        <v>0.949938800489596</v>
      </c>
      <c r="AC329" s="45" t="n"/>
      <c r="AD329" s="45" t="n"/>
      <c r="AE329" s="45" t="n">
        <v>0.997990793255169</v>
      </c>
      <c r="AF329" s="75">
        <f>IFERROR(AVERAGE(L329:U329),"")</f>
        <v/>
      </c>
      <c r="AG329" s="75">
        <f>IFERROR(AVERAGE(V329:AE329),"")</f>
        <v/>
      </c>
      <c r="AH329" s="75">
        <f>IFERROR(AVERAGE(B329:K329),"")</f>
        <v/>
      </c>
      <c r="AI329" s="45" t="n">
        <v>0.986949920654297</v>
      </c>
      <c r="AJ329" s="47" t="n">
        <v>0</v>
      </c>
    </row>
    <row r="330" ht="15" customHeight="1" s="30">
      <c r="A330" s="73" t="inlineStr">
        <is>
          <t>8525.jpg</t>
        </is>
      </c>
      <c r="B330" s="45" t="n"/>
      <c r="C330" s="45" t="n"/>
      <c r="D330" s="45" t="n"/>
      <c r="E330" s="45" t="n"/>
      <c r="F330" s="45" t="n">
        <v>0.79492600422833</v>
      </c>
      <c r="G330" s="45" t="n"/>
      <c r="H330" s="45" t="n">
        <v>0.874574368568756</v>
      </c>
      <c r="I330" s="45" t="n"/>
      <c r="J330" s="45" t="n"/>
      <c r="K330" s="45" t="n">
        <v>0.985110369803964</v>
      </c>
      <c r="L330" s="45" t="n"/>
      <c r="M330" s="45" t="n"/>
      <c r="N330" s="45" t="n"/>
      <c r="O330" s="45" t="n"/>
      <c r="P330" s="45" t="n">
        <v>0.869364161849711</v>
      </c>
      <c r="Q330" s="45" t="n"/>
      <c r="R330" s="45" t="n">
        <v>0.923505472361611</v>
      </c>
      <c r="S330" s="45" t="n"/>
      <c r="T330" s="45" t="n"/>
      <c r="U330" s="45" t="n">
        <v>0.993660211043777</v>
      </c>
      <c r="V330" s="45" t="n"/>
      <c r="W330" s="45" t="n"/>
      <c r="X330" s="45" t="n"/>
      <c r="Y330" s="45" t="n"/>
      <c r="Z330" s="45" t="n">
        <v>0.902761104441777</v>
      </c>
      <c r="AA330" s="45" t="n"/>
      <c r="AB330" s="45" t="n">
        <v>0.942877889386421</v>
      </c>
      <c r="AC330" s="45" t="n"/>
      <c r="AD330" s="45" t="n"/>
      <c r="AE330" s="45" t="n">
        <v>0.9913411860207511</v>
      </c>
      <c r="AF330" s="75">
        <f>IFERROR(AVERAGE(L330:U330),"")</f>
        <v/>
      </c>
      <c r="AG330" s="75">
        <f>IFERROR(AVERAGE(V330:AE330),"")</f>
        <v/>
      </c>
      <c r="AH330" s="75">
        <f>IFERROR(AVERAGE(B330:K330),"")</f>
        <v/>
      </c>
      <c r="AI330" s="45" t="n">
        <v>0.986476898193359</v>
      </c>
      <c r="AJ330" s="47" t="n">
        <v>0</v>
      </c>
    </row>
    <row r="331" ht="15" customHeight="1" s="30">
      <c r="A331" s="73" t="inlineStr">
        <is>
          <t>8530.jpg</t>
        </is>
      </c>
      <c r="B331" s="45" t="n"/>
      <c r="C331" s="45" t="n"/>
      <c r="D331" s="45" t="n"/>
      <c r="E331" s="45" t="n"/>
      <c r="F331" s="45" t="n">
        <v>0.715959004392387</v>
      </c>
      <c r="G331" s="45" t="n">
        <v>0</v>
      </c>
      <c r="H331" s="45" t="n">
        <v>0.796850750129333</v>
      </c>
      <c r="I331" s="45" t="n"/>
      <c r="J331" s="45" t="n"/>
      <c r="K331" s="45" t="n">
        <v>0.973067637965355</v>
      </c>
      <c r="L331" s="45" t="n"/>
      <c r="M331" s="45" t="n"/>
      <c r="N331" s="45" t="n"/>
      <c r="O331" s="45" t="n"/>
      <c r="P331" s="45" t="n">
        <v>0.913165266106443</v>
      </c>
      <c r="Q331" s="45" t="n">
        <v>0</v>
      </c>
      <c r="R331" s="45" t="n">
        <v>0.944976993865031</v>
      </c>
      <c r="S331" s="45" t="n"/>
      <c r="T331" s="45" t="n"/>
      <c r="U331" s="45" t="n">
        <v>0.979819432538819</v>
      </c>
      <c r="V331" s="45" t="n"/>
      <c r="W331" s="45" t="n"/>
      <c r="X331" s="45" t="n"/>
      <c r="Y331" s="45" t="n"/>
      <c r="Z331" s="45" t="n">
        <v>0.768263943440691</v>
      </c>
      <c r="AA331" s="45" t="n"/>
      <c r="AB331" s="45" t="n">
        <v>0.835622012002848</v>
      </c>
      <c r="AC331" s="45" t="n"/>
      <c r="AD331" s="45" t="n"/>
      <c r="AE331" s="45" t="n">
        <v>0.992968216511509</v>
      </c>
      <c r="AF331" s="75">
        <f>IFERROR(AVERAGE(L331:U331),"")</f>
        <v/>
      </c>
      <c r="AG331" s="75">
        <f>IFERROR(AVERAGE(V331:AE331),"")</f>
        <v/>
      </c>
      <c r="AH331" s="75">
        <f>IFERROR(AVERAGE(B331:K331),"")</f>
        <v/>
      </c>
      <c r="AI331" s="45" t="n">
        <v>0.974174499511719</v>
      </c>
      <c r="AJ331" s="47" t="n">
        <v>0</v>
      </c>
    </row>
    <row r="332" ht="15" customHeight="1" s="30">
      <c r="A332" s="73" t="inlineStr">
        <is>
          <t>8533.jpg</t>
        </is>
      </c>
      <c r="B332" s="45" t="n"/>
      <c r="C332" s="45" t="n"/>
      <c r="D332" s="45" t="n"/>
      <c r="E332" s="45" t="n"/>
      <c r="F332" s="45" t="n">
        <v>0</v>
      </c>
      <c r="G332" s="45" t="n"/>
      <c r="H332" s="45" t="n">
        <v>0.860806853920399</v>
      </c>
      <c r="I332" s="45" t="n"/>
      <c r="J332" s="45" t="n"/>
      <c r="K332" s="45" t="n">
        <v>0.98949928736463</v>
      </c>
      <c r="L332" s="45" t="n"/>
      <c r="M332" s="45" t="n"/>
      <c r="N332" s="45" t="n"/>
      <c r="O332" s="45" t="n"/>
      <c r="P332" s="45" t="n">
        <v>0</v>
      </c>
      <c r="Q332" s="45" t="n"/>
      <c r="R332" s="45" t="n">
        <v>0.970888630664791</v>
      </c>
      <c r="S332" s="45" t="n"/>
      <c r="T332" s="45" t="n"/>
      <c r="U332" s="45" t="n">
        <v>0.991492183876244</v>
      </c>
      <c r="V332" s="45" t="n"/>
      <c r="W332" s="45" t="n"/>
      <c r="X332" s="45" t="n"/>
      <c r="Y332" s="45" t="n"/>
      <c r="Z332" s="45" t="n"/>
      <c r="AA332" s="45" t="n"/>
      <c r="AB332" s="45" t="n">
        <v>0.883613492151842</v>
      </c>
      <c r="AC332" s="45" t="n"/>
      <c r="AD332" s="45" t="n"/>
      <c r="AE332" s="45" t="n">
        <v>0.997972790341472</v>
      </c>
      <c r="AF332" s="75">
        <f>IFERROR(AVERAGE(L332:U332),"")</f>
        <v/>
      </c>
      <c r="AG332" s="75">
        <f>IFERROR(AVERAGE(V332:AE332),"")</f>
        <v/>
      </c>
      <c r="AH332" s="75">
        <f>IFERROR(AVERAGE(B332:K332),"")</f>
        <v/>
      </c>
      <c r="AI332" s="45" t="n">
        <v>0.990135192871094</v>
      </c>
      <c r="AJ332" s="47" t="n">
        <v>0</v>
      </c>
    </row>
    <row r="333" ht="15" customHeight="1" s="30">
      <c r="A333" s="73" t="inlineStr">
        <is>
          <t>8541.jpg</t>
        </is>
      </c>
      <c r="B333" s="45" t="n"/>
      <c r="C333" s="45" t="n"/>
      <c r="D333" s="45" t="n"/>
      <c r="E333" s="45" t="n"/>
      <c r="F333" s="45" t="n"/>
      <c r="G333" s="45" t="n"/>
      <c r="H333" s="45" t="n">
        <v>0.737439222042139</v>
      </c>
      <c r="I333" s="45" t="n"/>
      <c r="J333" s="45" t="n"/>
      <c r="K333" s="45" t="n">
        <v>0.998136353003885</v>
      </c>
      <c r="L333" s="45" t="n"/>
      <c r="M333" s="45" t="n"/>
      <c r="N333" s="45" t="n"/>
      <c r="O333" s="45" t="n"/>
      <c r="P333" s="45" t="n"/>
      <c r="Q333" s="45" t="n"/>
      <c r="R333" s="45" t="n">
        <v>0.999267935578331</v>
      </c>
      <c r="S333" s="45" t="n"/>
      <c r="T333" s="45" t="n"/>
      <c r="U333" s="45" t="n">
        <v>0.9981401805367019</v>
      </c>
      <c r="V333" s="45" t="n"/>
      <c r="W333" s="45" t="n"/>
      <c r="X333" s="45" t="n"/>
      <c r="Y333" s="45" t="n"/>
      <c r="Z333" s="45" t="n"/>
      <c r="AA333" s="45" t="n"/>
      <c r="AB333" s="45" t="n">
        <v>0.737837837837838</v>
      </c>
      <c r="AC333" s="45" t="n"/>
      <c r="AD333" s="45" t="n"/>
      <c r="AE333" s="45" t="n">
        <v>0.999996158190354</v>
      </c>
      <c r="AF333" s="75">
        <f>IFERROR(AVERAGE(L333:U333),"")</f>
        <v/>
      </c>
      <c r="AG333" s="75">
        <f>IFERROR(AVERAGE(V333:AE333),"")</f>
        <v/>
      </c>
      <c r="AH333" s="75">
        <f>IFERROR(AVERAGE(B333:K333),"")</f>
        <v/>
      </c>
      <c r="AI333" s="45" t="n">
        <v>0.998146057128906</v>
      </c>
      <c r="AJ333" s="47" t="n">
        <v>0</v>
      </c>
    </row>
    <row r="334" ht="15" customHeight="1" s="30">
      <c r="A334" s="73" t="inlineStr">
        <is>
          <t>8542.jpg</t>
        </is>
      </c>
      <c r="B334" s="45" t="n"/>
      <c r="C334" s="45" t="n"/>
      <c r="D334" s="45" t="n"/>
      <c r="E334" s="45" t="n"/>
      <c r="F334" s="45" t="n"/>
      <c r="G334" s="45" t="n"/>
      <c r="H334" s="45" t="n">
        <v>0.747352496217852</v>
      </c>
      <c r="I334" s="45" t="n"/>
      <c r="J334" s="45" t="n"/>
      <c r="K334" s="45" t="n">
        <v>0.997432428277113</v>
      </c>
      <c r="L334" s="45" t="n"/>
      <c r="M334" s="45" t="n"/>
      <c r="N334" s="45" t="n"/>
      <c r="O334" s="45" t="n"/>
      <c r="P334" s="45" t="n"/>
      <c r="Q334" s="45" t="n"/>
      <c r="R334" s="45" t="n">
        <v>0.8961451247165531</v>
      </c>
      <c r="S334" s="45" t="n"/>
      <c r="T334" s="45" t="n"/>
      <c r="U334" s="45" t="n">
        <v>0.998311142229523</v>
      </c>
      <c r="V334" s="45" t="n"/>
      <c r="W334" s="45" t="n"/>
      <c r="X334" s="45" t="n"/>
      <c r="Y334" s="45" t="n"/>
      <c r="Z334" s="45" t="n"/>
      <c r="AA334" s="45" t="n"/>
      <c r="AB334" s="45" t="n">
        <v>0.818219461697723</v>
      </c>
      <c r="AC334" s="45" t="n"/>
      <c r="AD334" s="45" t="n"/>
      <c r="AE334" s="45" t="n">
        <v>0.999118311778816</v>
      </c>
      <c r="AF334" s="75">
        <f>IFERROR(AVERAGE(L334:U334),"")</f>
        <v/>
      </c>
      <c r="AG334" s="75">
        <f>IFERROR(AVERAGE(V334:AE334),"")</f>
        <v/>
      </c>
      <c r="AH334" s="75">
        <f>IFERROR(AVERAGE(B334:K334),"")</f>
        <v/>
      </c>
      <c r="AI334" s="45" t="n">
        <v>0.9974517822265631</v>
      </c>
      <c r="AJ334" s="47" t="n">
        <v>0</v>
      </c>
    </row>
    <row r="335" ht="15" customHeight="1" s="30">
      <c r="A335" s="73" t="inlineStr">
        <is>
          <t>8543.jpg</t>
        </is>
      </c>
      <c r="B335" s="45" t="n"/>
      <c r="C335" s="45" t="n"/>
      <c r="D335" s="45" t="n"/>
      <c r="E335" s="45" t="n"/>
      <c r="F335" s="45" t="n"/>
      <c r="G335" s="45" t="n"/>
      <c r="H335" s="45" t="n">
        <v>0.407258064516129</v>
      </c>
      <c r="I335" s="45" t="n"/>
      <c r="J335" s="45" t="n"/>
      <c r="K335" s="45" t="n">
        <v>0.993805380928848</v>
      </c>
      <c r="L335" s="45" t="n"/>
      <c r="M335" s="45" t="n"/>
      <c r="N335" s="45" t="n"/>
      <c r="O335" s="45" t="n"/>
      <c r="P335" s="45" t="n"/>
      <c r="Q335" s="45" t="n"/>
      <c r="R335" s="45" t="n">
        <v>0.415482423335827</v>
      </c>
      <c r="S335" s="45" t="n"/>
      <c r="T335" s="45" t="n"/>
      <c r="U335" s="45" t="n">
        <v>0.999791883454735</v>
      </c>
      <c r="V335" s="45" t="n"/>
      <c r="W335" s="45" t="n"/>
      <c r="X335" s="45" t="n"/>
      <c r="Y335" s="45" t="n"/>
      <c r="Z335" s="45" t="n"/>
      <c r="AA335" s="45" t="n"/>
      <c r="AB335" s="45" t="n">
        <v>0.953648068669528</v>
      </c>
      <c r="AC335" s="45" t="n"/>
      <c r="AD335" s="45" t="n"/>
      <c r="AE335" s="45" t="n">
        <v>0.994011012380306</v>
      </c>
      <c r="AF335" s="75">
        <f>IFERROR(AVERAGE(L335:U335),"")</f>
        <v/>
      </c>
      <c r="AG335" s="75">
        <f>IFERROR(AVERAGE(V335:AE335),"")</f>
        <v/>
      </c>
      <c r="AH335" s="75">
        <f>IFERROR(AVERAGE(B335:K335),"")</f>
        <v/>
      </c>
      <c r="AI335" s="45" t="n">
        <v>0.993831634521484</v>
      </c>
      <c r="AJ335" s="47" t="n">
        <v>0</v>
      </c>
    </row>
    <row r="336" ht="15" customHeight="1" s="30">
      <c r="A336" s="73" t="inlineStr">
        <is>
          <t>8544.jpg</t>
        </is>
      </c>
      <c r="B336" s="45" t="n"/>
      <c r="C336" s="45" t="n"/>
      <c r="D336" s="45" t="n"/>
      <c r="E336" s="45" t="n"/>
      <c r="F336" s="45" t="n"/>
      <c r="G336" s="45" t="n"/>
      <c r="H336" s="45" t="n">
        <v>0.581895633652822</v>
      </c>
      <c r="I336" s="45" t="n"/>
      <c r="J336" s="45" t="n"/>
      <c r="K336" s="45" t="n">
        <v>0.992432886682189</v>
      </c>
      <c r="L336" s="45" t="n"/>
      <c r="M336" s="45" t="n"/>
      <c r="N336" s="45" t="n"/>
      <c r="O336" s="45" t="n"/>
      <c r="P336" s="45" t="n"/>
      <c r="Q336" s="45" t="n"/>
      <c r="R336" s="45" t="n">
        <v>0.595856052344602</v>
      </c>
      <c r="S336" s="45" t="n"/>
      <c r="T336" s="45" t="n"/>
      <c r="U336" s="45" t="n">
        <v>0.999572913390718</v>
      </c>
      <c r="V336" s="45" t="n"/>
      <c r="W336" s="45" t="n"/>
      <c r="X336" s="45" t="n"/>
      <c r="Y336" s="45" t="n"/>
      <c r="Z336" s="45" t="n"/>
      <c r="AA336" s="45" t="n"/>
      <c r="AB336" s="45" t="n">
        <v>0.961294862772695</v>
      </c>
      <c r="AC336" s="45" t="n"/>
      <c r="AD336" s="45" t="n"/>
      <c r="AE336" s="45" t="n">
        <v>0.9928538923726</v>
      </c>
      <c r="AF336" s="75">
        <f>IFERROR(AVERAGE(L336:U336),"")</f>
        <v/>
      </c>
      <c r="AG336" s="75">
        <f>IFERROR(AVERAGE(V336:AE336),"")</f>
        <v/>
      </c>
      <c r="AH336" s="75">
        <f>IFERROR(AVERAGE(B336:K336),"")</f>
        <v/>
      </c>
      <c r="AI336" s="45" t="n">
        <v>0.992511749267578</v>
      </c>
      <c r="AJ336" s="47" t="n">
        <v>0</v>
      </c>
    </row>
    <row r="337" ht="15" customHeight="1" s="30">
      <c r="A337" s="73" t="inlineStr">
        <is>
          <t>8557.jpg</t>
        </is>
      </c>
      <c r="B337" s="45" t="n"/>
      <c r="C337" s="45" t="n"/>
      <c r="D337" s="45" t="n"/>
      <c r="E337" s="45" t="n"/>
      <c r="F337" s="45" t="n"/>
      <c r="G337" s="45" t="n">
        <v>0.673520249221184</v>
      </c>
      <c r="H337" s="45" t="n">
        <v>0.755595289475307</v>
      </c>
      <c r="I337" s="45" t="n"/>
      <c r="J337" s="45" t="n"/>
      <c r="K337" s="45" t="n">
        <v>0.982024288225666</v>
      </c>
      <c r="L337" s="45" t="n"/>
      <c r="M337" s="45" t="n"/>
      <c r="N337" s="45" t="n"/>
      <c r="O337" s="45" t="n"/>
      <c r="P337" s="45" t="n"/>
      <c r="Q337" s="45" t="n">
        <v>0.90536013400335</v>
      </c>
      <c r="R337" s="45" t="n">
        <v>0.889848968922451</v>
      </c>
      <c r="S337" s="45" t="n"/>
      <c r="T337" s="45" t="n"/>
      <c r="U337" s="45" t="n">
        <v>0.9878569337843111</v>
      </c>
      <c r="V337" s="45" t="n"/>
      <c r="W337" s="45" t="n"/>
      <c r="X337" s="45" t="n"/>
      <c r="Y337" s="45" t="n"/>
      <c r="Z337" s="45" t="n"/>
      <c r="AA337" s="45" t="n">
        <v>0.724530831099196</v>
      </c>
      <c r="AB337" s="45" t="n">
        <v>0.8335600598558019</v>
      </c>
      <c r="AC337" s="45" t="n"/>
      <c r="AD337" s="45" t="n"/>
      <c r="AE337" s="45" t="n">
        <v>0.994023513241538</v>
      </c>
      <c r="AF337" s="75">
        <f>IFERROR(AVERAGE(L337:U337),"")</f>
        <v/>
      </c>
      <c r="AG337" s="75">
        <f>IFERROR(AVERAGE(V337:AE337),"")</f>
        <v/>
      </c>
      <c r="AH337" s="75">
        <f>IFERROR(AVERAGE(B337:K337),"")</f>
        <v/>
      </c>
      <c r="AI337" s="45" t="n">
        <v>0.981956481933594</v>
      </c>
      <c r="AJ337" s="47" t="n">
        <v>0</v>
      </c>
    </row>
    <row r="338" ht="15" customHeight="1" s="30">
      <c r="A338" s="73" t="inlineStr">
        <is>
          <t>8558.jpg</t>
        </is>
      </c>
      <c r="B338" s="45" t="n"/>
      <c r="C338" s="45" t="n"/>
      <c r="D338" s="45" t="n"/>
      <c r="E338" s="45" t="n"/>
      <c r="F338" s="45" t="n"/>
      <c r="G338" s="45" t="n">
        <v>0.709727454021715</v>
      </c>
      <c r="H338" s="45" t="n">
        <v>0.722476200720701</v>
      </c>
      <c r="I338" s="45" t="n"/>
      <c r="J338" s="45" t="n"/>
      <c r="K338" s="45" t="n">
        <v>0.977141598047937</v>
      </c>
      <c r="L338" s="45" t="n"/>
      <c r="M338" s="45" t="n"/>
      <c r="N338" s="45" t="n"/>
      <c r="O338" s="45" t="n"/>
      <c r="P338" s="45" t="n"/>
      <c r="Q338" s="45" t="n">
        <v>0.948755924170616</v>
      </c>
      <c r="R338" s="45" t="n">
        <v>0.82013553941022</v>
      </c>
      <c r="S338" s="45" t="n"/>
      <c r="T338" s="45" t="n"/>
      <c r="U338" s="45" t="n">
        <v>0.987965625502807</v>
      </c>
      <c r="V338" s="45" t="n"/>
      <c r="W338" s="45" t="n"/>
      <c r="X338" s="45" t="n"/>
      <c r="Y338" s="45" t="n"/>
      <c r="Z338" s="45" t="n"/>
      <c r="AA338" s="45" t="n">
        <v>0.738018433179724</v>
      </c>
      <c r="AB338" s="45" t="n">
        <v>0.858503227455742</v>
      </c>
      <c r="AC338" s="45" t="n"/>
      <c r="AD338" s="45" t="n"/>
      <c r="AE338" s="45" t="n">
        <v>0.9889121520335979</v>
      </c>
      <c r="AF338" s="75">
        <f>IFERROR(AVERAGE(L338:U338),"")</f>
        <v/>
      </c>
      <c r="AG338" s="75">
        <f>IFERROR(AVERAGE(V338:AE338),"")</f>
        <v/>
      </c>
      <c r="AH338" s="75">
        <f>IFERROR(AVERAGE(B338:K338),"")</f>
        <v/>
      </c>
      <c r="AI338" s="45" t="n">
        <v>0.9769744873046881</v>
      </c>
      <c r="AJ338" s="47" t="n">
        <v>0</v>
      </c>
    </row>
    <row r="339" ht="15" customHeight="1" s="30">
      <c r="A339" s="73" t="inlineStr">
        <is>
          <t>8592.jpg</t>
        </is>
      </c>
      <c r="B339" s="45" t="n"/>
      <c r="C339" s="45" t="n"/>
      <c r="D339" s="45" t="n"/>
      <c r="E339" s="45" t="n"/>
      <c r="F339" s="45" t="n"/>
      <c r="G339" s="45" t="n">
        <v>0.746982521159914</v>
      </c>
      <c r="H339" s="45" t="n"/>
      <c r="I339" s="45" t="n"/>
      <c r="J339" s="45" t="n"/>
      <c r="K339" s="45" t="n">
        <v>0.9795655040468551</v>
      </c>
      <c r="L339" s="45" t="n"/>
      <c r="M339" s="45" t="n"/>
      <c r="N339" s="45" t="n"/>
      <c r="O339" s="45" t="n"/>
      <c r="P339" s="45" t="n"/>
      <c r="Q339" s="45" t="n">
        <v>0.95212256623045</v>
      </c>
      <c r="R339" s="45" t="n"/>
      <c r="S339" s="45" t="n"/>
      <c r="T339" s="45" t="n"/>
      <c r="U339" s="45" t="n">
        <v>0.982546180404822</v>
      </c>
      <c r="V339" s="45" t="n"/>
      <c r="W339" s="45" t="n"/>
      <c r="X339" s="45" t="n"/>
      <c r="Y339" s="45" t="n"/>
      <c r="Z339" s="45" t="n"/>
      <c r="AA339" s="45" t="n">
        <v>0.77613571317063</v>
      </c>
      <c r="AB339" s="45" t="n"/>
      <c r="AC339" s="45" t="n"/>
      <c r="AD339" s="45" t="n"/>
      <c r="AE339" s="45" t="n">
        <v>0.996912652772232</v>
      </c>
      <c r="AF339" s="75">
        <f>IFERROR(AVERAGE(L339:U339),"")</f>
        <v/>
      </c>
      <c r="AG339" s="75">
        <f>IFERROR(AVERAGE(V339:AE339),"")</f>
        <v/>
      </c>
      <c r="AH339" s="75">
        <f>IFERROR(AVERAGE(B339:K339),"")</f>
        <v/>
      </c>
      <c r="AI339" s="45" t="n">
        <v>0.9807281494140631</v>
      </c>
      <c r="AJ339" s="47" t="n">
        <v>0</v>
      </c>
    </row>
    <row r="340" ht="15" customHeight="1" s="30">
      <c r="A340" s="73" t="inlineStr">
        <is>
          <t>8601.jpg</t>
        </is>
      </c>
      <c r="B340" s="45" t="n"/>
      <c r="C340" s="45" t="n"/>
      <c r="D340" s="45" t="n"/>
      <c r="E340" s="45" t="n"/>
      <c r="F340" s="45" t="n"/>
      <c r="G340" s="45" t="n">
        <v>0.643942028985507</v>
      </c>
      <c r="H340" s="45" t="n"/>
      <c r="I340" s="45" t="n"/>
      <c r="J340" s="45" t="n"/>
      <c r="K340" s="45" t="n">
        <v>0.975533389633359</v>
      </c>
      <c r="L340" s="45" t="n"/>
      <c r="M340" s="45" t="n"/>
      <c r="N340" s="45" t="n"/>
      <c r="O340" s="45" t="n"/>
      <c r="P340" s="45" t="n"/>
      <c r="Q340" s="45" t="n">
        <v>0.9476198600921349</v>
      </c>
      <c r="R340" s="45" t="n"/>
      <c r="S340" s="45" t="n"/>
      <c r="T340" s="45" t="n"/>
      <c r="U340" s="45" t="n">
        <v>0.977925262157478</v>
      </c>
      <c r="V340" s="45" t="n"/>
      <c r="W340" s="45" t="n"/>
      <c r="X340" s="45" t="n"/>
      <c r="Y340" s="45" t="n"/>
      <c r="Z340" s="45" t="n"/>
      <c r="AA340" s="45" t="n">
        <v>0.667708583794181</v>
      </c>
      <c r="AB340" s="45" t="n"/>
      <c r="AC340" s="45" t="n"/>
      <c r="AD340" s="45" t="n"/>
      <c r="AE340" s="45" t="n">
        <v>0.997499063166984</v>
      </c>
      <c r="AF340" s="75">
        <f>IFERROR(AVERAGE(L340:U340),"")</f>
        <v/>
      </c>
      <c r="AG340" s="75">
        <f>IFERROR(AVERAGE(V340:AE340),"")</f>
        <v/>
      </c>
      <c r="AH340" s="75">
        <f>IFERROR(AVERAGE(B340:K340),"")</f>
        <v/>
      </c>
      <c r="AI340" s="45" t="n">
        <v>0.976570129394531</v>
      </c>
      <c r="AJ340" s="47" t="n">
        <v>0</v>
      </c>
    </row>
    <row r="341" ht="15" customHeight="1" s="30">
      <c r="A341" s="73" t="inlineStr">
        <is>
          <t>8762.jpg</t>
        </is>
      </c>
      <c r="B341" s="45" t="n">
        <v>0</v>
      </c>
      <c r="C341" s="45" t="n"/>
      <c r="D341" s="45" t="n"/>
      <c r="E341" s="45" t="n"/>
      <c r="F341" s="45" t="n">
        <v>0.869018078695498</v>
      </c>
      <c r="G341" s="45" t="n">
        <v>0.910432864047069</v>
      </c>
      <c r="H341" s="45" t="n"/>
      <c r="I341" s="45" t="n">
        <v>0.741258741258741</v>
      </c>
      <c r="J341" s="45" t="n"/>
      <c r="K341" s="45" t="n">
        <v>0.914548551959114</v>
      </c>
      <c r="L341" s="45" t="n"/>
      <c r="M341" s="45" t="n"/>
      <c r="N341" s="45" t="n"/>
      <c r="O341" s="45" t="n"/>
      <c r="P341" s="45" t="n">
        <v>0.952667780670734</v>
      </c>
      <c r="Q341" s="45" t="n">
        <v>0.964279752962778</v>
      </c>
      <c r="R341" s="45" t="n"/>
      <c r="S341" s="45" t="n">
        <v>0.779411764705882</v>
      </c>
      <c r="T341" s="45" t="n"/>
      <c r="U341" s="45" t="n">
        <v>0.922185779333217</v>
      </c>
      <c r="V341" s="45" t="n">
        <v>0</v>
      </c>
      <c r="W341" s="45" t="n"/>
      <c r="X341" s="45" t="n"/>
      <c r="Y341" s="45" t="n"/>
      <c r="Z341" s="45" t="n">
        <v>0.908232068761114</v>
      </c>
      <c r="AA341" s="45" t="n">
        <v>0.94220941611395</v>
      </c>
      <c r="AB341" s="45" t="n"/>
      <c r="AC341" s="45" t="n">
        <v>0.938053097345133</v>
      </c>
      <c r="AD341" s="45" t="n"/>
      <c r="AE341" s="45" t="n">
        <v>0.991025805117703</v>
      </c>
      <c r="AF341" s="75">
        <f>IFERROR(AVERAGE(L341:U341),"")</f>
        <v/>
      </c>
      <c r="AG341" s="75">
        <f>IFERROR(AVERAGE(V341:AE341),"")</f>
        <v/>
      </c>
      <c r="AH341" s="75">
        <f>IFERROR(AVERAGE(B341:K341),"")</f>
        <v/>
      </c>
      <c r="AI341" s="45" t="n">
        <v>0.927989959716797</v>
      </c>
      <c r="AJ341" s="47" t="n">
        <v>0</v>
      </c>
    </row>
    <row r="342" ht="15" customHeight="1" s="30">
      <c r="A342" s="73" t="inlineStr">
        <is>
          <t>8767.jpg</t>
        </is>
      </c>
      <c r="B342" s="45" t="n"/>
      <c r="C342" s="45" t="n"/>
      <c r="D342" s="45" t="n"/>
      <c r="E342" s="45" t="n"/>
      <c r="F342" s="45" t="n">
        <v>0.865102639296188</v>
      </c>
      <c r="G342" s="45" t="n">
        <v>0.927590580709204</v>
      </c>
      <c r="H342" s="45" t="n"/>
      <c r="I342" s="45" t="n">
        <v>0.5909090909090911</v>
      </c>
      <c r="J342" s="45" t="n"/>
      <c r="K342" s="45" t="n">
        <v>0.9699434379017861</v>
      </c>
      <c r="L342" s="45" t="n"/>
      <c r="M342" s="45" t="n"/>
      <c r="N342" s="45" t="n"/>
      <c r="O342" s="45" t="n"/>
      <c r="P342" s="45" t="n">
        <v>0.955835133399498</v>
      </c>
      <c r="Q342" s="45" t="n">
        <v>0.963455149501661</v>
      </c>
      <c r="R342" s="45" t="n"/>
      <c r="S342" s="45" t="n">
        <v>0.7253218884120169</v>
      </c>
      <c r="T342" s="45" t="n"/>
      <c r="U342" s="45" t="n">
        <v>0.979809224767478</v>
      </c>
      <c r="V342" s="45" t="n"/>
      <c r="W342" s="45" t="n"/>
      <c r="X342" s="45" t="n"/>
      <c r="Y342" s="45" t="n"/>
      <c r="Z342" s="45" t="n">
        <v>0.901122791568056</v>
      </c>
      <c r="AA342" s="45" t="n">
        <v>0.96141754787082</v>
      </c>
      <c r="AB342" s="45" t="n"/>
      <c r="AC342" s="45" t="n">
        <v>0.761261261261261</v>
      </c>
      <c r="AD342" s="45" t="n"/>
      <c r="AE342" s="45" t="n">
        <v>0.989725550125187</v>
      </c>
      <c r="AF342" s="75">
        <f>IFERROR(AVERAGE(L342:U342),"")</f>
        <v/>
      </c>
      <c r="AG342" s="75">
        <f>IFERROR(AVERAGE(V342:AE342),"")</f>
        <v/>
      </c>
      <c r="AH342" s="75">
        <f>IFERROR(AVERAGE(B342:K342),"")</f>
        <v/>
      </c>
      <c r="AI342" s="45" t="n">
        <v>0.975360870361328</v>
      </c>
      <c r="AJ342" s="47" t="n">
        <v>0</v>
      </c>
    </row>
    <row r="343" ht="15" customHeight="1" s="30">
      <c r="A343" s="73" t="inlineStr">
        <is>
          <t>8773.jpg</t>
        </is>
      </c>
      <c r="B343" s="45" t="n"/>
      <c r="C343" s="45" t="n"/>
      <c r="D343" s="45" t="n"/>
      <c r="E343" s="45" t="n"/>
      <c r="F343" s="45" t="n">
        <v>0.871632013102443</v>
      </c>
      <c r="G343" s="45" t="n">
        <v>0.753012048192771</v>
      </c>
      <c r="H343" s="45" t="n">
        <v>0</v>
      </c>
      <c r="I343" s="45" t="n"/>
      <c r="J343" s="45" t="n"/>
      <c r="K343" s="45" t="n">
        <v>0.952095299675758</v>
      </c>
      <c r="L343" s="45" t="n"/>
      <c r="M343" s="45" t="n"/>
      <c r="N343" s="45" t="n"/>
      <c r="O343" s="45" t="n"/>
      <c r="P343" s="45" t="n">
        <v>0.919143200151646</v>
      </c>
      <c r="Q343" s="45" t="n">
        <v>0.989101224246044</v>
      </c>
      <c r="R343" s="45" t="n">
        <v>0</v>
      </c>
      <c r="S343" s="45" t="n"/>
      <c r="T343" s="45" t="n"/>
      <c r="U343" s="45" t="n">
        <v>0.97240820812425</v>
      </c>
      <c r="V343" s="45" t="n"/>
      <c r="W343" s="45" t="n"/>
      <c r="X343" s="45" t="n"/>
      <c r="Y343" s="45" t="n"/>
      <c r="Z343" s="45" t="n">
        <v>0.9440166133079519</v>
      </c>
      <c r="AA343" s="45" t="n">
        <v>0.759312320916906</v>
      </c>
      <c r="AB343" s="45" t="n">
        <v>0</v>
      </c>
      <c r="AC343" s="45" t="n"/>
      <c r="AD343" s="45" t="n"/>
      <c r="AE343" s="45" t="n">
        <v>0.978530717178822</v>
      </c>
      <c r="AF343" s="75">
        <f>IFERROR(AVERAGE(L343:U343),"")</f>
        <v/>
      </c>
      <c r="AG343" s="75">
        <f>IFERROR(AVERAGE(V343:AE343),"")</f>
        <v/>
      </c>
      <c r="AH343" s="75">
        <f>IFERROR(AVERAGE(B343:K343),"")</f>
        <v/>
      </c>
      <c r="AI343" s="45" t="n">
        <v>0.961280822753906</v>
      </c>
      <c r="AJ343" s="47" t="n">
        <v>0</v>
      </c>
    </row>
    <row r="344" ht="15" customHeight="1" s="30">
      <c r="A344" s="73" t="inlineStr">
        <is>
          <t>8776.jpg</t>
        </is>
      </c>
      <c r="B344" s="45" t="n"/>
      <c r="C344" s="45" t="n"/>
      <c r="D344" s="45" t="n"/>
      <c r="E344" s="45" t="n"/>
      <c r="F344" s="45" t="n">
        <v>0.899369461486026</v>
      </c>
      <c r="G344" s="45" t="n"/>
      <c r="H344" s="45" t="n">
        <v>0</v>
      </c>
      <c r="I344" s="45" t="n">
        <v>0.874172185430464</v>
      </c>
      <c r="J344" s="45" t="n"/>
      <c r="K344" s="45" t="n">
        <v>0.965846639985066</v>
      </c>
      <c r="L344" s="45" t="n"/>
      <c r="M344" s="45" t="n"/>
      <c r="N344" s="45" t="n"/>
      <c r="O344" s="45" t="n"/>
      <c r="P344" s="45" t="n">
        <v>0.954663651780667</v>
      </c>
      <c r="Q344" s="45" t="n"/>
      <c r="R344" s="45" t="n">
        <v>0</v>
      </c>
      <c r="S344" s="45" t="n">
        <v>0.913494809688581</v>
      </c>
      <c r="T344" s="45" t="n"/>
      <c r="U344" s="45" t="n">
        <v>0.98743628534854</v>
      </c>
      <c r="V344" s="45" t="n"/>
      <c r="W344" s="45" t="n"/>
      <c r="X344" s="45" t="n"/>
      <c r="Y344" s="45" t="n"/>
      <c r="Z344" s="45" t="n">
        <v>0.939495760920359</v>
      </c>
      <c r="AA344" s="45" t="n"/>
      <c r="AB344" s="45" t="n"/>
      <c r="AC344" s="45" t="n">
        <v>0.953068592057762</v>
      </c>
      <c r="AD344" s="45" t="n"/>
      <c r="AE344" s="45" t="n">
        <v>0.977863622953238</v>
      </c>
      <c r="AF344" s="75">
        <f>IFERROR(AVERAGE(L344:U344),"")</f>
        <v/>
      </c>
      <c r="AG344" s="75">
        <f>IFERROR(AVERAGE(V344:AE344),"")</f>
        <v/>
      </c>
      <c r="AH344" s="75">
        <f>IFERROR(AVERAGE(B344:K344),"")</f>
        <v/>
      </c>
      <c r="AI344" s="45" t="n">
        <v>0.971260070800781</v>
      </c>
      <c r="AJ344" s="47" t="n">
        <v>0</v>
      </c>
    </row>
    <row r="345" ht="15" customHeight="1" s="30">
      <c r="A345" s="73" t="inlineStr">
        <is>
          <t>8778.jpg</t>
        </is>
      </c>
      <c r="B345" s="45" t="n"/>
      <c r="C345" s="45" t="n"/>
      <c r="D345" s="45" t="n"/>
      <c r="E345" s="45" t="n"/>
      <c r="F345" s="45" t="n">
        <v>0.874048372282886</v>
      </c>
      <c r="G345" s="45" t="n">
        <v>0</v>
      </c>
      <c r="H345" s="45" t="n">
        <v>0.187894736842105</v>
      </c>
      <c r="I345" s="45" t="n">
        <v>0.58984375</v>
      </c>
      <c r="J345" s="45" t="n"/>
      <c r="K345" s="45" t="n">
        <v>0.961221635063724</v>
      </c>
      <c r="L345" s="45" t="n"/>
      <c r="M345" s="45" t="n"/>
      <c r="N345" s="45" t="n"/>
      <c r="O345" s="45" t="n"/>
      <c r="P345" s="45" t="n">
        <v>0.926224721531307</v>
      </c>
      <c r="Q345" s="45" t="n"/>
      <c r="R345" s="45" t="n">
        <v>1</v>
      </c>
      <c r="S345" s="45" t="n">
        <v>0.803191489361702</v>
      </c>
      <c r="T345" s="45" t="n"/>
      <c r="U345" s="45" t="n">
        <v>0.9763609516910901</v>
      </c>
      <c r="V345" s="45" t="n"/>
      <c r="W345" s="45" t="n"/>
      <c r="X345" s="45" t="n"/>
      <c r="Y345" s="45" t="n"/>
      <c r="Z345" s="45" t="n">
        <v>0.9394524394524399</v>
      </c>
      <c r="AA345" s="45" t="n">
        <v>0</v>
      </c>
      <c r="AB345" s="45" t="n">
        <v>0.187894736842105</v>
      </c>
      <c r="AC345" s="45" t="n">
        <v>0.689497716894977</v>
      </c>
      <c r="AD345" s="45" t="n"/>
      <c r="AE345" s="45" t="n">
        <v>0.98412468115976</v>
      </c>
      <c r="AF345" s="75">
        <f>IFERROR(AVERAGE(L345:U345),"")</f>
        <v/>
      </c>
      <c r="AG345" s="75">
        <f>IFERROR(AVERAGE(V345:AE345),"")</f>
        <v/>
      </c>
      <c r="AH345" s="75">
        <f>IFERROR(AVERAGE(B345:K345),"")</f>
        <v/>
      </c>
      <c r="AI345" s="45" t="n">
        <v>0.967426300048828</v>
      </c>
      <c r="AJ345" s="47" t="n">
        <v>0</v>
      </c>
    </row>
    <row r="346" ht="15" customHeight="1" s="30">
      <c r="A346" s="73" t="inlineStr">
        <is>
          <t>8781.jpg</t>
        </is>
      </c>
      <c r="B346" s="45" t="n"/>
      <c r="C346" s="45" t="n"/>
      <c r="D346" s="45" t="n"/>
      <c r="E346" s="45" t="n"/>
      <c r="F346" s="45" t="n">
        <v>0.872251258459982</v>
      </c>
      <c r="G346" s="45" t="n">
        <v>0.8764734183305271</v>
      </c>
      <c r="H346" s="45" t="n">
        <v>0</v>
      </c>
      <c r="I346" s="45" t="n">
        <v>0.641304347826087</v>
      </c>
      <c r="J346" s="45" t="n"/>
      <c r="K346" s="45" t="n">
        <v>0.96350326945932</v>
      </c>
      <c r="L346" s="45" t="n"/>
      <c r="M346" s="45" t="n"/>
      <c r="N346" s="45" t="n"/>
      <c r="O346" s="45" t="n"/>
      <c r="P346" s="45" t="n">
        <v>0.90230715567072</v>
      </c>
      <c r="Q346" s="45" t="n">
        <v>0.886820007301935</v>
      </c>
      <c r="R346" s="45" t="n">
        <v>0</v>
      </c>
      <c r="S346" s="45" t="n">
        <v>0.819444444444444</v>
      </c>
      <c r="T346" s="45" t="n"/>
      <c r="U346" s="45" t="n">
        <v>0.99230979294471</v>
      </c>
      <c r="V346" s="45" t="n"/>
      <c r="W346" s="45" t="n"/>
      <c r="X346" s="45" t="n"/>
      <c r="Y346" s="45" t="n"/>
      <c r="Z346" s="45" t="n">
        <v>0.963216128517474</v>
      </c>
      <c r="AA346" s="45" t="n">
        <v>0.986863488624052</v>
      </c>
      <c r="AB346" s="45" t="n"/>
      <c r="AC346" s="45" t="n">
        <v>0.746835443037975</v>
      </c>
      <c r="AD346" s="45" t="n"/>
      <c r="AE346" s="45" t="n">
        <v>0.970751836656808</v>
      </c>
      <c r="AF346" s="75">
        <f>IFERROR(AVERAGE(L346:U346),"")</f>
        <v/>
      </c>
      <c r="AG346" s="75">
        <f>IFERROR(AVERAGE(V346:AE346),"")</f>
        <v/>
      </c>
      <c r="AH346" s="75">
        <f>IFERROR(AVERAGE(B346:K346),"")</f>
        <v/>
      </c>
      <c r="AI346" s="45" t="n">
        <v>0.9704437255859381</v>
      </c>
      <c r="AJ346" s="47" t="n">
        <v>0</v>
      </c>
    </row>
    <row r="347" ht="15" customHeight="1" s="30">
      <c r="A347" s="73" t="inlineStr">
        <is>
          <t>8784.jpg</t>
        </is>
      </c>
      <c r="B347" s="45" t="n">
        <v>0.716053546958997</v>
      </c>
      <c r="C347" s="45" t="n"/>
      <c r="D347" s="45" t="n"/>
      <c r="E347" s="45" t="n"/>
      <c r="F347" s="45" t="n">
        <v>0</v>
      </c>
      <c r="G347" s="45" t="n"/>
      <c r="H347" s="45" t="n">
        <v>0</v>
      </c>
      <c r="I347" s="45" t="n"/>
      <c r="J347" s="45" t="n"/>
      <c r="K347" s="45" t="n">
        <v>0.929370929712768</v>
      </c>
      <c r="L347" s="45" t="n">
        <v>0.717824083858151</v>
      </c>
      <c r="M347" s="45" t="n"/>
      <c r="N347" s="45" t="n"/>
      <c r="O347" s="45" t="n"/>
      <c r="P347" s="45" t="n">
        <v>0</v>
      </c>
      <c r="Q347" s="45" t="n"/>
      <c r="R347" s="45" t="n">
        <v>0</v>
      </c>
      <c r="S347" s="45" t="n"/>
      <c r="T347" s="45" t="n"/>
      <c r="U347" s="45" t="n">
        <v>0.99944857879432</v>
      </c>
      <c r="V347" s="45" t="n">
        <v>0.996567203591233</v>
      </c>
      <c r="W347" s="45" t="n"/>
      <c r="X347" s="45" t="n"/>
      <c r="Y347" s="45" t="n"/>
      <c r="Z347" s="45" t="n"/>
      <c r="AA347" s="45" t="n"/>
      <c r="AB347" s="45" t="n"/>
      <c r="AC347" s="45" t="n"/>
      <c r="AD347" s="45" t="n"/>
      <c r="AE347" s="45" t="n">
        <v>0.929847716181197</v>
      </c>
      <c r="AF347" s="75">
        <f>IFERROR(AVERAGE(L347:U347),"")</f>
        <v/>
      </c>
      <c r="AG347" s="75">
        <f>IFERROR(AVERAGE(V347:AE347),"")</f>
        <v/>
      </c>
      <c r="AH347" s="75">
        <f>IFERROR(AVERAGE(B347:K347),"")</f>
        <v/>
      </c>
      <c r="AI347" s="45" t="n">
        <v>0.9385223388671881</v>
      </c>
      <c r="AJ347" s="47" t="n">
        <v>0</v>
      </c>
    </row>
    <row r="348" ht="15" customHeight="1" s="30">
      <c r="A348" s="73" t="inlineStr">
        <is>
          <t>8789.jpg</t>
        </is>
      </c>
      <c r="B348" s="45" t="n">
        <v>0</v>
      </c>
      <c r="C348" s="45" t="n">
        <v>0</v>
      </c>
      <c r="D348" s="45" t="n">
        <v>0.915206331260599</v>
      </c>
      <c r="E348" s="45" t="n"/>
      <c r="F348" s="45" t="n"/>
      <c r="G348" s="45" t="n">
        <v>0</v>
      </c>
      <c r="H348" s="45" t="n">
        <v>0.828960445239515</v>
      </c>
      <c r="I348" s="45" t="n">
        <v>0.582802547770701</v>
      </c>
      <c r="J348" s="45" t="n"/>
      <c r="K348" s="45" t="n">
        <v>0.08378766401337551</v>
      </c>
      <c r="L348" s="45" t="n"/>
      <c r="M348" s="45" t="n">
        <v>0</v>
      </c>
      <c r="N348" s="45" t="n">
        <v>0.934002538363909</v>
      </c>
      <c r="O348" s="45" t="n"/>
      <c r="P348" s="45" t="n"/>
      <c r="Q348" s="45" t="n">
        <v>0</v>
      </c>
      <c r="R348" s="45" t="n">
        <v>0.873357415842103</v>
      </c>
      <c r="S348" s="45" t="n">
        <v>0.614093959731544</v>
      </c>
      <c r="T348" s="45" t="n"/>
      <c r="U348" s="45" t="n">
        <v>0.988211338548923</v>
      </c>
      <c r="V348" s="45" t="n">
        <v>0</v>
      </c>
      <c r="W348" s="45" t="n"/>
      <c r="X348" s="45" t="n">
        <v>0.978484225794754</v>
      </c>
      <c r="Y348" s="45" t="n"/>
      <c r="Z348" s="45" t="n"/>
      <c r="AA348" s="45" t="n"/>
      <c r="AB348" s="45" t="n">
        <v>0.942219711945778</v>
      </c>
      <c r="AC348" s="45" t="n">
        <v>0.919597989949749</v>
      </c>
      <c r="AD348" s="45" t="n"/>
      <c r="AE348" s="45" t="n">
        <v>0.0838714958796456</v>
      </c>
      <c r="AF348" s="75">
        <f>IFERROR(AVERAGE(L348:U348),"")</f>
        <v/>
      </c>
      <c r="AG348" s="75">
        <f>IFERROR(AVERAGE(V348:AE348),"")</f>
        <v/>
      </c>
      <c r="AH348" s="75">
        <f>IFERROR(AVERAGE(B348:K348),"")</f>
        <v/>
      </c>
      <c r="AI348" s="45" t="n">
        <v>0.130390167236328</v>
      </c>
      <c r="AJ348" s="47" t="n">
        <v>0</v>
      </c>
    </row>
    <row r="349" ht="15" customHeight="1" s="30">
      <c r="A349" s="73" t="inlineStr">
        <is>
          <t>8810.jpg</t>
        </is>
      </c>
      <c r="B349" s="45" t="n"/>
      <c r="C349" s="45" t="n"/>
      <c r="D349" s="45" t="n">
        <v>0.815071368597817</v>
      </c>
      <c r="E349" s="45" t="n"/>
      <c r="F349" s="45" t="n"/>
      <c r="G349" s="45" t="n"/>
      <c r="H349" s="45" t="n">
        <v>0.690066081681291</v>
      </c>
      <c r="I349" s="45" t="n"/>
      <c r="J349" s="45" t="n">
        <v>0.890901432181971</v>
      </c>
      <c r="K349" s="45" t="n">
        <v>0.984394771828098</v>
      </c>
      <c r="L349" s="45" t="n"/>
      <c r="M349" s="45" t="n"/>
      <c r="N349" s="45" t="n">
        <v>0.976364093537843</v>
      </c>
      <c r="O349" s="45" t="n"/>
      <c r="P349" s="45" t="n"/>
      <c r="Q349" s="45" t="n"/>
      <c r="R349" s="45" t="n">
        <v>0.830183761240714</v>
      </c>
      <c r="S349" s="45" t="n"/>
      <c r="T349" s="45" t="n">
        <v>0.982350209010683</v>
      </c>
      <c r="U349" s="45" t="n">
        <v>0.989876822594739</v>
      </c>
      <c r="V349" s="45" t="n"/>
      <c r="W349" s="45" t="n"/>
      <c r="X349" s="45" t="n">
        <v>0.831477516059957</v>
      </c>
      <c r="Y349" s="45" t="n"/>
      <c r="Z349" s="45" t="n"/>
      <c r="AA349" s="45" t="n"/>
      <c r="AB349" s="45" t="n">
        <v>0.803481331987891</v>
      </c>
      <c r="AC349" s="45" t="n"/>
      <c r="AD349" s="45" t="n">
        <v>0.905393835616438</v>
      </c>
      <c r="AE349" s="45" t="n">
        <v>0.994405566117876</v>
      </c>
      <c r="AF349" s="75">
        <f>IFERROR(AVERAGE(L349:U349),"")</f>
        <v/>
      </c>
      <c r="AG349" s="75">
        <f>IFERROR(AVERAGE(V349:AE349),"")</f>
        <v/>
      </c>
      <c r="AH349" s="75">
        <f>IFERROR(AVERAGE(B349:K349),"")</f>
        <v/>
      </c>
      <c r="AI349" s="45" t="n">
        <v>0.984935760498047</v>
      </c>
      <c r="AJ349" s="47" t="n">
        <v>0</v>
      </c>
    </row>
    <row r="350" ht="15" customHeight="1" s="30">
      <c r="A350" s="73" t="inlineStr">
        <is>
          <t>8812.jpg</t>
        </is>
      </c>
      <c r="B350" s="45" t="n"/>
      <c r="C350" s="45" t="n"/>
      <c r="D350" s="45" t="n">
        <v>0.78990623914805</v>
      </c>
      <c r="E350" s="45" t="n"/>
      <c r="F350" s="45" t="n">
        <v>0</v>
      </c>
      <c r="G350" s="45" t="n"/>
      <c r="H350" s="45" t="n">
        <v>0.527906736820386</v>
      </c>
      <c r="I350" s="45" t="n"/>
      <c r="J350" s="45" t="n">
        <v>0</v>
      </c>
      <c r="K350" s="45" t="n">
        <v>0.967675345249716</v>
      </c>
      <c r="L350" s="45" t="n"/>
      <c r="M350" s="45" t="n"/>
      <c r="N350" s="45" t="n">
        <v>0.902884360942048</v>
      </c>
      <c r="O350" s="45" t="n"/>
      <c r="P350" s="45" t="n">
        <v>0</v>
      </c>
      <c r="Q350" s="45" t="n"/>
      <c r="R350" s="45" t="n">
        <v>0.772144258337106</v>
      </c>
      <c r="S350" s="45" t="n"/>
      <c r="T350" s="45" t="n">
        <v>0</v>
      </c>
      <c r="U350" s="45" t="n">
        <v>0.984100377555006</v>
      </c>
      <c r="V350" s="45" t="n"/>
      <c r="W350" s="45" t="n"/>
      <c r="X350" s="45" t="n">
        <v>0.863251106894371</v>
      </c>
      <c r="Y350" s="45" t="n"/>
      <c r="Z350" s="45" t="n"/>
      <c r="AA350" s="45" t="n"/>
      <c r="AB350" s="45" t="n">
        <v>0.625320786997434</v>
      </c>
      <c r="AC350" s="45" t="n"/>
      <c r="AD350" s="45" t="n"/>
      <c r="AE350" s="45" t="n">
        <v>0.983044510192802</v>
      </c>
      <c r="AF350" s="75">
        <f>IFERROR(AVERAGE(L350:U350),"")</f>
        <v/>
      </c>
      <c r="AG350" s="75">
        <f>IFERROR(AVERAGE(V350:AE350),"")</f>
        <v/>
      </c>
      <c r="AH350" s="75">
        <f>IFERROR(AVERAGE(B350:K350),"")</f>
        <v/>
      </c>
      <c r="AI350" s="45" t="n">
        <v>0.968265533447266</v>
      </c>
      <c r="AJ350" s="47" t="n">
        <v>0</v>
      </c>
    </row>
    <row r="351" ht="15" customHeight="1" s="30">
      <c r="A351" s="73" t="inlineStr">
        <is>
          <t>8814.jpg</t>
        </is>
      </c>
      <c r="B351" s="45" t="n"/>
      <c r="C351" s="45" t="n"/>
      <c r="D351" s="45" t="n">
        <v>0.877509410288582</v>
      </c>
      <c r="E351" s="45" t="n"/>
      <c r="F351" s="45" t="n"/>
      <c r="G351" s="45" t="n"/>
      <c r="H351" s="45" t="n">
        <v>0.626852956210598</v>
      </c>
      <c r="I351" s="45" t="n"/>
      <c r="J351" s="45" t="n">
        <v>0.792671755725191</v>
      </c>
      <c r="K351" s="45" t="n">
        <v>0.982554978188612</v>
      </c>
      <c r="L351" s="45" t="n"/>
      <c r="M351" s="45" t="n"/>
      <c r="N351" s="45" t="n">
        <v>0.9557567475230609</v>
      </c>
      <c r="O351" s="45" t="n"/>
      <c r="P351" s="45" t="n"/>
      <c r="Q351" s="45" t="n"/>
      <c r="R351" s="45" t="n">
        <v>0.8146589902568649</v>
      </c>
      <c r="S351" s="45" t="n"/>
      <c r="T351" s="45" t="n">
        <v>0.916019760056457</v>
      </c>
      <c r="U351" s="45" t="n">
        <v>0.988662448680714</v>
      </c>
      <c r="V351" s="45" t="n"/>
      <c r="W351" s="45" t="n"/>
      <c r="X351" s="45" t="n">
        <v>0.9146640510053951</v>
      </c>
      <c r="Y351" s="45" t="n"/>
      <c r="Z351" s="45" t="n"/>
      <c r="AA351" s="45" t="n"/>
      <c r="AB351" s="45" t="n">
        <v>0.731120826709062</v>
      </c>
      <c r="AC351" s="45" t="n"/>
      <c r="AD351" s="45" t="n">
        <v>0.854790912084294</v>
      </c>
      <c r="AE351" s="45" t="n">
        <v>0.99375209331751</v>
      </c>
      <c r="AF351" s="75">
        <f>IFERROR(AVERAGE(L351:U351),"")</f>
        <v/>
      </c>
      <c r="AG351" s="75">
        <f>IFERROR(AVERAGE(V351:AE351),"")</f>
        <v/>
      </c>
      <c r="AH351" s="75">
        <f>IFERROR(AVERAGE(B351:K351),"")</f>
        <v/>
      </c>
      <c r="AI351" s="45" t="n">
        <v>0.983409881591797</v>
      </c>
      <c r="AJ351" s="47" t="n">
        <v>0</v>
      </c>
    </row>
    <row r="352" ht="15" customHeight="1" s="30">
      <c r="A352" s="73" t="inlineStr">
        <is>
          <t>8815.jpg</t>
        </is>
      </c>
      <c r="B352" s="45" t="n"/>
      <c r="C352" s="45" t="n"/>
      <c r="D352" s="45" t="n">
        <v>0.797434722858452</v>
      </c>
      <c r="E352" s="45" t="n"/>
      <c r="F352" s="45" t="n">
        <v>0</v>
      </c>
      <c r="G352" s="45" t="n"/>
      <c r="H352" s="45" t="n">
        <v>0.682621502209131</v>
      </c>
      <c r="I352" s="45" t="n">
        <v>0.644642857142857</v>
      </c>
      <c r="J352" s="45" t="n">
        <v>0.68421052631579</v>
      </c>
      <c r="K352" s="45" t="n">
        <v>0.977222959387185</v>
      </c>
      <c r="L352" s="45" t="n"/>
      <c r="M352" s="45" t="n"/>
      <c r="N352" s="45" t="n">
        <v>0.941278252406186</v>
      </c>
      <c r="O352" s="45" t="n"/>
      <c r="P352" s="45" t="n">
        <v>0</v>
      </c>
      <c r="Q352" s="45" t="n"/>
      <c r="R352" s="45" t="n">
        <v>0.867977528089888</v>
      </c>
      <c r="S352" s="45" t="n">
        <v>0.798672566371681</v>
      </c>
      <c r="T352" s="45" t="n">
        <v>0.87816646562123</v>
      </c>
      <c r="U352" s="45" t="n">
        <v>0.985182662360844</v>
      </c>
      <c r="V352" s="45" t="n"/>
      <c r="W352" s="45" t="n"/>
      <c r="X352" s="45" t="n">
        <v>0.839182414192056</v>
      </c>
      <c r="Y352" s="45" t="n"/>
      <c r="Z352" s="45" t="n"/>
      <c r="AA352" s="45" t="n"/>
      <c r="AB352" s="45" t="n">
        <v>0.761709120788825</v>
      </c>
      <c r="AC352" s="45" t="n">
        <v>0.769722814498934</v>
      </c>
      <c r="AD352" s="45" t="n">
        <v>0.755970924195223</v>
      </c>
      <c r="AE352" s="45" t="n">
        <v>0.991800061964267</v>
      </c>
      <c r="AF352" s="75">
        <f>IFERROR(AVERAGE(L352:U352),"")</f>
        <v/>
      </c>
      <c r="AG352" s="75">
        <f>IFERROR(AVERAGE(V352:AE352),"")</f>
        <v/>
      </c>
      <c r="AH352" s="75">
        <f>IFERROR(AVERAGE(B352:K352),"")</f>
        <v/>
      </c>
      <c r="AI352" s="45" t="n">
        <v>0.977222442626953</v>
      </c>
      <c r="AJ352" s="47" t="n">
        <v>0</v>
      </c>
    </row>
    <row r="353" ht="15" customHeight="1" s="30">
      <c r="A353" s="73" t="inlineStr">
        <is>
          <t>8860.jpg</t>
        </is>
      </c>
      <c r="B353" s="45" t="n">
        <v>0</v>
      </c>
      <c r="C353" s="45" t="n"/>
      <c r="D353" s="45" t="n"/>
      <c r="E353" s="45" t="n"/>
      <c r="F353" s="45" t="n"/>
      <c r="G353" s="45" t="n">
        <v>0</v>
      </c>
      <c r="H353" s="45" t="n"/>
      <c r="I353" s="45" t="n">
        <v>0</v>
      </c>
      <c r="J353" s="45" t="n"/>
      <c r="K353" s="45" t="n">
        <v>0.996654757677969</v>
      </c>
      <c r="L353" s="45" t="n"/>
      <c r="M353" s="45" t="n"/>
      <c r="N353" s="45" t="n"/>
      <c r="O353" s="45" t="n"/>
      <c r="P353" s="45" t="n"/>
      <c r="Q353" s="45" t="n">
        <v>0</v>
      </c>
      <c r="R353" s="45" t="n"/>
      <c r="S353" s="45" t="n">
        <v>0</v>
      </c>
      <c r="T353" s="45" t="n"/>
      <c r="U353" s="45" t="n">
        <v>0.997180299842918</v>
      </c>
      <c r="V353" s="45" t="n">
        <v>0</v>
      </c>
      <c r="W353" s="45" t="n"/>
      <c r="X353" s="45" t="n"/>
      <c r="Y353" s="45" t="n"/>
      <c r="Z353" s="45" t="n"/>
      <c r="AA353" s="45" t="n"/>
      <c r="AB353" s="45" t="n"/>
      <c r="AC353" s="45" t="n"/>
      <c r="AD353" s="45" t="n"/>
      <c r="AE353" s="45" t="n">
        <v>0.999471482297439</v>
      </c>
      <c r="AF353" s="75">
        <f>IFERROR(AVERAGE(L353:U353),"")</f>
        <v/>
      </c>
      <c r="AG353" s="75">
        <f>IFERROR(AVERAGE(V353:AE353),"")</f>
        <v/>
      </c>
      <c r="AH353" s="75">
        <f>IFERROR(AVERAGE(B353:K353),"")</f>
        <v/>
      </c>
      <c r="AI353" s="45" t="n">
        <v>0.685321807861328</v>
      </c>
      <c r="AJ353" s="47" t="n">
        <v>0</v>
      </c>
    </row>
    <row r="354" ht="15" customHeight="1" s="30">
      <c r="A354" s="73" t="inlineStr">
        <is>
          <t>8898.jpg</t>
        </is>
      </c>
      <c r="B354" s="45" t="n"/>
      <c r="C354" s="45" t="n"/>
      <c r="D354" s="45" t="n"/>
      <c r="E354" s="45" t="n"/>
      <c r="F354" s="45" t="n">
        <v>0.926590446004075</v>
      </c>
      <c r="G354" s="45" t="n">
        <v>0.967802779616148</v>
      </c>
      <c r="H354" s="45" t="n">
        <v>0</v>
      </c>
      <c r="I354" s="45" t="n"/>
      <c r="J354" s="45" t="n"/>
      <c r="K354" s="45" t="n">
        <v>0.969742844152665</v>
      </c>
      <c r="L354" s="45" t="n"/>
      <c r="M354" s="45" t="n"/>
      <c r="N354" s="45" t="n"/>
      <c r="O354" s="45" t="n"/>
      <c r="P354" s="45" t="n">
        <v>0.967153069061263</v>
      </c>
      <c r="Q354" s="45" t="n">
        <v>0.973310259908816</v>
      </c>
      <c r="R354" s="45" t="n">
        <v>0</v>
      </c>
      <c r="S354" s="45" t="n"/>
      <c r="T354" s="45" t="n"/>
      <c r="U354" s="45" t="n">
        <v>0.988757119132765</v>
      </c>
      <c r="V354" s="45" t="n"/>
      <c r="W354" s="45" t="n"/>
      <c r="X354" s="45" t="n"/>
      <c r="Y354" s="45" t="n"/>
      <c r="Z354" s="45" t="n">
        <v>0.956697054698457</v>
      </c>
      <c r="AA354" s="45" t="n">
        <v>0.994187232306751</v>
      </c>
      <c r="AB354" s="45" t="n">
        <v>0</v>
      </c>
      <c r="AC354" s="45" t="n"/>
      <c r="AD354" s="45" t="n"/>
      <c r="AE354" s="45" t="n">
        <v>0.980555106494766</v>
      </c>
      <c r="AF354" s="75">
        <f>IFERROR(AVERAGE(L354:U354),"")</f>
        <v/>
      </c>
      <c r="AG354" s="75">
        <f>IFERROR(AVERAGE(V354:AE354),"")</f>
        <v/>
      </c>
      <c r="AH354" s="75">
        <f>IFERROR(AVERAGE(B354:K354),"")</f>
        <v/>
      </c>
      <c r="AI354" s="45" t="n">
        <v>0.9768829345703131</v>
      </c>
      <c r="AJ354" s="47" t="n">
        <v>0</v>
      </c>
    </row>
    <row r="355" ht="15" customHeight="1" s="30">
      <c r="A355" s="73" t="inlineStr">
        <is>
          <t>8902.jpg</t>
        </is>
      </c>
      <c r="B355" s="45" t="n"/>
      <c r="C355" s="45" t="n"/>
      <c r="D355" s="45" t="n"/>
      <c r="E355" s="45" t="n"/>
      <c r="F355" s="45" t="n">
        <v>0.920964954031915</v>
      </c>
      <c r="G355" s="45" t="n">
        <v>0.962368747146677</v>
      </c>
      <c r="H355" s="45" t="n">
        <v>0</v>
      </c>
      <c r="I355" s="45" t="n"/>
      <c r="J355" s="45" t="n"/>
      <c r="K355" s="45" t="n">
        <v>0.973403386230419</v>
      </c>
      <c r="L355" s="45" t="n"/>
      <c r="M355" s="45" t="n"/>
      <c r="N355" s="45" t="n"/>
      <c r="O355" s="45" t="n"/>
      <c r="P355" s="45" t="n">
        <v>0.937498406222109</v>
      </c>
      <c r="Q355" s="45" t="n">
        <v>0.973479350837841</v>
      </c>
      <c r="R355" s="45" t="n"/>
      <c r="S355" s="45" t="n"/>
      <c r="T355" s="45" t="n"/>
      <c r="U355" s="45" t="n">
        <v>0.989772237595593</v>
      </c>
      <c r="V355" s="45" t="n"/>
      <c r="W355" s="45" t="n"/>
      <c r="X355" s="45" t="n"/>
      <c r="Y355" s="45" t="n"/>
      <c r="Z355" s="45" t="n">
        <v>0.981210633073556</v>
      </c>
      <c r="AA355" s="45" t="n">
        <v>0.988279418659166</v>
      </c>
      <c r="AB355" s="45" t="n">
        <v>0</v>
      </c>
      <c r="AC355" s="45" t="n"/>
      <c r="AD355" s="45" t="n"/>
      <c r="AE355" s="45" t="n">
        <v>0.98329396230697</v>
      </c>
      <c r="AF355" s="75">
        <f>IFERROR(AVERAGE(L355:U355),"")</f>
        <v/>
      </c>
      <c r="AG355" s="75">
        <f>IFERROR(AVERAGE(V355:AE355),"")</f>
        <v/>
      </c>
      <c r="AH355" s="75">
        <f>IFERROR(AVERAGE(B355:K355),"")</f>
        <v/>
      </c>
      <c r="AI355" s="45" t="n">
        <v>0.980068206787109</v>
      </c>
      <c r="AJ355" s="47" t="n">
        <v>0</v>
      </c>
    </row>
    <row r="356" ht="15" customHeight="1" s="30">
      <c r="A356" s="73" t="inlineStr">
        <is>
          <t>8912.jpg</t>
        </is>
      </c>
      <c r="B356" s="45" t="n"/>
      <c r="C356" s="45" t="n"/>
      <c r="D356" s="45" t="n"/>
      <c r="E356" s="45" t="n"/>
      <c r="F356" s="45" t="n">
        <v>0.893341970371205</v>
      </c>
      <c r="G356" s="45" t="n">
        <v>0.976074542959586</v>
      </c>
      <c r="H356" s="45" t="n">
        <v>0</v>
      </c>
      <c r="I356" s="45" t="n">
        <v>0.694078947368421</v>
      </c>
      <c r="J356" s="45" t="n"/>
      <c r="K356" s="45" t="n">
        <v>0.969997849693581</v>
      </c>
      <c r="L356" s="45" t="n"/>
      <c r="M356" s="45" t="n"/>
      <c r="N356" s="45" t="n"/>
      <c r="O356" s="45" t="n"/>
      <c r="P356" s="45" t="n">
        <v>0.966924765272528</v>
      </c>
      <c r="Q356" s="45" t="n">
        <v>0.984858974072668</v>
      </c>
      <c r="R356" s="45" t="n">
        <v>0</v>
      </c>
      <c r="S356" s="45" t="n">
        <v>0.698675496688742</v>
      </c>
      <c r="T356" s="45" t="n"/>
      <c r="U356" s="45" t="n">
        <v>0.982371227753067</v>
      </c>
      <c r="V356" s="45" t="n"/>
      <c r="W356" s="45" t="n"/>
      <c r="X356" s="45" t="n"/>
      <c r="Y356" s="45" t="n"/>
      <c r="Z356" s="45" t="n">
        <v>0.921501409023561</v>
      </c>
      <c r="AA356" s="45" t="n">
        <v>0.990944634190185</v>
      </c>
      <c r="AB356" s="45" t="n">
        <v>0</v>
      </c>
      <c r="AC356" s="45" t="n">
        <v>0.990610328638498</v>
      </c>
      <c r="AD356" s="45" t="n"/>
      <c r="AE356" s="45" t="n">
        <v>0.9871814511275731</v>
      </c>
      <c r="AF356" s="75">
        <f>IFERROR(AVERAGE(L356:U356),"")</f>
        <v/>
      </c>
      <c r="AG356" s="75">
        <f>IFERROR(AVERAGE(V356:AE356),"")</f>
        <v/>
      </c>
      <c r="AH356" s="75">
        <f>IFERROR(AVERAGE(B356:K356),"")</f>
        <v/>
      </c>
      <c r="AI356" s="45" t="n">
        <v>0.978355407714844</v>
      </c>
      <c r="AJ356" s="47" t="n">
        <v>0</v>
      </c>
    </row>
    <row r="357" ht="15" customHeight="1" s="30">
      <c r="A357" s="73" t="inlineStr">
        <is>
          <t>8919.jpg</t>
        </is>
      </c>
      <c r="B357" s="45" t="n"/>
      <c r="C357" s="45" t="n"/>
      <c r="D357" s="45" t="n"/>
      <c r="E357" s="45" t="n"/>
      <c r="F357" s="45" t="n">
        <v>0.892827367345292</v>
      </c>
      <c r="G357" s="45" t="n">
        <v>0.9683581527748371</v>
      </c>
      <c r="H357" s="45" t="n">
        <v>0.752641392169049</v>
      </c>
      <c r="I357" s="45" t="n"/>
      <c r="J357" s="45" t="n"/>
      <c r="K357" s="45" t="n">
        <v>0.970080268526909</v>
      </c>
      <c r="L357" s="45" t="n"/>
      <c r="M357" s="45" t="n"/>
      <c r="N357" s="45" t="n"/>
      <c r="O357" s="45" t="n"/>
      <c r="P357" s="45" t="n">
        <v>0.904700912930917</v>
      </c>
      <c r="Q357" s="45" t="n">
        <v>0.979487911669522</v>
      </c>
      <c r="R357" s="45" t="n">
        <v>0.909842223891811</v>
      </c>
      <c r="S357" s="45" t="n"/>
      <c r="T357" s="45" t="n"/>
      <c r="U357" s="45" t="n">
        <v>0.993547288762947</v>
      </c>
      <c r="V357" s="45" t="n"/>
      <c r="W357" s="45" t="n"/>
      <c r="X357" s="45" t="n"/>
      <c r="Y357" s="45" t="n"/>
      <c r="Z357" s="45" t="n">
        <v>0.985513269607552</v>
      </c>
      <c r="AA357" s="45" t="n">
        <v>0.988401969023892</v>
      </c>
      <c r="AB357" s="45" t="n">
        <v>0.8132975151108131</v>
      </c>
      <c r="AC357" s="45" t="n"/>
      <c r="AD357" s="45" t="n"/>
      <c r="AE357" s="45" t="n">
        <v>0.976230817379293</v>
      </c>
      <c r="AF357" s="75">
        <f>IFERROR(AVERAGE(L357:U357),"")</f>
        <v/>
      </c>
      <c r="AG357" s="75">
        <f>IFERROR(AVERAGE(V357:AE357),"")</f>
        <v/>
      </c>
      <c r="AH357" s="75">
        <f>IFERROR(AVERAGE(B357:K357),"")</f>
        <v/>
      </c>
      <c r="AI357" s="45" t="n">
        <v>0.978431701660156</v>
      </c>
      <c r="AJ357" s="47" t="n">
        <v>0</v>
      </c>
    </row>
    <row r="358" ht="15" customHeight="1" s="30">
      <c r="A358" s="73" t="inlineStr">
        <is>
          <t>8926.jpg</t>
        </is>
      </c>
      <c r="B358" s="45" t="n"/>
      <c r="C358" s="45" t="n"/>
      <c r="D358" s="45" t="n"/>
      <c r="E358" s="45" t="n"/>
      <c r="F358" s="45" t="n">
        <v>0.901288174844406</v>
      </c>
      <c r="G358" s="45" t="n">
        <v>0.977946418305163</v>
      </c>
      <c r="H358" s="45" t="n">
        <v>0.482990152193375</v>
      </c>
      <c r="I358" s="45" t="n"/>
      <c r="J358" s="45" t="n"/>
      <c r="K358" s="45" t="n">
        <v>0.970523574736932</v>
      </c>
      <c r="L358" s="45" t="n"/>
      <c r="M358" s="45" t="n"/>
      <c r="N358" s="45" t="n"/>
      <c r="O358" s="45" t="n"/>
      <c r="P358" s="45" t="n">
        <v>0.913371274348744</v>
      </c>
      <c r="Q358" s="45" t="n">
        <v>0.985584499860944</v>
      </c>
      <c r="R358" s="45" t="n">
        <v>0.859760956175299</v>
      </c>
      <c r="S358" s="45" t="n"/>
      <c r="T358" s="45" t="n"/>
      <c r="U358" s="45" t="n">
        <v>0.9903459241068761</v>
      </c>
      <c r="V358" s="45" t="n"/>
      <c r="W358" s="45" t="n"/>
      <c r="X358" s="45" t="n"/>
      <c r="Y358" s="45" t="n"/>
      <c r="Z358" s="45" t="n">
        <v>0.985534312484173</v>
      </c>
      <c r="AA358" s="45" t="n">
        <v>0.992137741175373</v>
      </c>
      <c r="AB358" s="45" t="n">
        <v>0.524295432458698</v>
      </c>
      <c r="AC358" s="45" t="n"/>
      <c r="AD358" s="45" t="n"/>
      <c r="AE358" s="45" t="n">
        <v>0.979793245740205</v>
      </c>
      <c r="AF358" s="75">
        <f>IFERROR(AVERAGE(L358:U358),"")</f>
        <v/>
      </c>
      <c r="AG358" s="75">
        <f>IFERROR(AVERAGE(V358:AE358),"")</f>
        <v/>
      </c>
      <c r="AH358" s="75">
        <f>IFERROR(AVERAGE(B358:K358),"")</f>
        <v/>
      </c>
      <c r="AI358" s="45" t="n">
        <v>0.9789276123046881</v>
      </c>
      <c r="AJ358" s="47" t="n">
        <v>0</v>
      </c>
    </row>
    <row r="359" ht="15" customHeight="1" s="30">
      <c r="A359" s="73" t="inlineStr">
        <is>
          <t>8930.jpg</t>
        </is>
      </c>
      <c r="B359" s="45" t="n"/>
      <c r="C359" s="45" t="n"/>
      <c r="D359" s="45" t="n"/>
      <c r="E359" s="45" t="n"/>
      <c r="F359" s="45" t="n">
        <v>0.872348136377575</v>
      </c>
      <c r="G359" s="45" t="n">
        <v>0.982347810118446</v>
      </c>
      <c r="H359" s="45" t="n">
        <v>0.32107682206172</v>
      </c>
      <c r="I359" s="45" t="n">
        <v>0.688976377952756</v>
      </c>
      <c r="J359" s="45" t="n"/>
      <c r="K359" s="45" t="n">
        <v>0.958934051144011</v>
      </c>
      <c r="L359" s="45" t="n"/>
      <c r="M359" s="45" t="n"/>
      <c r="N359" s="45" t="n"/>
      <c r="O359" s="45" t="n"/>
      <c r="P359" s="45" t="n">
        <v>0.9231495412573379</v>
      </c>
      <c r="Q359" s="45" t="n">
        <v>0.988542653207364</v>
      </c>
      <c r="R359" s="45" t="n">
        <v>0.399945474372955</v>
      </c>
      <c r="S359" s="45" t="n">
        <v>0.829383886255924</v>
      </c>
      <c r="T359" s="45" t="n"/>
      <c r="U359" s="45" t="n">
        <v>0.984828547101169</v>
      </c>
      <c r="V359" s="45" t="n"/>
      <c r="W359" s="45" t="n"/>
      <c r="X359" s="45" t="n"/>
      <c r="Y359" s="45" t="n"/>
      <c r="Z359" s="45" t="n">
        <v>0.940660133469609</v>
      </c>
      <c r="AA359" s="45" t="n">
        <v>0.993661186960156</v>
      </c>
      <c r="AB359" s="45" t="n">
        <v>0.619510135135135</v>
      </c>
      <c r="AC359" s="45" t="n">
        <v>0.8027522935779819</v>
      </c>
      <c r="AD359" s="45" t="n"/>
      <c r="AE359" s="45" t="n">
        <v>0.973312350414741</v>
      </c>
      <c r="AF359" s="75">
        <f>IFERROR(AVERAGE(L359:U359),"")</f>
        <v/>
      </c>
      <c r="AG359" s="75">
        <f>IFERROR(AVERAGE(V359:AE359),"")</f>
        <v/>
      </c>
      <c r="AH359" s="75">
        <f>IFERROR(AVERAGE(B359:K359),"")</f>
        <v/>
      </c>
      <c r="AI359" s="45" t="n">
        <v>0.969032287597656</v>
      </c>
      <c r="AJ359" s="47" t="n">
        <v>0</v>
      </c>
    </row>
    <row r="360" ht="15" customHeight="1" s="30">
      <c r="A360" s="73" t="inlineStr">
        <is>
          <t>8934.jpg</t>
        </is>
      </c>
      <c r="B360" s="45" t="n"/>
      <c r="C360" s="45" t="n"/>
      <c r="D360" s="45" t="n"/>
      <c r="E360" s="45" t="n"/>
      <c r="F360" s="45" t="n">
        <v>0.874836216660375</v>
      </c>
      <c r="G360" s="45" t="n">
        <v>0.971954486137503</v>
      </c>
      <c r="H360" s="45" t="n">
        <v>0</v>
      </c>
      <c r="I360" s="45" t="n">
        <v>0.706989247311828</v>
      </c>
      <c r="J360" s="45" t="n"/>
      <c r="K360" s="45" t="n">
        <v>0.953860314626799</v>
      </c>
      <c r="L360" s="45" t="n"/>
      <c r="M360" s="45" t="n"/>
      <c r="N360" s="45" t="n"/>
      <c r="O360" s="45" t="n"/>
      <c r="P360" s="45" t="n">
        <v>0.9492060432278741</v>
      </c>
      <c r="Q360" s="45" t="n">
        <v>0.977054613242503</v>
      </c>
      <c r="R360" s="45" t="n">
        <v>0</v>
      </c>
      <c r="S360" s="45" t="n">
        <v>0.796969696969697</v>
      </c>
      <c r="T360" s="45" t="n"/>
      <c r="U360" s="45" t="n">
        <v>0.98262198801239</v>
      </c>
      <c r="V360" s="45" t="n"/>
      <c r="W360" s="45" t="n"/>
      <c r="X360" s="45" t="n"/>
      <c r="Y360" s="45" t="n"/>
      <c r="Z360" s="45" t="n">
        <v>0.917802474313273</v>
      </c>
      <c r="AA360" s="45" t="n">
        <v>0.994658169720257</v>
      </c>
      <c r="AB360" s="45" t="n"/>
      <c r="AC360" s="45" t="n">
        <v>0.8622950819672131</v>
      </c>
      <c r="AD360" s="45" t="n"/>
      <c r="AE360" s="45" t="n">
        <v>0.970227422320071</v>
      </c>
      <c r="AF360" s="75">
        <f>IFERROR(AVERAGE(L360:U360),"")</f>
        <v/>
      </c>
      <c r="AG360" s="75">
        <f>IFERROR(AVERAGE(V360:AE360),"")</f>
        <v/>
      </c>
      <c r="AH360" s="75">
        <f>IFERROR(AVERAGE(B360:K360),"")</f>
        <v/>
      </c>
      <c r="AI360" s="45" t="n">
        <v>0.965496063232422</v>
      </c>
      <c r="AJ360" s="47" t="n">
        <v>0</v>
      </c>
    </row>
    <row r="361" ht="15" customHeight="1" s="30">
      <c r="A361" s="73" t="inlineStr">
        <is>
          <t>8937.jpg</t>
        </is>
      </c>
      <c r="B361" s="45" t="n"/>
      <c r="C361" s="45" t="n"/>
      <c r="D361" s="45" t="n"/>
      <c r="E361" s="45" t="n"/>
      <c r="F361" s="45" t="n">
        <v>0.902141140485034</v>
      </c>
      <c r="G361" s="45" t="n">
        <v>0.868697216233279</v>
      </c>
      <c r="H361" s="45" t="n">
        <v>0.447653429602888</v>
      </c>
      <c r="I361" s="45" t="n">
        <v>0.7913385826771649</v>
      </c>
      <c r="J361" s="45" t="n"/>
      <c r="K361" s="45" t="n">
        <v>0.888772984802929</v>
      </c>
      <c r="L361" s="45" t="n"/>
      <c r="M361" s="45" t="n"/>
      <c r="N361" s="45" t="n"/>
      <c r="O361" s="45" t="n"/>
      <c r="P361" s="45" t="n">
        <v>0.9132752366628329</v>
      </c>
      <c r="Q361" s="45" t="n">
        <v>0.955067510051206</v>
      </c>
      <c r="R361" s="45" t="n">
        <v>0.897466827503016</v>
      </c>
      <c r="S361" s="45" t="n">
        <v>0.954869358669834</v>
      </c>
      <c r="T361" s="45" t="n"/>
      <c r="U361" s="45" t="n">
        <v>0.935660300165802</v>
      </c>
      <c r="V361" s="45" t="n"/>
      <c r="W361" s="45" t="n"/>
      <c r="X361" s="45" t="n"/>
      <c r="Y361" s="45" t="n"/>
      <c r="Z361" s="45" t="n">
        <v>0.986666348060886</v>
      </c>
      <c r="AA361" s="45" t="n">
        <v>0.905712866368604</v>
      </c>
      <c r="AB361" s="45" t="n">
        <v>0.471781864299303</v>
      </c>
      <c r="AC361" s="45" t="n">
        <v>0.822085889570552</v>
      </c>
      <c r="AD361" s="45" t="n"/>
      <c r="AE361" s="45" t="n">
        <v>0.946626582140601</v>
      </c>
      <c r="AF361" s="75">
        <f>IFERROR(AVERAGE(L361:U361),"")</f>
        <v/>
      </c>
      <c r="AG361" s="75">
        <f>IFERROR(AVERAGE(V361:AE361),"")</f>
        <v/>
      </c>
      <c r="AH361" s="75">
        <f>IFERROR(AVERAGE(B361:K361),"")</f>
        <v/>
      </c>
      <c r="AI361" s="45" t="n">
        <v>0.9373626708984381</v>
      </c>
      <c r="AJ361" s="47" t="n">
        <v>0</v>
      </c>
    </row>
    <row r="362" ht="15" customHeight="1" s="30">
      <c r="A362" s="73" t="inlineStr">
        <is>
          <t>8942.jpg</t>
        </is>
      </c>
      <c r="B362" s="45" t="n"/>
      <c r="C362" s="45" t="n"/>
      <c r="D362" s="45" t="n"/>
      <c r="E362" s="45" t="n"/>
      <c r="F362" s="45" t="n">
        <v>0.92635833840237</v>
      </c>
      <c r="G362" s="45" t="n">
        <v>0.945220375845312</v>
      </c>
      <c r="H362" s="45" t="n"/>
      <c r="I362" s="45" t="n">
        <v>0.806552262090484</v>
      </c>
      <c r="J362" s="45" t="n"/>
      <c r="K362" s="45" t="n">
        <v>0.902196383682898</v>
      </c>
      <c r="L362" s="45" t="n"/>
      <c r="M362" s="45" t="n"/>
      <c r="N362" s="45" t="n"/>
      <c r="O362" s="45" t="n"/>
      <c r="P362" s="45" t="n">
        <v>0.942127319896228</v>
      </c>
      <c r="Q362" s="45" t="n">
        <v>0.946233266996649</v>
      </c>
      <c r="R362" s="45" t="n"/>
      <c r="S362" s="45" t="n">
        <v>0.882252559726963</v>
      </c>
      <c r="T362" s="45" t="n"/>
      <c r="U362" s="45" t="n">
        <v>0.990305328873074</v>
      </c>
      <c r="V362" s="45" t="n"/>
      <c r="W362" s="45" t="n"/>
      <c r="X362" s="45" t="n"/>
      <c r="Y362" s="45" t="n"/>
      <c r="Z362" s="45" t="n">
        <v>0.982252460312507</v>
      </c>
      <c r="AA362" s="45" t="n">
        <v>0.9988687985922829</v>
      </c>
      <c r="AB362" s="45" t="n"/>
      <c r="AC362" s="45" t="n">
        <v>0.903846153846154</v>
      </c>
      <c r="AD362" s="45" t="n"/>
      <c r="AE362" s="45" t="n">
        <v>0.910235696170304</v>
      </c>
      <c r="AF362" s="75">
        <f>IFERROR(AVERAGE(L362:U362),"")</f>
        <v/>
      </c>
      <c r="AG362" s="75">
        <f>IFERROR(AVERAGE(V362:AE362),"")</f>
        <v/>
      </c>
      <c r="AH362" s="75">
        <f>IFERROR(AVERAGE(B362:K362),"")</f>
        <v/>
      </c>
      <c r="AI362" s="45" t="n">
        <v>0.961086273193359</v>
      </c>
      <c r="AJ362" s="47" t="n">
        <v>0</v>
      </c>
    </row>
    <row r="363" ht="15" customHeight="1" s="30">
      <c r="A363" s="73" t="inlineStr">
        <is>
          <t>8945.jpg</t>
        </is>
      </c>
      <c r="B363" s="45" t="n">
        <v>0</v>
      </c>
      <c r="C363" s="45" t="n"/>
      <c r="D363" s="45" t="n">
        <v>0.853940978707508</v>
      </c>
      <c r="E363" s="45" t="n"/>
      <c r="F363" s="45" t="n">
        <v>0.913370277078086</v>
      </c>
      <c r="G363" s="45" t="n">
        <v>0.930381199569186</v>
      </c>
      <c r="H363" s="45" t="n">
        <v>0.767747344885411</v>
      </c>
      <c r="I363" s="45" t="n">
        <v>0.681494661921708</v>
      </c>
      <c r="J363" s="45" t="n"/>
      <c r="K363" s="45" t="n">
        <v>0.907262463829989</v>
      </c>
      <c r="L363" s="45" t="n">
        <v>0</v>
      </c>
      <c r="M363" s="45" t="n"/>
      <c r="N363" s="45" t="n">
        <v>0.960201617137457</v>
      </c>
      <c r="O363" s="45" t="n"/>
      <c r="P363" s="45" t="n">
        <v>0.948044342187827</v>
      </c>
      <c r="Q363" s="45" t="n">
        <v>0.93318221261976</v>
      </c>
      <c r="R363" s="45" t="n">
        <v>0.913383208645054</v>
      </c>
      <c r="S363" s="45" t="n">
        <v>0.772177419354839</v>
      </c>
      <c r="T363" s="45" t="n"/>
      <c r="U363" s="45" t="n">
        <v>0.97283118128774</v>
      </c>
      <c r="V363" s="45" t="n"/>
      <c r="W363" s="45" t="n"/>
      <c r="X363" s="45" t="n">
        <v>0.885274469939007</v>
      </c>
      <c r="Y363" s="45" t="n"/>
      <c r="Z363" s="45" t="n">
        <v>0.961498483273584</v>
      </c>
      <c r="AA363" s="45" t="n">
        <v>0.996784200968523</v>
      </c>
      <c r="AB363" s="45" t="n">
        <v>0.828033157498116</v>
      </c>
      <c r="AC363" s="45" t="n">
        <v>0.853006681514477</v>
      </c>
      <c r="AD363" s="45" t="n"/>
      <c r="AE363" s="45" t="n">
        <v>0.930847957282309</v>
      </c>
      <c r="AF363" s="75">
        <f>IFERROR(AVERAGE(L363:U363),"")</f>
        <v/>
      </c>
      <c r="AG363" s="75">
        <f>IFERROR(AVERAGE(V363:AE363),"")</f>
        <v/>
      </c>
      <c r="AH363" s="75">
        <f>IFERROR(AVERAGE(B363:K363),"")</f>
        <v/>
      </c>
      <c r="AI363" s="45" t="n">
        <v>0.944858551025391</v>
      </c>
      <c r="AJ363" s="47" t="n">
        <v>0</v>
      </c>
    </row>
    <row r="364" ht="15" customHeight="1" s="30">
      <c r="A364" s="73" t="inlineStr">
        <is>
          <t>8948.jpg</t>
        </is>
      </c>
      <c r="B364" s="45" t="n"/>
      <c r="C364" s="45" t="n"/>
      <c r="D364" s="45" t="n">
        <v>0.827291600127755</v>
      </c>
      <c r="E364" s="45" t="n"/>
      <c r="F364" s="45" t="n">
        <v>0.867325140114102</v>
      </c>
      <c r="G364" s="45" t="n">
        <v>0.893593136075696</v>
      </c>
      <c r="H364" s="45" t="n">
        <v>0.802786087422423</v>
      </c>
      <c r="I364" s="45" t="n">
        <v>0.513196480938416</v>
      </c>
      <c r="J364" s="45" t="n"/>
      <c r="K364" s="45" t="n">
        <v>0.928026141260724</v>
      </c>
      <c r="L364" s="45" t="n"/>
      <c r="M364" s="45" t="n"/>
      <c r="N364" s="45" t="n">
        <v>0.883328360117652</v>
      </c>
      <c r="O364" s="45" t="n"/>
      <c r="P364" s="45" t="n">
        <v>0.942046788414817</v>
      </c>
      <c r="Q364" s="45" t="n">
        <v>0.964264082374319</v>
      </c>
      <c r="R364" s="45" t="n">
        <v>0.927043052333076</v>
      </c>
      <c r="S364" s="45" t="n">
        <v>0.727146814404432</v>
      </c>
      <c r="T364" s="45" t="n"/>
      <c r="U364" s="45" t="n">
        <v>0.956801934522063</v>
      </c>
      <c r="V364" s="45" t="n"/>
      <c r="W364" s="45" t="n"/>
      <c r="X364" s="45" t="n">
        <v>0.928779525794451</v>
      </c>
      <c r="Y364" s="45" t="n"/>
      <c r="Z364" s="45" t="n">
        <v>0.916210906387724</v>
      </c>
      <c r="AA364" s="45" t="n">
        <v>0.924199701443025</v>
      </c>
      <c r="AB364" s="45" t="n">
        <v>0.856924983319035</v>
      </c>
      <c r="AC364" s="45" t="n">
        <v>0.635593220338983</v>
      </c>
      <c r="AD364" s="45" t="n"/>
      <c r="AE364" s="45" t="n">
        <v>0.968609812181746</v>
      </c>
      <c r="AF364" s="75">
        <f>IFERROR(AVERAGE(L364:U364),"")</f>
        <v/>
      </c>
      <c r="AG364" s="75">
        <f>IFERROR(AVERAGE(V364:AE364),"")</f>
        <v/>
      </c>
      <c r="AH364" s="75">
        <f>IFERROR(AVERAGE(B364:K364),"")</f>
        <v/>
      </c>
      <c r="AI364" s="45" t="n">
        <v>0.945659637451172</v>
      </c>
      <c r="AJ364" s="47" t="n">
        <v>0</v>
      </c>
    </row>
    <row r="365" ht="15" customHeight="1" s="30">
      <c r="A365" s="73" t="inlineStr">
        <is>
          <t>8949.jpg</t>
        </is>
      </c>
      <c r="B365" s="45" t="n"/>
      <c r="C365" s="45" t="n"/>
      <c r="D365" s="45" t="n">
        <v>0.834978671541743</v>
      </c>
      <c r="E365" s="45" t="n"/>
      <c r="F365" s="45" t="n">
        <v>0.756238911886458</v>
      </c>
      <c r="G365" s="45" t="n">
        <v>0.920863882690469</v>
      </c>
      <c r="H365" s="45" t="n">
        <v>0.828997433855411</v>
      </c>
      <c r="I365" s="45" t="n">
        <v>0.522950819672131</v>
      </c>
      <c r="J365" s="45" t="n"/>
      <c r="K365" s="45" t="n">
        <v>0.926727736224333</v>
      </c>
      <c r="L365" s="45" t="n"/>
      <c r="M365" s="45" t="n"/>
      <c r="N365" s="45" t="n">
        <v>0.877658211632078</v>
      </c>
      <c r="O365" s="45" t="n"/>
      <c r="P365" s="45" t="n">
        <v>0.947891186717071</v>
      </c>
      <c r="Q365" s="45" t="n">
        <v>0.9288585209003219</v>
      </c>
      <c r="R365" s="45" t="n">
        <v>0.962105263157895</v>
      </c>
      <c r="S365" s="45" t="n">
        <v>0.712053571428571</v>
      </c>
      <c r="T365" s="45" t="n"/>
      <c r="U365" s="45" t="n">
        <v>0.958181270492278</v>
      </c>
      <c r="V365" s="45" t="n"/>
      <c r="W365" s="45" t="n"/>
      <c r="X365" s="45" t="n">
        <v>0.944965517241379</v>
      </c>
      <c r="Y365" s="45" t="n"/>
      <c r="Z365" s="45" t="n">
        <v>0.789041772073795</v>
      </c>
      <c r="AA365" s="45" t="n">
        <v>0.990739946840436</v>
      </c>
      <c r="AB365" s="45" t="n">
        <v>0.856979509696304</v>
      </c>
      <c r="AC365" s="45" t="n">
        <v>0.663201663201663</v>
      </c>
      <c r="AD365" s="45" t="n"/>
      <c r="AE365" s="45" t="n">
        <v>0.965790057571264</v>
      </c>
      <c r="AF365" s="75">
        <f>IFERROR(AVERAGE(L365:U365),"")</f>
        <v/>
      </c>
      <c r="AG365" s="75">
        <f>IFERROR(AVERAGE(V365:AE365),"")</f>
        <v/>
      </c>
      <c r="AH365" s="75">
        <f>IFERROR(AVERAGE(B365:K365),"")</f>
        <v/>
      </c>
      <c r="AI365" s="45" t="n">
        <v>0.945148468017578</v>
      </c>
      <c r="AJ365" s="47" t="n">
        <v>0</v>
      </c>
    </row>
    <row r="366" ht="15" customHeight="1" s="30">
      <c r="A366" s="73" t="inlineStr">
        <is>
          <t>8959.jpg</t>
        </is>
      </c>
      <c r="B366" s="45" t="n"/>
      <c r="C366" s="45" t="n"/>
      <c r="D366" s="45" t="n"/>
      <c r="E366" s="45" t="n"/>
      <c r="F366" s="45" t="n">
        <v>0.920188492063492</v>
      </c>
      <c r="G366" s="45" t="n">
        <v>0.91849001684626</v>
      </c>
      <c r="H366" s="45" t="n"/>
      <c r="I366" s="45" t="n"/>
      <c r="J366" s="45" t="n"/>
      <c r="K366" s="45" t="n">
        <v>0.886277973572134</v>
      </c>
      <c r="L366" s="45" t="n"/>
      <c r="M366" s="45" t="n"/>
      <c r="N366" s="45" t="n"/>
      <c r="O366" s="45" t="n"/>
      <c r="P366" s="45" t="n">
        <v>0.941866368805849</v>
      </c>
      <c r="Q366" s="45" t="n">
        <v>0.940685233583796</v>
      </c>
      <c r="R366" s="45" t="n"/>
      <c r="S366" s="45" t="n"/>
      <c r="T366" s="45" t="n"/>
      <c r="U366" s="45" t="n">
        <v>0.964235423961029</v>
      </c>
      <c r="V366" s="45" t="n"/>
      <c r="W366" s="45" t="n"/>
      <c r="X366" s="45" t="n"/>
      <c r="Y366" s="45" t="n"/>
      <c r="Z366" s="45" t="n">
        <v>0.975598211937944</v>
      </c>
      <c r="AA366" s="45" t="n">
        <v>0.974954766212742</v>
      </c>
      <c r="AB366" s="45" t="n"/>
      <c r="AC366" s="45" t="n"/>
      <c r="AD366" s="45" t="n"/>
      <c r="AE366" s="45" t="n">
        <v>0.916402929740483</v>
      </c>
      <c r="AF366" s="75">
        <f>IFERROR(AVERAGE(L366:U366),"")</f>
        <v/>
      </c>
      <c r="AG366" s="75">
        <f>IFERROR(AVERAGE(V366:AE366),"")</f>
        <v/>
      </c>
      <c r="AH366" s="75">
        <f>IFERROR(AVERAGE(B366:K366),"")</f>
        <v/>
      </c>
      <c r="AI366" s="45" t="n">
        <v>0.9503936767578131</v>
      </c>
      <c r="AJ366" s="47" t="n">
        <v>0</v>
      </c>
    </row>
    <row r="367" ht="15" customHeight="1" s="30">
      <c r="A367" s="73" t="inlineStr">
        <is>
          <t>8961.jpg</t>
        </is>
      </c>
      <c r="B367" s="45" t="n"/>
      <c r="C367" s="45" t="n"/>
      <c r="D367" s="45" t="n"/>
      <c r="E367" s="45" t="n"/>
      <c r="F367" s="45" t="n">
        <v>0.906737201968701</v>
      </c>
      <c r="G367" s="45" t="n">
        <v>0.988761873766857</v>
      </c>
      <c r="H367" s="45" t="n">
        <v>0.6642186862505099</v>
      </c>
      <c r="I367" s="45" t="n"/>
      <c r="J367" s="45" t="n"/>
      <c r="K367" s="45" t="n">
        <v>0.920180545175628</v>
      </c>
      <c r="L367" s="45" t="n"/>
      <c r="M367" s="45" t="n"/>
      <c r="N367" s="45" t="n"/>
      <c r="O367" s="45" t="n"/>
      <c r="P367" s="45" t="n">
        <v>0.935350986532089</v>
      </c>
      <c r="Q367" s="45" t="n">
        <v>0.998326213751746</v>
      </c>
      <c r="R367" s="45" t="n">
        <v>0.93348623853211</v>
      </c>
      <c r="S367" s="45" t="n"/>
      <c r="T367" s="45" t="n"/>
      <c r="U367" s="45" t="n">
        <v>0.962408721587987</v>
      </c>
      <c r="V367" s="45" t="n"/>
      <c r="W367" s="45" t="n"/>
      <c r="X367" s="45" t="n"/>
      <c r="Y367" s="45" t="n"/>
      <c r="Z367" s="45" t="n">
        <v>0.96736310899401</v>
      </c>
      <c r="AA367" s="45" t="n">
        <v>0.99040371626784</v>
      </c>
      <c r="AB367" s="45" t="n">
        <v>0.697216274089936</v>
      </c>
      <c r="AC367" s="45" t="n"/>
      <c r="AD367" s="45" t="n"/>
      <c r="AE367" s="45" t="n">
        <v>0.954486571396514</v>
      </c>
      <c r="AF367" s="75">
        <f>IFERROR(AVERAGE(L367:U367),"")</f>
        <v/>
      </c>
      <c r="AG367" s="75">
        <f>IFERROR(AVERAGE(V367:AE367),"")</f>
        <v/>
      </c>
      <c r="AH367" s="75">
        <f>IFERROR(AVERAGE(B367:K367),"")</f>
        <v/>
      </c>
      <c r="AI367" s="45" t="n">
        <v>0.968769073486328</v>
      </c>
      <c r="AJ367" s="47" t="n">
        <v>0</v>
      </c>
    </row>
    <row r="368" ht="15" customHeight="1" s="30">
      <c r="A368" s="73" t="inlineStr">
        <is>
          <t>8972.jpg</t>
        </is>
      </c>
      <c r="B368" s="45" t="n"/>
      <c r="C368" s="45" t="n"/>
      <c r="D368" s="45" t="n">
        <v>0</v>
      </c>
      <c r="E368" s="45" t="n"/>
      <c r="F368" s="45" t="n">
        <v>0.851025316128365</v>
      </c>
      <c r="G368" s="45" t="n">
        <v>0.975715217057831</v>
      </c>
      <c r="H368" s="45" t="n">
        <v>0.36612702366127</v>
      </c>
      <c r="I368" s="45" t="n">
        <v>0.675414364640884</v>
      </c>
      <c r="J368" s="45" t="n"/>
      <c r="K368" s="45" t="n">
        <v>0.916858599817361</v>
      </c>
      <c r="L368" s="45" t="n"/>
      <c r="M368" s="45" t="n"/>
      <c r="N368" s="45" t="n">
        <v>0</v>
      </c>
      <c r="O368" s="45" t="n"/>
      <c r="P368" s="45" t="n">
        <v>0.8828026502856841</v>
      </c>
      <c r="Q368" s="45" t="n">
        <v>0.976876559800346</v>
      </c>
      <c r="R368" s="45" t="n">
        <v>0.84</v>
      </c>
      <c r="S368" s="45" t="n">
        <v>0.774960380348653</v>
      </c>
      <c r="T368" s="45" t="n"/>
      <c r="U368" s="45" t="n">
        <v>0.969203300927745</v>
      </c>
      <c r="V368" s="45" t="n"/>
      <c r="W368" s="45" t="n"/>
      <c r="X368" s="45" t="n"/>
      <c r="Y368" s="45" t="n"/>
      <c r="Z368" s="45" t="n">
        <v>0.959419275843974</v>
      </c>
      <c r="AA368" s="45" t="n">
        <v>0.998783060994161</v>
      </c>
      <c r="AB368" s="45" t="n">
        <v>0.393574297188755</v>
      </c>
      <c r="AC368" s="45" t="n">
        <v>0.84020618556701</v>
      </c>
      <c r="AD368" s="45" t="n"/>
      <c r="AE368" s="45" t="n">
        <v>0.944371379103683</v>
      </c>
      <c r="AF368" s="75">
        <f>IFERROR(AVERAGE(L368:U368),"")</f>
        <v/>
      </c>
      <c r="AG368" s="75">
        <f>IFERROR(AVERAGE(V368:AE368),"")</f>
        <v/>
      </c>
      <c r="AH368" s="75">
        <f>IFERROR(AVERAGE(B368:K368),"")</f>
        <v/>
      </c>
      <c r="AI368" s="45" t="n">
        <v>0.956272125244141</v>
      </c>
      <c r="AJ368" s="47" t="n">
        <v>0</v>
      </c>
    </row>
    <row r="369" ht="15" customHeight="1" s="30">
      <c r="A369" s="73" t="inlineStr">
        <is>
          <t>8981.jpg</t>
        </is>
      </c>
      <c r="B369" s="45" t="n"/>
      <c r="C369" s="45" t="n"/>
      <c r="D369" s="45" t="n"/>
      <c r="E369" s="45" t="n"/>
      <c r="F369" s="45" t="n">
        <v>0.908132571680879</v>
      </c>
      <c r="G369" s="45" t="n">
        <v>0.91287222567254</v>
      </c>
      <c r="H369" s="45" t="n">
        <v>0.609350649350649</v>
      </c>
      <c r="I369" s="45" t="n"/>
      <c r="J369" s="45" t="n"/>
      <c r="K369" s="45" t="n">
        <v>0.931690132491964</v>
      </c>
      <c r="L369" s="45" t="n"/>
      <c r="M369" s="45" t="n"/>
      <c r="N369" s="45" t="n"/>
      <c r="O369" s="45" t="n"/>
      <c r="P369" s="45" t="n">
        <v>0.961631746588352</v>
      </c>
      <c r="Q369" s="45" t="n">
        <v>0.9215780095036959</v>
      </c>
      <c r="R369" s="45" t="n">
        <v>0.895248998282771</v>
      </c>
      <c r="S369" s="45" t="n"/>
      <c r="T369" s="45" t="n"/>
      <c r="U369" s="45" t="n">
        <v>0.969285634956872</v>
      </c>
      <c r="V369" s="45" t="n"/>
      <c r="W369" s="45" t="n"/>
      <c r="X369" s="45" t="n"/>
      <c r="Y369" s="45" t="n"/>
      <c r="Z369" s="45" t="n">
        <v>0.942274653533387</v>
      </c>
      <c r="AA369" s="45" t="n">
        <v>0.989757765846225</v>
      </c>
      <c r="AB369" s="45" t="n">
        <v>0.65613200950916</v>
      </c>
      <c r="AC369" s="45" t="n"/>
      <c r="AD369" s="45" t="n"/>
      <c r="AE369" s="45" t="n">
        <v>0.9600332445183209</v>
      </c>
      <c r="AF369" s="75">
        <f>IFERROR(AVERAGE(L369:U369),"")</f>
        <v/>
      </c>
      <c r="AG369" s="75">
        <f>IFERROR(AVERAGE(V369:AE369),"")</f>
        <v/>
      </c>
      <c r="AH369" s="75">
        <f>IFERROR(AVERAGE(B369:K369),"")</f>
        <v/>
      </c>
      <c r="AI369" s="45" t="n">
        <v>0.955776214599609</v>
      </c>
      <c r="AJ369" s="47" t="n">
        <v>0</v>
      </c>
    </row>
    <row r="370" ht="15" customHeight="1" s="30">
      <c r="A370" s="73" t="inlineStr">
        <is>
          <t>8983.jpg</t>
        </is>
      </c>
      <c r="B370" s="45" t="n"/>
      <c r="C370" s="45" t="n"/>
      <c r="D370" s="45" t="n">
        <v>0.179514824797844</v>
      </c>
      <c r="E370" s="45" t="n"/>
      <c r="F370" s="45" t="n">
        <v>0.893895933302952</v>
      </c>
      <c r="G370" s="45" t="n">
        <v>0.857613777792728</v>
      </c>
      <c r="H370" s="45" t="n">
        <v>0.503229594832648</v>
      </c>
      <c r="I370" s="45" t="n">
        <v>0.763803680981595</v>
      </c>
      <c r="J370" s="45" t="n"/>
      <c r="K370" s="45" t="n">
        <v>0.918532483092665</v>
      </c>
      <c r="L370" s="45" t="n"/>
      <c r="M370" s="45" t="n"/>
      <c r="N370" s="45" t="n">
        <v>0.489705882352941</v>
      </c>
      <c r="O370" s="45" t="n"/>
      <c r="P370" s="45" t="n">
        <v>0.906015650472775</v>
      </c>
      <c r="Q370" s="45" t="n">
        <v>0.947331264978542</v>
      </c>
      <c r="R370" s="45" t="n">
        <v>0.995354239256678</v>
      </c>
      <c r="S370" s="45" t="n">
        <v>0.835570469798658</v>
      </c>
      <c r="T370" s="45" t="n"/>
      <c r="U370" s="45" t="n">
        <v>0.953357615191485</v>
      </c>
      <c r="V370" s="45" t="n"/>
      <c r="W370" s="45" t="n"/>
      <c r="X370" s="45" t="n">
        <v>0.220822281167109</v>
      </c>
      <c r="Y370" s="45" t="n"/>
      <c r="Z370" s="45" t="n">
        <v>0.985255879919631</v>
      </c>
      <c r="AA370" s="45" t="n">
        <v>0.900552778906098</v>
      </c>
      <c r="AB370" s="45" t="n">
        <v>0.504414361389052</v>
      </c>
      <c r="AC370" s="45" t="n">
        <v>0.8989169675090249</v>
      </c>
      <c r="AD370" s="45" t="n"/>
      <c r="AE370" s="45" t="n">
        <v>0.961752272686735</v>
      </c>
      <c r="AF370" s="75">
        <f>IFERROR(AVERAGE(L370:U370),"")</f>
        <v/>
      </c>
      <c r="AG370" s="75">
        <f>IFERROR(AVERAGE(V370:AE370),"")</f>
        <v/>
      </c>
      <c r="AH370" s="75">
        <f>IFERROR(AVERAGE(B370:K370),"")</f>
        <v/>
      </c>
      <c r="AI370" s="45" t="n">
        <v>0.94427490234375</v>
      </c>
      <c r="AJ370" s="47" t="n">
        <v>0</v>
      </c>
    </row>
    <row r="371" ht="15" customHeight="1" s="30">
      <c r="A371" s="73" t="inlineStr">
        <is>
          <t>8989.jpg</t>
        </is>
      </c>
      <c r="B371" s="45" t="n">
        <v>0</v>
      </c>
      <c r="C371" s="45" t="n"/>
      <c r="D371" s="45" t="n"/>
      <c r="E371" s="45" t="n"/>
      <c r="F371" s="45" t="n">
        <v>0.841299316432531</v>
      </c>
      <c r="G371" s="45" t="n">
        <v>0.0004516819208368</v>
      </c>
      <c r="H371" s="45" t="n">
        <v>0.549461710339224</v>
      </c>
      <c r="I371" s="45" t="n"/>
      <c r="J371" s="45" t="n"/>
      <c r="K371" s="45" t="n">
        <v>0.948120647660332</v>
      </c>
      <c r="L371" s="45" t="n">
        <v>0</v>
      </c>
      <c r="M371" s="45" t="n"/>
      <c r="N371" s="45" t="n"/>
      <c r="O371" s="45" t="n"/>
      <c r="P371" s="45" t="n">
        <v>0.902688342814242</v>
      </c>
      <c r="Q371" s="45" t="n">
        <v>1</v>
      </c>
      <c r="R371" s="45" t="n">
        <v>0.752643294379521</v>
      </c>
      <c r="S371" s="45" t="n"/>
      <c r="T371" s="45" t="n"/>
      <c r="U371" s="45" t="n">
        <v>0.977126080249473</v>
      </c>
      <c r="V371" s="45" t="n"/>
      <c r="W371" s="45" t="n"/>
      <c r="X371" s="45" t="n"/>
      <c r="Y371" s="45" t="n"/>
      <c r="Z371" s="45" t="n">
        <v>0.925210133775305</v>
      </c>
      <c r="AA371" s="45" t="n">
        <v>0.0004516819208368</v>
      </c>
      <c r="AB371" s="45" t="n">
        <v>0.670550322260783</v>
      </c>
      <c r="AC371" s="45" t="n"/>
      <c r="AD371" s="45" t="n"/>
      <c r="AE371" s="45" t="n">
        <v>0.969641769589097</v>
      </c>
      <c r="AF371" s="75">
        <f>IFERROR(AVERAGE(L371:U371),"")</f>
        <v/>
      </c>
      <c r="AG371" s="75">
        <f>IFERROR(AVERAGE(V371:AE371),"")</f>
        <v/>
      </c>
      <c r="AH371" s="75">
        <f>IFERROR(AVERAGE(B371:K371),"")</f>
        <v/>
      </c>
      <c r="AI371" s="45" t="n">
        <v>0.803791046142578</v>
      </c>
      <c r="AJ371" s="47" t="n">
        <v>0</v>
      </c>
    </row>
    <row r="372" ht="15" customHeight="1" s="30">
      <c r="A372" s="73" t="inlineStr">
        <is>
          <t>8991.jpg</t>
        </is>
      </c>
      <c r="B372" s="45" t="n">
        <v>0.956243545417808</v>
      </c>
      <c r="C372" s="45" t="n"/>
      <c r="D372" s="45" t="n"/>
      <c r="E372" s="45" t="n"/>
      <c r="F372" s="45" t="n">
        <v>0.768297941144767</v>
      </c>
      <c r="G372" s="45" t="n"/>
      <c r="H372" s="45" t="n">
        <v>0.609702315325248</v>
      </c>
      <c r="I372" s="45" t="n"/>
      <c r="J372" s="45" t="n"/>
      <c r="K372" s="45" t="n">
        <v>0.923357861703279</v>
      </c>
      <c r="L372" s="45" t="n">
        <v>0.95977736716391</v>
      </c>
      <c r="M372" s="45" t="n"/>
      <c r="N372" s="45" t="n"/>
      <c r="O372" s="45" t="n"/>
      <c r="P372" s="45" t="n">
        <v>0.84140007082989</v>
      </c>
      <c r="Q372" s="45" t="n"/>
      <c r="R372" s="45" t="n">
        <v>0.826943991299619</v>
      </c>
      <c r="S372" s="45" t="n"/>
      <c r="T372" s="45" t="n"/>
      <c r="U372" s="45" t="n">
        <v>0.966741443186839</v>
      </c>
      <c r="V372" s="45" t="n">
        <v>0.996164370746311</v>
      </c>
      <c r="W372" s="45" t="n"/>
      <c r="X372" s="45" t="n"/>
      <c r="Y372" s="45" t="n"/>
      <c r="Z372" s="45" t="n">
        <v>0.898405495682864</v>
      </c>
      <c r="AA372" s="45" t="n"/>
      <c r="AB372" s="45" t="n">
        <v>0.698874080882353</v>
      </c>
      <c r="AC372" s="45" t="n"/>
      <c r="AD372" s="45" t="n"/>
      <c r="AE372" s="45" t="n">
        <v>0.95365159905895</v>
      </c>
      <c r="AF372" s="75">
        <f>IFERROR(AVERAGE(L372:U372),"")</f>
        <v/>
      </c>
      <c r="AG372" s="75">
        <f>IFERROR(AVERAGE(V372:AE372),"")</f>
        <v/>
      </c>
      <c r="AH372" s="75">
        <f>IFERROR(AVERAGE(B372:K372),"")</f>
        <v/>
      </c>
      <c r="AI372" s="45" t="n">
        <v>0.945438385009766</v>
      </c>
      <c r="AJ372" s="47" t="n">
        <v>0</v>
      </c>
    </row>
    <row r="373" ht="15" customHeight="1" s="30">
      <c r="A373" s="73" t="inlineStr">
        <is>
          <t>8993.jpg</t>
        </is>
      </c>
      <c r="B373" s="45" t="n">
        <v>0.956807889279215</v>
      </c>
      <c r="C373" s="45" t="n"/>
      <c r="D373" s="45" t="n"/>
      <c r="E373" s="45" t="n"/>
      <c r="F373" s="45" t="n">
        <v>0.780705123281358</v>
      </c>
      <c r="G373" s="45" t="n"/>
      <c r="H373" s="45" t="n">
        <v>0.383547817310119</v>
      </c>
      <c r="I373" s="45" t="n"/>
      <c r="J373" s="45" t="n"/>
      <c r="K373" s="45" t="n">
        <v>0.915528437995845</v>
      </c>
      <c r="L373" s="45" t="n">
        <v>0.983318834275772</v>
      </c>
      <c r="M373" s="45" t="n"/>
      <c r="N373" s="45" t="n"/>
      <c r="O373" s="45" t="n"/>
      <c r="P373" s="45" t="n">
        <v>0.883749239196592</v>
      </c>
      <c r="Q373" s="45" t="n"/>
      <c r="R373" s="45" t="n">
        <v>0.802746237127013</v>
      </c>
      <c r="S373" s="45" t="n"/>
      <c r="T373" s="45" t="n"/>
      <c r="U373" s="45" t="n">
        <v>0.9439659534277069</v>
      </c>
      <c r="V373" s="45" t="n">
        <v>0.97259448878181</v>
      </c>
      <c r="W373" s="45" t="n"/>
      <c r="X373" s="45" t="n"/>
      <c r="Y373" s="45" t="n"/>
      <c r="Z373" s="45" t="n">
        <v>0.870056497175141</v>
      </c>
      <c r="AA373" s="45" t="n"/>
      <c r="AB373" s="45" t="n">
        <v>0.423457306031481</v>
      </c>
      <c r="AC373" s="45" t="n"/>
      <c r="AD373" s="45" t="n"/>
      <c r="AE373" s="45" t="n">
        <v>0.968143133908391</v>
      </c>
      <c r="AF373" s="75">
        <f>IFERROR(AVERAGE(L373:U373),"")</f>
        <v/>
      </c>
      <c r="AG373" s="75">
        <f>IFERROR(AVERAGE(V373:AE373),"")</f>
        <v/>
      </c>
      <c r="AH373" s="75">
        <f>IFERROR(AVERAGE(B373:K373),"")</f>
        <v/>
      </c>
      <c r="AI373" s="45" t="n">
        <v>0.9409027099609381</v>
      </c>
      <c r="AJ373" s="47" t="n">
        <v>0</v>
      </c>
    </row>
    <row r="374" ht="15" customHeight="1" s="30">
      <c r="A374" s="73" t="inlineStr">
        <is>
          <t>8999.jpg</t>
        </is>
      </c>
      <c r="B374" s="45" t="n">
        <v>0.9438142123287671</v>
      </c>
      <c r="C374" s="45" t="n"/>
      <c r="D374" s="45" t="n"/>
      <c r="E374" s="45" t="n"/>
      <c r="F374" s="45" t="n">
        <v>0.581900728802984</v>
      </c>
      <c r="G374" s="45" t="n"/>
      <c r="H374" s="45" t="n">
        <v>0.371313672922252</v>
      </c>
      <c r="I374" s="45" t="n">
        <v>0</v>
      </c>
      <c r="J374" s="45" t="n"/>
      <c r="K374" s="45" t="n">
        <v>0.739871258528811</v>
      </c>
      <c r="L374" s="45" t="n">
        <v>0.965636804934577</v>
      </c>
      <c r="M374" s="45" t="n"/>
      <c r="N374" s="45" t="n"/>
      <c r="O374" s="45" t="n"/>
      <c r="P374" s="45" t="n">
        <v>0.947495839007414</v>
      </c>
      <c r="Q374" s="45" t="n"/>
      <c r="R374" s="45" t="n">
        <v>0.8809381832637651</v>
      </c>
      <c r="S374" s="45" t="n">
        <v>0</v>
      </c>
      <c r="T374" s="45" t="n"/>
      <c r="U374" s="45" t="n">
        <v>0.763047902769128</v>
      </c>
      <c r="V374" s="45" t="n">
        <v>0.976615418689208</v>
      </c>
      <c r="W374" s="45" t="n"/>
      <c r="X374" s="45" t="n"/>
      <c r="Y374" s="45" t="n"/>
      <c r="Z374" s="45" t="n">
        <v>0.6012894375857341</v>
      </c>
      <c r="AA374" s="45" t="n"/>
      <c r="AB374" s="45" t="n">
        <v>0.390932345417659</v>
      </c>
      <c r="AC374" s="45" t="n"/>
      <c r="AD374" s="45" t="n"/>
      <c r="AE374" s="45" t="n">
        <v>0.960566089585051</v>
      </c>
      <c r="AF374" s="75">
        <f>IFERROR(AVERAGE(L374:U374),"")</f>
        <v/>
      </c>
      <c r="AG374" s="75">
        <f>IFERROR(AVERAGE(V374:AE374),"")</f>
        <v/>
      </c>
      <c r="AH374" s="75">
        <f>IFERROR(AVERAGE(B374:K374),"")</f>
        <v/>
      </c>
      <c r="AI374" s="45" t="n">
        <v>0.839336395263672</v>
      </c>
      <c r="AJ374" s="47" t="n">
        <v>0</v>
      </c>
    </row>
    <row r="375" ht="15" customHeight="1" s="30">
      <c r="A375" s="73" t="inlineStr">
        <is>
          <t>9001.jpg</t>
        </is>
      </c>
      <c r="B375" s="45" t="n">
        <v>0</v>
      </c>
      <c r="C375" s="45" t="n"/>
      <c r="D375" s="45" t="n"/>
      <c r="E375" s="45" t="n"/>
      <c r="F375" s="45" t="n">
        <v>0.893825735718407</v>
      </c>
      <c r="G375" s="45" t="n">
        <v>0</v>
      </c>
      <c r="H375" s="45" t="n">
        <v>0</v>
      </c>
      <c r="I375" s="45" t="n">
        <v>0.825958702064897</v>
      </c>
      <c r="J375" s="45" t="n"/>
      <c r="K375" s="45" t="n">
        <v>0.866693779509046</v>
      </c>
      <c r="L375" s="45" t="n"/>
      <c r="M375" s="45" t="n"/>
      <c r="N375" s="45" t="n"/>
      <c r="O375" s="45" t="n"/>
      <c r="P375" s="45" t="n">
        <v>0.918713906664586</v>
      </c>
      <c r="Q375" s="45" t="n">
        <v>0</v>
      </c>
      <c r="R375" s="45" t="n"/>
      <c r="S375" s="45" t="n">
        <v>0.861538461538462</v>
      </c>
      <c r="T375" s="45" t="n"/>
      <c r="U375" s="45" t="n">
        <v>0.898608493984636</v>
      </c>
      <c r="V375" s="45" t="n">
        <v>0</v>
      </c>
      <c r="W375" s="45" t="n"/>
      <c r="X375" s="45" t="n"/>
      <c r="Y375" s="45" t="n"/>
      <c r="Z375" s="45" t="n">
        <v>0.970583385548923</v>
      </c>
      <c r="AA375" s="45" t="n"/>
      <c r="AB375" s="45" t="n">
        <v>0</v>
      </c>
      <c r="AC375" s="45" t="n">
        <v>0.952380952380952</v>
      </c>
      <c r="AD375" s="45" t="n"/>
      <c r="AE375" s="45" t="n">
        <v>0.960634746228289</v>
      </c>
      <c r="AF375" s="75">
        <f>IFERROR(AVERAGE(L375:U375),"")</f>
        <v/>
      </c>
      <c r="AG375" s="75">
        <f>IFERROR(AVERAGE(V375:AE375),"")</f>
        <v/>
      </c>
      <c r="AH375" s="75">
        <f>IFERROR(AVERAGE(B375:K375),"")</f>
        <v/>
      </c>
      <c r="AI375" s="45" t="n">
        <v>0.745891571044922</v>
      </c>
      <c r="AJ375" s="47" t="n">
        <v>0</v>
      </c>
    </row>
    <row r="376" ht="15" customHeight="1" s="30">
      <c r="A376" s="73" t="inlineStr">
        <is>
          <t>9002.jpg</t>
        </is>
      </c>
      <c r="B376" s="45" t="n">
        <v>0</v>
      </c>
      <c r="C376" s="45" t="n"/>
      <c r="D376" s="45" t="n"/>
      <c r="E376" s="45" t="n"/>
      <c r="F376" s="45" t="n">
        <v>0.920284963047186</v>
      </c>
      <c r="G376" s="45" t="n">
        <v>0</v>
      </c>
      <c r="H376" s="45" t="n"/>
      <c r="I376" s="45" t="n">
        <v>0.769041769041769</v>
      </c>
      <c r="J376" s="45" t="n"/>
      <c r="K376" s="45" t="n">
        <v>0.91238268883741</v>
      </c>
      <c r="L376" s="45" t="n"/>
      <c r="M376" s="45" t="n"/>
      <c r="N376" s="45" t="n"/>
      <c r="O376" s="45" t="n"/>
      <c r="P376" s="45" t="n">
        <v>0.936693067158511</v>
      </c>
      <c r="Q376" s="45" t="n">
        <v>0</v>
      </c>
      <c r="R376" s="45" t="n"/>
      <c r="S376" s="45" t="n">
        <v>0.855191256830601</v>
      </c>
      <c r="T376" s="45" t="n"/>
      <c r="U376" s="45" t="n">
        <v>0.9330000255408269</v>
      </c>
      <c r="V376" s="45" t="n">
        <v>0</v>
      </c>
      <c r="W376" s="45" t="n"/>
      <c r="X376" s="45" t="n"/>
      <c r="Y376" s="45" t="n"/>
      <c r="Z376" s="45" t="n">
        <v>0.981321158618599</v>
      </c>
      <c r="AA376" s="45" t="n"/>
      <c r="AB376" s="45" t="n"/>
      <c r="AC376" s="45" t="n">
        <v>0.884180790960452</v>
      </c>
      <c r="AD376" s="45" t="n"/>
      <c r="AE376" s="45" t="n">
        <v>0.976352750938807</v>
      </c>
      <c r="AF376" s="75">
        <f>IFERROR(AVERAGE(L376:U376),"")</f>
        <v/>
      </c>
      <c r="AG376" s="75">
        <f>IFERROR(AVERAGE(V376:AE376),"")</f>
        <v/>
      </c>
      <c r="AH376" s="75">
        <f>IFERROR(AVERAGE(B376:K376),"")</f>
        <v/>
      </c>
      <c r="AI376" s="45" t="n">
        <v>0.756198883056641</v>
      </c>
      <c r="AJ376" s="47" t="n">
        <v>0</v>
      </c>
    </row>
    <row r="377" ht="15" customHeight="1" s="30">
      <c r="A377" s="73" t="inlineStr">
        <is>
          <t>9004.jpg</t>
        </is>
      </c>
      <c r="B377" s="45" t="n">
        <v>0.142309834433174</v>
      </c>
      <c r="C377" s="45" t="n"/>
      <c r="D377" s="45" t="n"/>
      <c r="E377" s="45" t="n"/>
      <c r="F377" s="45" t="n">
        <v>0.839755086894675</v>
      </c>
      <c r="G377" s="45" t="n">
        <v>0</v>
      </c>
      <c r="H377" s="45" t="n"/>
      <c r="I377" s="45" t="n">
        <v>0.835227272727273</v>
      </c>
      <c r="J377" s="45" t="n"/>
      <c r="K377" s="45" t="n">
        <v>0.0520741148903249</v>
      </c>
      <c r="L377" s="45" t="n">
        <v>0.166303436714166</v>
      </c>
      <c r="M377" s="45" t="n"/>
      <c r="N377" s="45" t="n"/>
      <c r="O377" s="45" t="n"/>
      <c r="P377" s="45" t="n">
        <v>0.931914893617021</v>
      </c>
      <c r="Q377" s="45" t="n">
        <v>0</v>
      </c>
      <c r="R377" s="45" t="n"/>
      <c r="S377" s="45" t="n">
        <v>1</v>
      </c>
      <c r="T377" s="45" t="n"/>
      <c r="U377" s="45" t="n">
        <v>0.921410281662399</v>
      </c>
      <c r="V377" s="45" t="n">
        <v>0.496569594534908</v>
      </c>
      <c r="W377" s="45" t="n"/>
      <c r="X377" s="45" t="n"/>
      <c r="Y377" s="45" t="n"/>
      <c r="Z377" s="45" t="n">
        <v>0.894643210120577</v>
      </c>
      <c r="AA377" s="45" t="n"/>
      <c r="AB377" s="45" t="n"/>
      <c r="AC377" s="45" t="n">
        <v>0.835227272727273</v>
      </c>
      <c r="AD377" s="45" t="n"/>
      <c r="AE377" s="45" t="n">
        <v>0.0523064365541262</v>
      </c>
      <c r="AF377" s="75">
        <f>IFERROR(AVERAGE(L377:U377),"")</f>
        <v/>
      </c>
      <c r="AG377" s="75">
        <f>IFERROR(AVERAGE(V377:AE377),"")</f>
        <v/>
      </c>
      <c r="AH377" s="75">
        <f>IFERROR(AVERAGE(B377:K377),"")</f>
        <v/>
      </c>
      <c r="AI377" s="45" t="n">
        <v>0.216709136962891</v>
      </c>
      <c r="AJ377" s="47" t="n">
        <v>0</v>
      </c>
    </row>
    <row r="378" ht="15" customHeight="1" s="30">
      <c r="A378" s="73" t="inlineStr">
        <is>
          <t>9006.jpg</t>
        </is>
      </c>
      <c r="B378" s="45" t="n">
        <v>0.825477439664218</v>
      </c>
      <c r="C378" s="45" t="n"/>
      <c r="D378" s="45" t="n"/>
      <c r="E378" s="45" t="n"/>
      <c r="F378" s="45" t="n">
        <v>0.904482899577599</v>
      </c>
      <c r="G378" s="45" t="n">
        <v>0</v>
      </c>
      <c r="H378" s="45" t="n"/>
      <c r="I378" s="45" t="n"/>
      <c r="J378" s="45" t="n"/>
      <c r="K378" s="45" t="n">
        <v>0.928771215063751</v>
      </c>
      <c r="L378" s="45" t="n">
        <v>0.838118101623649</v>
      </c>
      <c r="M378" s="45" t="n"/>
      <c r="N378" s="45" t="n"/>
      <c r="O378" s="45" t="n"/>
      <c r="P378" s="45" t="n">
        <v>0.92800223682371</v>
      </c>
      <c r="Q378" s="45" t="n">
        <v>0</v>
      </c>
      <c r="R378" s="45" t="n"/>
      <c r="S378" s="45" t="n"/>
      <c r="T378" s="45" t="n"/>
      <c r="U378" s="45" t="n">
        <v>0.993951271306096</v>
      </c>
      <c r="V378" s="45" t="n">
        <v>0.982056958338188</v>
      </c>
      <c r="W378" s="45" t="n"/>
      <c r="X378" s="45" t="n"/>
      <c r="Y378" s="45" t="n"/>
      <c r="Z378" s="45" t="n">
        <v>0.97274325908558</v>
      </c>
      <c r="AA378" s="45" t="n"/>
      <c r="AB378" s="45" t="n"/>
      <c r="AC378" s="45" t="n"/>
      <c r="AD378" s="45" t="n"/>
      <c r="AE378" s="45" t="n">
        <v>0.934050536841156</v>
      </c>
      <c r="AF378" s="75">
        <f>IFERROR(AVERAGE(L378:U378),"")</f>
        <v/>
      </c>
      <c r="AG378" s="75">
        <f>IFERROR(AVERAGE(V378:AE378),"")</f>
        <v/>
      </c>
      <c r="AH378" s="75">
        <f>IFERROR(AVERAGE(B378:K378),"")</f>
        <v/>
      </c>
      <c r="AI378" s="45" t="n">
        <v>0.9470672607421881</v>
      </c>
      <c r="AJ378" s="47" t="n">
        <v>0</v>
      </c>
    </row>
    <row r="379" ht="15" customHeight="1" s="30">
      <c r="A379" s="73" t="inlineStr">
        <is>
          <t>9009.jpg</t>
        </is>
      </c>
      <c r="B379" s="45" t="n">
        <v>0.815831792232854</v>
      </c>
      <c r="C379" s="45" t="n"/>
      <c r="D379" s="45" t="n"/>
      <c r="E379" s="45" t="n"/>
      <c r="F379" s="45" t="n">
        <v>0.805457519152966</v>
      </c>
      <c r="G379" s="45" t="n"/>
      <c r="H379" s="45" t="n"/>
      <c r="I379" s="45" t="n"/>
      <c r="J379" s="45" t="n"/>
      <c r="K379" s="45" t="n">
        <v>0.970575584746273</v>
      </c>
      <c r="L379" s="45" t="n">
        <v>0.90735524256651</v>
      </c>
      <c r="M379" s="45" t="n"/>
      <c r="N379" s="45" t="n"/>
      <c r="O379" s="45" t="n"/>
      <c r="P379" s="45" t="n">
        <v>0.971953879713306</v>
      </c>
      <c r="Q379" s="45" t="n"/>
      <c r="R379" s="45" t="n"/>
      <c r="S379" s="45" t="n"/>
      <c r="T379" s="45" t="n"/>
      <c r="U379" s="45" t="n">
        <v>0.980452049080608</v>
      </c>
      <c r="V379" s="45" t="n">
        <v>0.889965792474344</v>
      </c>
      <c r="W379" s="45" t="n"/>
      <c r="X379" s="45" t="n"/>
      <c r="Y379" s="45" t="n"/>
      <c r="Z379" s="45" t="n">
        <v>0.82462324843571</v>
      </c>
      <c r="AA379" s="45" t="n"/>
      <c r="AB379" s="45" t="n"/>
      <c r="AC379" s="45" t="n"/>
      <c r="AD379" s="45" t="n"/>
      <c r="AE379" s="45" t="n">
        <v>0.98972784490888</v>
      </c>
      <c r="AF379" s="75">
        <f>IFERROR(AVERAGE(L379:U379),"")</f>
        <v/>
      </c>
      <c r="AG379" s="75">
        <f>IFERROR(AVERAGE(V379:AE379),"")</f>
        <v/>
      </c>
      <c r="AH379" s="75">
        <f>IFERROR(AVERAGE(B379:K379),"")</f>
        <v/>
      </c>
      <c r="AI379" s="45" t="n">
        <v>0.973903656005859</v>
      </c>
      <c r="AJ379" s="47" t="n">
        <v>0</v>
      </c>
    </row>
    <row r="380" ht="15" customHeight="1" s="30">
      <c r="A380" s="73" t="inlineStr">
        <is>
          <t>9012.jpg</t>
        </is>
      </c>
      <c r="B380" s="45" t="n">
        <v>0.580309474255723</v>
      </c>
      <c r="C380" s="45" t="n"/>
      <c r="D380" s="45" t="n"/>
      <c r="E380" s="45" t="n"/>
      <c r="F380" s="45" t="n">
        <v>0.7270512678551661</v>
      </c>
      <c r="G380" s="45" t="n"/>
      <c r="H380" s="45" t="n">
        <v>0</v>
      </c>
      <c r="I380" s="45" t="n"/>
      <c r="J380" s="45" t="n"/>
      <c r="K380" s="45" t="n">
        <v>0.96842253125439</v>
      </c>
      <c r="L380" s="45" t="n">
        <v>0.902349795975799</v>
      </c>
      <c r="M380" s="45" t="n"/>
      <c r="N380" s="45" t="n"/>
      <c r="O380" s="45" t="n"/>
      <c r="P380" s="45" t="n">
        <v>0.9922925797189061</v>
      </c>
      <c r="Q380" s="45" t="n"/>
      <c r="R380" s="45" t="n"/>
      <c r="S380" s="45" t="n"/>
      <c r="T380" s="45" t="n"/>
      <c r="U380" s="45" t="n">
        <v>0.971326785282988</v>
      </c>
      <c r="V380" s="45" t="n">
        <v>0.619194747513759</v>
      </c>
      <c r="W380" s="45" t="n"/>
      <c r="X380" s="45" t="n"/>
      <c r="Y380" s="45" t="n"/>
      <c r="Z380" s="45" t="n">
        <v>0.731180400890869</v>
      </c>
      <c r="AA380" s="45" t="n"/>
      <c r="AB380" s="45" t="n">
        <v>0</v>
      </c>
      <c r="AC380" s="45" t="n"/>
      <c r="AD380" s="45" t="n"/>
      <c r="AE380" s="45" t="n">
        <v>0.99692202179787</v>
      </c>
      <c r="AF380" s="75">
        <f>IFERROR(AVERAGE(L380:U380),"")</f>
        <v/>
      </c>
      <c r="AG380" s="75">
        <f>IFERROR(AVERAGE(V380:AE380),"")</f>
        <v/>
      </c>
      <c r="AH380" s="75">
        <f>IFERROR(AVERAGE(B380:K380),"")</f>
        <v/>
      </c>
      <c r="AI380" s="45" t="n">
        <v>0.9699859619140631</v>
      </c>
      <c r="AJ380" s="47" t="n">
        <v>0</v>
      </c>
    </row>
    <row r="381" ht="15" customHeight="1" s="30">
      <c r="A381" s="73" t="inlineStr">
        <is>
          <t>9013.jpg</t>
        </is>
      </c>
      <c r="B381" s="45" t="n">
        <v>0.61817556529963</v>
      </c>
      <c r="C381" s="45" t="n"/>
      <c r="D381" s="45" t="n">
        <v>0.857856016815554</v>
      </c>
      <c r="E381" s="45" t="n"/>
      <c r="F381" s="45" t="n">
        <v>0.769372294372294</v>
      </c>
      <c r="G381" s="45" t="n"/>
      <c r="H381" s="45" t="n">
        <v>0.43210586881473</v>
      </c>
      <c r="I381" s="45" t="n"/>
      <c r="J381" s="45" t="n"/>
      <c r="K381" s="45" t="n">
        <v>0.962794582318478</v>
      </c>
      <c r="L381" s="45" t="n">
        <v>0.836143737643912</v>
      </c>
      <c r="M381" s="45" t="n"/>
      <c r="N381" s="45" t="n">
        <v>0.929669703872437</v>
      </c>
      <c r="O381" s="45" t="n"/>
      <c r="P381" s="45" t="n">
        <v>0.974904004388371</v>
      </c>
      <c r="Q381" s="45" t="n"/>
      <c r="R381" s="45" t="n">
        <v>0.996021220159151</v>
      </c>
      <c r="S381" s="45" t="n"/>
      <c r="T381" s="45" t="n"/>
      <c r="U381" s="45" t="n">
        <v>0.970070429833398</v>
      </c>
      <c r="V381" s="45" t="n">
        <v>0.703384856192526</v>
      </c>
      <c r="W381" s="45" t="n"/>
      <c r="X381" s="45" t="n">
        <v>0.917392525990447</v>
      </c>
      <c r="Y381" s="45" t="n"/>
      <c r="Z381" s="45" t="n">
        <v>0.784917743182069</v>
      </c>
      <c r="AA381" s="45" t="n"/>
      <c r="AB381" s="45" t="n">
        <v>0.432853025936599</v>
      </c>
      <c r="AC381" s="45" t="n"/>
      <c r="AD381" s="45" t="n"/>
      <c r="AE381" s="45" t="n">
        <v>0.992270052070083</v>
      </c>
      <c r="AF381" s="75">
        <f>IFERROR(AVERAGE(L381:U381),"")</f>
        <v/>
      </c>
      <c r="AG381" s="75">
        <f>IFERROR(AVERAGE(V381:AE381),"")</f>
        <v/>
      </c>
      <c r="AH381" s="75">
        <f>IFERROR(AVERAGE(B381:K381),"")</f>
        <v/>
      </c>
      <c r="AI381" s="45" t="n">
        <v>0.965419769287109</v>
      </c>
      <c r="AJ381" s="47" t="n">
        <v>0</v>
      </c>
    </row>
    <row r="382" ht="15" customHeight="1" s="30">
      <c r="A382" s="73" t="inlineStr">
        <is>
          <t>9018.jpg</t>
        </is>
      </c>
      <c r="B382" s="45" t="n">
        <v>0.881369695487343</v>
      </c>
      <c r="C382" s="45" t="n"/>
      <c r="D382" s="45" t="n">
        <v>0.730828457037265</v>
      </c>
      <c r="E382" s="45" t="n"/>
      <c r="F382" s="45" t="n">
        <v>0.737528639866695</v>
      </c>
      <c r="G382" s="45" t="n">
        <v>0.48771235362032</v>
      </c>
      <c r="H382" s="45" t="n">
        <v>0.574105334233626</v>
      </c>
      <c r="I382" s="45" t="n">
        <v>0.657633840052875</v>
      </c>
      <c r="J382" s="45" t="n"/>
      <c r="K382" s="45" t="n">
        <v>0</v>
      </c>
      <c r="L382" s="45" t="n">
        <v>0.903404048355638</v>
      </c>
      <c r="M382" s="45" t="n"/>
      <c r="N382" s="45" t="n">
        <v>0.988681341573502</v>
      </c>
      <c r="O382" s="45" t="n"/>
      <c r="P382" s="45" t="n">
        <v>0.901301345890738</v>
      </c>
      <c r="Q382" s="45" t="n">
        <v>0.685283893395133</v>
      </c>
      <c r="R382" s="45" t="n">
        <v>0.981104860810616</v>
      </c>
      <c r="S382" s="45" t="n">
        <v>0.779780564263323</v>
      </c>
      <c r="T382" s="45" t="n"/>
      <c r="U382" s="45" t="n">
        <v>0</v>
      </c>
      <c r="V382" s="45" t="n">
        <v>0.973071937783539</v>
      </c>
      <c r="W382" s="45" t="n"/>
      <c r="X382" s="45" t="n">
        <v>0.736994668461101</v>
      </c>
      <c r="Y382" s="45" t="n"/>
      <c r="Z382" s="45" t="n">
        <v>0.8023282161672241</v>
      </c>
      <c r="AA382" s="45" t="n">
        <v>0.628480340063762</v>
      </c>
      <c r="AB382" s="45" t="n">
        <v>0.580524024921055</v>
      </c>
      <c r="AC382" s="45" t="n">
        <v>0.80762987012987</v>
      </c>
      <c r="AD382" s="45" t="n"/>
      <c r="AE382" s="45" t="n"/>
      <c r="AF382" s="75">
        <f>IFERROR(AVERAGE(L382:U382),"")</f>
        <v/>
      </c>
      <c r="AG382" s="75">
        <f>IFERROR(AVERAGE(V382:AE382),"")</f>
        <v/>
      </c>
      <c r="AH382" s="75">
        <f>IFERROR(AVERAGE(B382:K382),"")</f>
        <v/>
      </c>
      <c r="AI382" s="45" t="n">
        <v>0.901985168457031</v>
      </c>
      <c r="AJ382" s="47" t="n">
        <v>0</v>
      </c>
    </row>
    <row r="383" ht="15" customHeight="1" s="30">
      <c r="A383" s="73" t="inlineStr">
        <is>
          <t>9032.jpg</t>
        </is>
      </c>
      <c r="B383" s="45" t="n">
        <v>0.718479033703422</v>
      </c>
      <c r="C383" s="45" t="n"/>
      <c r="D383" s="45" t="n"/>
      <c r="E383" s="45" t="n"/>
      <c r="F383" s="45" t="n">
        <v>0.146113197937225</v>
      </c>
      <c r="G383" s="45" t="n">
        <v>0.290697674418605</v>
      </c>
      <c r="H383" s="45" t="n"/>
      <c r="I383" s="45" t="n">
        <v>0.597269624573379</v>
      </c>
      <c r="J383" s="45" t="n"/>
      <c r="K383" s="45" t="n">
        <v>0</v>
      </c>
      <c r="L383" s="45" t="n">
        <v>0.719196139041667</v>
      </c>
      <c r="M383" s="45" t="n"/>
      <c r="N383" s="45" t="n"/>
      <c r="O383" s="45" t="n"/>
      <c r="P383" s="45" t="n">
        <v>0.918367346938776</v>
      </c>
      <c r="Q383" s="45" t="n">
        <v>0.998633568663175</v>
      </c>
      <c r="R383" s="45" t="n"/>
      <c r="S383" s="45" t="n">
        <v>0.754310344827586</v>
      </c>
      <c r="T383" s="45" t="n"/>
      <c r="U383" s="45" t="n">
        <v>0</v>
      </c>
      <c r="V383" s="45" t="n">
        <v>0.998614140445463</v>
      </c>
      <c r="W383" s="45" t="n"/>
      <c r="X383" s="45" t="n"/>
      <c r="Y383" s="45" t="n"/>
      <c r="Z383" s="45" t="n">
        <v>0.148035864026318</v>
      </c>
      <c r="AA383" s="45" t="n">
        <v>0.290813348896435</v>
      </c>
      <c r="AB383" s="45" t="n"/>
      <c r="AC383" s="45" t="n">
        <v>0.741525423728814</v>
      </c>
      <c r="AD383" s="45" t="n"/>
      <c r="AE383" s="45" t="n"/>
      <c r="AF383" s="75">
        <f>IFERROR(AVERAGE(L383:U383),"")</f>
        <v/>
      </c>
      <c r="AG383" s="75">
        <f>IFERROR(AVERAGE(V383:AE383),"")</f>
        <v/>
      </c>
      <c r="AH383" s="75">
        <f>IFERROR(AVERAGE(B383:K383),"")</f>
        <v/>
      </c>
      <c r="AI383" s="45" t="n">
        <v>0.744518280029297</v>
      </c>
      <c r="AJ383" s="47" t="n">
        <v>0</v>
      </c>
    </row>
    <row r="384" ht="15" customHeight="1" s="30">
      <c r="A384" s="73" t="inlineStr">
        <is>
          <t>9035.jpg</t>
        </is>
      </c>
      <c r="B384" s="45" t="n"/>
      <c r="C384" s="45" t="n"/>
      <c r="D384" s="45" t="n">
        <v>0.792214012041598</v>
      </c>
      <c r="E384" s="45" t="n"/>
      <c r="F384" s="45" t="n">
        <v>0.893081557559339</v>
      </c>
      <c r="G384" s="45" t="n"/>
      <c r="H384" s="45" t="n">
        <v>0.843648867313916</v>
      </c>
      <c r="I384" s="45" t="n">
        <v>0.835573940020683</v>
      </c>
      <c r="J384" s="45" t="n"/>
      <c r="K384" s="45" t="n">
        <v>0.811384295001079</v>
      </c>
      <c r="L384" s="45" t="n"/>
      <c r="M384" s="45" t="n"/>
      <c r="N384" s="45" t="n">
        <v>0.958685212783573</v>
      </c>
      <c r="O384" s="45" t="n"/>
      <c r="P384" s="45" t="n">
        <v>0.915545385960985</v>
      </c>
      <c r="Q384" s="45" t="n"/>
      <c r="R384" s="45" t="n">
        <v>0.887554717898833</v>
      </c>
      <c r="S384" s="45" t="n">
        <v>0.93953488372093</v>
      </c>
      <c r="T384" s="45" t="n"/>
      <c r="U384" s="45" t="n">
        <v>0.928975716633193</v>
      </c>
      <c r="V384" s="45" t="n"/>
      <c r="W384" s="45" t="n"/>
      <c r="X384" s="45" t="n">
        <v>0.82021675993483</v>
      </c>
      <c r="Y384" s="45" t="n"/>
      <c r="Z384" s="45" t="n">
        <v>0.973261183769874</v>
      </c>
      <c r="AA384" s="45" t="n"/>
      <c r="AB384" s="45" t="n">
        <v>0.944611601798829</v>
      </c>
      <c r="AC384" s="45" t="n">
        <v>0.883060109289618</v>
      </c>
      <c r="AD384" s="45" t="n"/>
      <c r="AE384" s="45" t="n">
        <v>0.865046504650465</v>
      </c>
      <c r="AF384" s="75">
        <f>IFERROR(AVERAGE(L384:U384),"")</f>
        <v/>
      </c>
      <c r="AG384" s="75">
        <f>IFERROR(AVERAGE(V384:AE384),"")</f>
        <v/>
      </c>
      <c r="AH384" s="75">
        <f>IFERROR(AVERAGE(B384:K384),"")</f>
        <v/>
      </c>
      <c r="AI384" s="45" t="n">
        <v>0.919105529785156</v>
      </c>
      <c r="AJ384" s="47" t="n">
        <v>0</v>
      </c>
    </row>
    <row r="385" ht="15" customHeight="1" s="30">
      <c r="A385" s="73" t="inlineStr">
        <is>
          <t>9037.jpg</t>
        </is>
      </c>
      <c r="B385" s="45" t="n">
        <v>0.157134148527988</v>
      </c>
      <c r="C385" s="45" t="n"/>
      <c r="D385" s="45" t="n">
        <v>0.923898318591123</v>
      </c>
      <c r="E385" s="45" t="n"/>
      <c r="F385" s="45" t="n">
        <v>0.80919815154541</v>
      </c>
      <c r="G385" s="45" t="n"/>
      <c r="H385" s="45" t="n">
        <v>0.830650556889291</v>
      </c>
      <c r="I385" s="45" t="n">
        <v>0.685901112768154</v>
      </c>
      <c r="J385" s="45" t="n"/>
      <c r="K385" s="45" t="n">
        <v>0.776619367687329</v>
      </c>
      <c r="L385" s="45" t="n">
        <v>0.997269003186163</v>
      </c>
      <c r="M385" s="45" t="n"/>
      <c r="N385" s="45" t="n">
        <v>0.964639321074965</v>
      </c>
      <c r="O385" s="45" t="n"/>
      <c r="P385" s="45" t="n">
        <v>0.844610070896201</v>
      </c>
      <c r="Q385" s="45" t="n"/>
      <c r="R385" s="45" t="n">
        <v>0.855602399870277</v>
      </c>
      <c r="S385" s="45" t="n">
        <v>0.804277643260694</v>
      </c>
      <c r="T385" s="45" t="n"/>
      <c r="U385" s="45" t="n">
        <v>0.820476135371409</v>
      </c>
      <c r="V385" s="45" t="n">
        <v>0.157201793721973</v>
      </c>
      <c r="W385" s="45" t="n"/>
      <c r="X385" s="45" t="n">
        <v>0.956285054437479</v>
      </c>
      <c r="Y385" s="45" t="n"/>
      <c r="Z385" s="45" t="n">
        <v>0.950739386663757</v>
      </c>
      <c r="AA385" s="45" t="n"/>
      <c r="AB385" s="45" t="n">
        <v>0.96608229962924</v>
      </c>
      <c r="AC385" s="45" t="n">
        <v>0.823326907188102</v>
      </c>
      <c r="AD385" s="45" t="n"/>
      <c r="AE385" s="45" t="n">
        <v>0.935604606525912</v>
      </c>
      <c r="AF385" s="75">
        <f>IFERROR(AVERAGE(L385:U385),"")</f>
        <v/>
      </c>
      <c r="AG385" s="75">
        <f>IFERROR(AVERAGE(V385:AE385),"")</f>
        <v/>
      </c>
      <c r="AH385" s="75">
        <f>IFERROR(AVERAGE(B385:K385),"")</f>
        <v/>
      </c>
      <c r="AI385" s="45" t="n">
        <v>0.860321044921875</v>
      </c>
      <c r="AJ385" s="47" t="n">
        <v>0</v>
      </c>
    </row>
    <row r="386" ht="15" customHeight="1" s="30">
      <c r="A386" s="73" t="inlineStr">
        <is>
          <t>9042.jpg</t>
        </is>
      </c>
      <c r="B386" s="45" t="n"/>
      <c r="C386" s="45" t="n"/>
      <c r="D386" s="45" t="n">
        <v>0.935232082148061</v>
      </c>
      <c r="E386" s="45" t="n"/>
      <c r="F386" s="45" t="n">
        <v>0.901183941587073</v>
      </c>
      <c r="G386" s="45" t="n"/>
      <c r="H386" s="45" t="n">
        <v>0.865868348331326</v>
      </c>
      <c r="I386" s="45" t="n">
        <v>0.530214424951267</v>
      </c>
      <c r="J386" s="45" t="n">
        <v>0.681818181818182</v>
      </c>
      <c r="K386" s="45" t="n">
        <v>0.8543562258506791</v>
      </c>
      <c r="L386" s="45" t="n"/>
      <c r="M386" s="45" t="n"/>
      <c r="N386" s="45" t="n">
        <v>0.939657200616934</v>
      </c>
      <c r="O386" s="45" t="n"/>
      <c r="P386" s="45" t="n">
        <v>0.97180404225235</v>
      </c>
      <c r="Q386" s="45" t="n"/>
      <c r="R386" s="45" t="n">
        <v>0.9461866047231901</v>
      </c>
      <c r="S386" s="45" t="n">
        <v>0.540909090909091</v>
      </c>
      <c r="T386" s="45" t="n">
        <v>0.9577603143418471</v>
      </c>
      <c r="U386" s="45" t="n">
        <v>0.948851052048726</v>
      </c>
      <c r="V386" s="45" t="n"/>
      <c r="W386" s="45" t="n"/>
      <c r="X386" s="45" t="n">
        <v>0.994989804297881</v>
      </c>
      <c r="Y386" s="45" t="n"/>
      <c r="Z386" s="45" t="n">
        <v>0.92537983288673</v>
      </c>
      <c r="AA386" s="45" t="n"/>
      <c r="AB386" s="45" t="n">
        <v>0.910716947384111</v>
      </c>
      <c r="AC386" s="45" t="n">
        <v>0.964050632911392</v>
      </c>
      <c r="AD386" s="45" t="n">
        <v>0.702956020187455</v>
      </c>
      <c r="AE386" s="45" t="n">
        <v>0.895603318743059</v>
      </c>
      <c r="AF386" s="75">
        <f>IFERROR(AVERAGE(L386:U386),"")</f>
        <v/>
      </c>
      <c r="AG386" s="75">
        <f>IFERROR(AVERAGE(V386:AE386),"")</f>
        <v/>
      </c>
      <c r="AH386" s="75">
        <f>IFERROR(AVERAGE(B386:K386),"")</f>
        <v/>
      </c>
      <c r="AI386" s="45" t="n">
        <v>0.945568084716797</v>
      </c>
      <c r="AJ386" s="47" t="n">
        <v>0</v>
      </c>
    </row>
    <row r="387" ht="15" customHeight="1" s="30">
      <c r="A387" s="73" t="inlineStr">
        <is>
          <t>9044.jpg</t>
        </is>
      </c>
      <c r="B387" s="45" t="n"/>
      <c r="C387" s="45" t="n"/>
      <c r="D387" s="45" t="n">
        <v>0.870222898075153</v>
      </c>
      <c r="E387" s="45" t="n"/>
      <c r="F387" s="45" t="n">
        <v>0.872342657801209</v>
      </c>
      <c r="G387" s="45" t="n"/>
      <c r="H387" s="45" t="n">
        <v>0.841623696351723</v>
      </c>
      <c r="I387" s="45" t="n">
        <v>0.30248383804015</v>
      </c>
      <c r="J387" s="45" t="n">
        <v>0.775301204819277</v>
      </c>
      <c r="K387" s="45" t="n">
        <v>0.747182546106621</v>
      </c>
      <c r="L387" s="45" t="n"/>
      <c r="M387" s="45" t="n"/>
      <c r="N387" s="45" t="n">
        <v>0.877642239509237</v>
      </c>
      <c r="O387" s="45" t="n"/>
      <c r="P387" s="45" t="n">
        <v>0.950107127553207</v>
      </c>
      <c r="Q387" s="45" t="n"/>
      <c r="R387" s="45" t="n">
        <v>0.858159392789374</v>
      </c>
      <c r="S387" s="45" t="n">
        <v>0.315360056757716</v>
      </c>
      <c r="T387" s="45" t="n">
        <v>0.820267686424474</v>
      </c>
      <c r="U387" s="45" t="n">
        <v>0.947299452154281</v>
      </c>
      <c r="V387" s="45" t="n"/>
      <c r="W387" s="45" t="n"/>
      <c r="X387" s="45" t="n">
        <v>0.990379031982603</v>
      </c>
      <c r="Y387" s="45" t="n"/>
      <c r="Z387" s="45" t="n">
        <v>0.914222490997554</v>
      </c>
      <c r="AA387" s="45" t="n"/>
      <c r="AB387" s="45" t="n">
        <v>0.977617653681603</v>
      </c>
      <c r="AC387" s="45" t="n">
        <v>0.881070366699703</v>
      </c>
      <c r="AD387" s="45" t="n">
        <v>0.933962264150943</v>
      </c>
      <c r="AE387" s="45" t="n">
        <v>0.779588124472163</v>
      </c>
      <c r="AF387" s="75">
        <f>IFERROR(AVERAGE(L387:U387),"")</f>
        <v/>
      </c>
      <c r="AG387" s="75">
        <f>IFERROR(AVERAGE(V387:AE387),"")</f>
        <v/>
      </c>
      <c r="AH387" s="75">
        <f>IFERROR(AVERAGE(B387:K387),"")</f>
        <v/>
      </c>
      <c r="AI387" s="45" t="n">
        <v>0.905555725097656</v>
      </c>
      <c r="AJ387" s="47" t="n">
        <v>0</v>
      </c>
    </row>
    <row r="388" ht="15" customHeight="1" s="30">
      <c r="A388" s="73" t="inlineStr">
        <is>
          <t>9045.jpg</t>
        </is>
      </c>
      <c r="B388" s="45" t="n"/>
      <c r="C388" s="45" t="n"/>
      <c r="D388" s="45" t="n">
        <v>0.866809588774118</v>
      </c>
      <c r="E388" s="45" t="n"/>
      <c r="F388" s="45" t="n">
        <v>0.8377801625775571</v>
      </c>
      <c r="G388" s="45" t="n"/>
      <c r="H388" s="45" t="n">
        <v>0.8663835517116369</v>
      </c>
      <c r="I388" s="45" t="n">
        <v>0.385221078134464</v>
      </c>
      <c r="J388" s="45" t="n">
        <v>0</v>
      </c>
      <c r="K388" s="45" t="n">
        <v>0.804089084461713</v>
      </c>
      <c r="L388" s="45" t="n"/>
      <c r="M388" s="45" t="n"/>
      <c r="N388" s="45" t="n">
        <v>0.914516792323509</v>
      </c>
      <c r="O388" s="45" t="n"/>
      <c r="P388" s="45" t="n">
        <v>0.911626533515879</v>
      </c>
      <c r="Q388" s="45" t="n"/>
      <c r="R388" s="45" t="n">
        <v>0.921555665730182</v>
      </c>
      <c r="S388" s="45" t="n">
        <v>0.429584599797366</v>
      </c>
      <c r="T388" s="45" t="n"/>
      <c r="U388" s="45" t="n">
        <v>0.910931388796818</v>
      </c>
      <c r="V388" s="45" t="n"/>
      <c r="W388" s="45" t="n"/>
      <c r="X388" s="45" t="n">
        <v>0.943234034130272</v>
      </c>
      <c r="Y388" s="45" t="n"/>
      <c r="Z388" s="45" t="n">
        <v>0.911834597569981</v>
      </c>
      <c r="AA388" s="45" t="n"/>
      <c r="AB388" s="45" t="n">
        <v>0.935364830863852</v>
      </c>
      <c r="AC388" s="45" t="n">
        <v>0.788592684438934</v>
      </c>
      <c r="AD388" s="45" t="n">
        <v>0</v>
      </c>
      <c r="AE388" s="45" t="n">
        <v>0.872702561953029</v>
      </c>
      <c r="AF388" s="75">
        <f>IFERROR(AVERAGE(L388:U388),"")</f>
        <v/>
      </c>
      <c r="AG388" s="75">
        <f>IFERROR(AVERAGE(V388:AE388),"")</f>
        <v/>
      </c>
      <c r="AH388" s="75">
        <f>IFERROR(AVERAGE(B388:K388),"")</f>
        <v/>
      </c>
      <c r="AI388" s="45" t="n">
        <v>0.908161163330078</v>
      </c>
      <c r="AJ388" s="47" t="n">
        <v>0</v>
      </c>
    </row>
    <row r="389" ht="15" customHeight="1" s="30">
      <c r="A389" s="73" t="inlineStr">
        <is>
          <t>9054.jpg</t>
        </is>
      </c>
      <c r="B389" s="45" t="n"/>
      <c r="C389" s="45" t="n"/>
      <c r="D389" s="45" t="n">
        <v>0.932016753738065</v>
      </c>
      <c r="E389" s="45" t="n"/>
      <c r="F389" s="45" t="n">
        <v>0.885215144711346</v>
      </c>
      <c r="G389" s="45" t="n"/>
      <c r="H389" s="45" t="n">
        <v>0.898136747092165</v>
      </c>
      <c r="I389" s="45" t="n">
        <v>0.527325023969319</v>
      </c>
      <c r="J389" s="45" t="n">
        <v>0.606631016042781</v>
      </c>
      <c r="K389" s="45" t="n">
        <v>0.861117090521439</v>
      </c>
      <c r="L389" s="45" t="n"/>
      <c r="M389" s="45" t="n"/>
      <c r="N389" s="45" t="n">
        <v>0.949593906300188</v>
      </c>
      <c r="O389" s="45" t="n"/>
      <c r="P389" s="45" t="n">
        <v>0.960711662994859</v>
      </c>
      <c r="Q389" s="45" t="n"/>
      <c r="R389" s="45" t="n">
        <v>0.931581891683643</v>
      </c>
      <c r="S389" s="45" t="n">
        <v>0.721784776902887</v>
      </c>
      <c r="T389" s="45" t="n">
        <v>0.998240056318198</v>
      </c>
      <c r="U389" s="45" t="n">
        <v>0.930774685339479</v>
      </c>
      <c r="V389" s="45" t="n"/>
      <c r="W389" s="45" t="n"/>
      <c r="X389" s="45" t="n">
        <v>0.98052640307029</v>
      </c>
      <c r="Y389" s="45" t="n"/>
      <c r="Z389" s="45" t="n">
        <v>0.918464386009701</v>
      </c>
      <c r="AA389" s="45" t="n"/>
      <c r="AB389" s="45" t="n">
        <v>0.9615631843289359</v>
      </c>
      <c r="AC389" s="45" t="n">
        <v>0.661853188929001</v>
      </c>
      <c r="AD389" s="45" t="n">
        <v>0.60728051391863</v>
      </c>
      <c r="AE389" s="45" t="n">
        <v>0.920040740781303</v>
      </c>
      <c r="AF389" s="75">
        <f>IFERROR(AVERAGE(L389:U389),"")</f>
        <v/>
      </c>
      <c r="AG389" s="75">
        <f>IFERROR(AVERAGE(V389:AE389),"")</f>
        <v/>
      </c>
      <c r="AH389" s="75">
        <f>IFERROR(AVERAGE(B389:K389),"")</f>
        <v/>
      </c>
      <c r="AI389" s="45" t="n">
        <v>0.937740325927734</v>
      </c>
      <c r="AJ389" s="47" t="n">
        <v>0</v>
      </c>
    </row>
    <row r="390" ht="15" customHeight="1" s="30">
      <c r="A390" s="73" t="inlineStr">
        <is>
          <t>9055.jpg</t>
        </is>
      </c>
      <c r="B390" s="45" t="n"/>
      <c r="C390" s="45" t="n"/>
      <c r="D390" s="45" t="n">
        <v>0.945756164072265</v>
      </c>
      <c r="E390" s="45" t="n"/>
      <c r="F390" s="45" t="n">
        <v>0.883149805909847</v>
      </c>
      <c r="G390" s="45" t="n"/>
      <c r="H390" s="45" t="n">
        <v>0.898993534007406</v>
      </c>
      <c r="I390" s="45" t="n">
        <v>0.315132605304212</v>
      </c>
      <c r="J390" s="45" t="n"/>
      <c r="K390" s="45" t="n">
        <v>0.919306088237535</v>
      </c>
      <c r="L390" s="45" t="n"/>
      <c r="M390" s="45" t="n"/>
      <c r="N390" s="45" t="n">
        <v>0.9689195166810241</v>
      </c>
      <c r="O390" s="45" t="n"/>
      <c r="P390" s="45" t="n">
        <v>0.961407442542366</v>
      </c>
      <c r="Q390" s="45" t="n"/>
      <c r="R390" s="45" t="n">
        <v>0.949288419813923</v>
      </c>
      <c r="S390" s="45" t="n">
        <v>0.635220125786164</v>
      </c>
      <c r="T390" s="45" t="n"/>
      <c r="U390" s="45" t="n">
        <v>0.951613892710972</v>
      </c>
      <c r="V390" s="45" t="n"/>
      <c r="W390" s="45" t="n"/>
      <c r="X390" s="45" t="n">
        <v>0.975345676119053</v>
      </c>
      <c r="Y390" s="45" t="n"/>
      <c r="Z390" s="45" t="n">
        <v>0.915609215227301</v>
      </c>
      <c r="AA390" s="45" t="n"/>
      <c r="AB390" s="45" t="n">
        <v>0.94434553569251</v>
      </c>
      <c r="AC390" s="45" t="n">
        <v>0.384761904761905</v>
      </c>
      <c r="AD390" s="45" t="n"/>
      <c r="AE390" s="45" t="n">
        <v>0.964384680972005</v>
      </c>
      <c r="AF390" s="75">
        <f>IFERROR(AVERAGE(L390:U390),"")</f>
        <v/>
      </c>
      <c r="AG390" s="75">
        <f>IFERROR(AVERAGE(V390:AE390),"")</f>
        <v/>
      </c>
      <c r="AH390" s="75">
        <f>IFERROR(AVERAGE(B390:K390),"")</f>
        <v/>
      </c>
      <c r="AI390" s="45" t="n">
        <v>0.9542083740234381</v>
      </c>
      <c r="AJ390" s="47" t="n">
        <v>0</v>
      </c>
    </row>
    <row r="391" ht="15" customHeight="1" s="30">
      <c r="A391" s="73" t="inlineStr">
        <is>
          <t>9056.jpg</t>
        </is>
      </c>
      <c r="B391" s="45" t="n"/>
      <c r="C391" s="45" t="n"/>
      <c r="D391" s="45" t="n">
        <v>0.886816795683791</v>
      </c>
      <c r="E391" s="45" t="n"/>
      <c r="F391" s="45" t="n">
        <v>0.785352255448556</v>
      </c>
      <c r="G391" s="45" t="n"/>
      <c r="H391" s="45" t="n">
        <v>0.931995567259685</v>
      </c>
      <c r="I391" s="45" t="n">
        <v>0.407582938388626</v>
      </c>
      <c r="J391" s="45" t="n"/>
      <c r="K391" s="45" t="n">
        <v>0.936084777733702</v>
      </c>
      <c r="L391" s="45" t="n"/>
      <c r="M391" s="45" t="n"/>
      <c r="N391" s="45" t="n">
        <v>0.963970625733082</v>
      </c>
      <c r="O391" s="45" t="n"/>
      <c r="P391" s="45" t="n">
        <v>0.840900868306802</v>
      </c>
      <c r="Q391" s="45" t="n"/>
      <c r="R391" s="45" t="n">
        <v>0.969470852907272</v>
      </c>
      <c r="S391" s="45" t="n">
        <v>0.7610619469026551</v>
      </c>
      <c r="T391" s="45" t="n"/>
      <c r="U391" s="45" t="n">
        <v>0.963373991868293</v>
      </c>
      <c r="V391" s="45" t="n"/>
      <c r="W391" s="45" t="n"/>
      <c r="X391" s="45" t="n">
        <v>0.917218623383555</v>
      </c>
      <c r="Y391" s="45" t="n"/>
      <c r="Z391" s="45" t="n">
        <v>0.922412937791448</v>
      </c>
      <c r="AA391" s="45" t="n"/>
      <c r="AB391" s="45" t="n">
        <v>0.96017579611579</v>
      </c>
      <c r="AC391" s="45" t="n">
        <v>0.467391304347826</v>
      </c>
      <c r="AD391" s="45" t="n"/>
      <c r="AE391" s="45" t="n">
        <v>0.9706279852594289</v>
      </c>
      <c r="AF391" s="75">
        <f>IFERROR(AVERAGE(L391:U391),"")</f>
        <v/>
      </c>
      <c r="AG391" s="75">
        <f>IFERROR(AVERAGE(V391:AE391),"")</f>
        <v/>
      </c>
      <c r="AH391" s="75">
        <f>IFERROR(AVERAGE(B391:K391),"")</f>
        <v/>
      </c>
      <c r="AI391" s="45" t="n">
        <v>0.954921722412109</v>
      </c>
      <c r="AJ391" s="47" t="n">
        <v>0</v>
      </c>
    </row>
    <row r="392" ht="15" customHeight="1" s="30">
      <c r="A392" s="73" t="inlineStr">
        <is>
          <t>9058.jpg</t>
        </is>
      </c>
      <c r="B392" s="45" t="n"/>
      <c r="C392" s="45" t="n"/>
      <c r="D392" s="45" t="n">
        <v>0.910893887645743</v>
      </c>
      <c r="E392" s="45" t="n"/>
      <c r="F392" s="45" t="n">
        <v>0.850914133114215</v>
      </c>
      <c r="G392" s="45" t="n"/>
      <c r="H392" s="45" t="n">
        <v>0.880390399362613</v>
      </c>
      <c r="I392" s="45" t="n">
        <v>0.826262626262626</v>
      </c>
      <c r="J392" s="45" t="n"/>
      <c r="K392" s="45" t="n">
        <v>0.90092423356692</v>
      </c>
      <c r="L392" s="45" t="n"/>
      <c r="M392" s="45" t="n"/>
      <c r="N392" s="45" t="n">
        <v>0.932799459694148</v>
      </c>
      <c r="O392" s="45" t="n"/>
      <c r="P392" s="45" t="n">
        <v>0.927637656411836</v>
      </c>
      <c r="Q392" s="45" t="n"/>
      <c r="R392" s="45" t="n">
        <v>0.932522240585112</v>
      </c>
      <c r="S392" s="45" t="n">
        <v>0.929545454545455</v>
      </c>
      <c r="T392" s="45" t="n"/>
      <c r="U392" s="45" t="n">
        <v>0.953817227466802</v>
      </c>
      <c r="V392" s="45" t="n"/>
      <c r="W392" s="45" t="n"/>
      <c r="X392" s="45" t="n">
        <v>0.974867024628803</v>
      </c>
      <c r="Y392" s="45" t="n"/>
      <c r="Z392" s="45" t="n">
        <v>0.911411204928628</v>
      </c>
      <c r="AA392" s="45" t="n"/>
      <c r="AB392" s="45" t="n">
        <v>0.940292157140831</v>
      </c>
      <c r="AC392" s="45" t="n">
        <v>0.881465517241379</v>
      </c>
      <c r="AD392" s="45" t="n"/>
      <c r="AE392" s="45" t="n">
        <v>0.94201665067624</v>
      </c>
      <c r="AF392" s="75">
        <f>IFERROR(AVERAGE(L392:U392),"")</f>
        <v/>
      </c>
      <c r="AG392" s="75">
        <f>IFERROR(AVERAGE(V392:AE392),"")</f>
        <v/>
      </c>
      <c r="AH392" s="75">
        <f>IFERROR(AVERAGE(B392:K392),"")</f>
        <v/>
      </c>
      <c r="AI392" s="45" t="n">
        <v>0.942264556884766</v>
      </c>
      <c r="AJ392" s="47" t="n">
        <v>0</v>
      </c>
    </row>
    <row r="393" ht="15" customHeight="1" s="30">
      <c r="A393" s="73" t="inlineStr">
        <is>
          <t>9060.jpg</t>
        </is>
      </c>
      <c r="B393" s="45" t="n"/>
      <c r="C393" s="45" t="n"/>
      <c r="D393" s="45" t="n">
        <v>0.922371177209887</v>
      </c>
      <c r="E393" s="45" t="n"/>
      <c r="F393" s="45" t="n">
        <v>0.873599773127798</v>
      </c>
      <c r="G393" s="45" t="n"/>
      <c r="H393" s="45" t="n">
        <v>0.829685054563386</v>
      </c>
      <c r="I393" s="45" t="n">
        <v>0.788583509513742</v>
      </c>
      <c r="J393" s="45" t="n"/>
      <c r="K393" s="45" t="n">
        <v>0.893152544395468</v>
      </c>
      <c r="L393" s="45" t="n"/>
      <c r="M393" s="45" t="n"/>
      <c r="N393" s="45" t="n">
        <v>0.94238753584728</v>
      </c>
      <c r="O393" s="45" t="n"/>
      <c r="P393" s="45" t="n">
        <v>0.933181867359083</v>
      </c>
      <c r="Q393" s="45" t="n"/>
      <c r="R393" s="45" t="n">
        <v>0.895085000578235</v>
      </c>
      <c r="S393" s="45" t="n">
        <v>0.873536299765808</v>
      </c>
      <c r="T393" s="45" t="n"/>
      <c r="U393" s="45" t="n">
        <v>0.953895540102437</v>
      </c>
      <c r="V393" s="45" t="n"/>
      <c r="W393" s="45" t="n"/>
      <c r="X393" s="45" t="n">
        <v>0.977490676611614</v>
      </c>
      <c r="Y393" s="45" t="n"/>
      <c r="Z393" s="45" t="n">
        <v>0.931891354610082</v>
      </c>
      <c r="AA393" s="45" t="n"/>
      <c r="AB393" s="45" t="n">
        <v>0.919063338637281</v>
      </c>
      <c r="AC393" s="45" t="n">
        <v>0.890214797136038</v>
      </c>
      <c r="AD393" s="45" t="n"/>
      <c r="AE393" s="45" t="n">
        <v>0.93344817641144</v>
      </c>
      <c r="AF393" s="75">
        <f>IFERROR(AVERAGE(L393:U393),"")</f>
        <v/>
      </c>
      <c r="AG393" s="75">
        <f>IFERROR(AVERAGE(V393:AE393),"")</f>
        <v/>
      </c>
      <c r="AH393" s="75">
        <f>IFERROR(AVERAGE(B393:K393),"")</f>
        <v/>
      </c>
      <c r="AI393" s="45" t="n">
        <v>0.938362121582031</v>
      </c>
      <c r="AJ393" s="47" t="n">
        <v>0</v>
      </c>
    </row>
    <row r="394" ht="15" customHeight="1" s="30">
      <c r="A394" s="73" t="inlineStr">
        <is>
          <t>9067.jpg</t>
        </is>
      </c>
      <c r="B394" s="45" t="n"/>
      <c r="C394" s="45" t="n"/>
      <c r="D394" s="45" t="n">
        <v>0.91641585295807</v>
      </c>
      <c r="E394" s="45" t="n"/>
      <c r="F394" s="45" t="n">
        <v>0.8463097959711861</v>
      </c>
      <c r="G394" s="45" t="n"/>
      <c r="H394" s="45" t="n">
        <v>0.8825099291823399</v>
      </c>
      <c r="I394" s="45" t="n">
        <v>0.801020408163265</v>
      </c>
      <c r="J394" s="45" t="n">
        <v>0.537180910099889</v>
      </c>
      <c r="K394" s="45" t="n">
        <v>0.939515177038866</v>
      </c>
      <c r="L394" s="45" t="n"/>
      <c r="M394" s="45" t="n"/>
      <c r="N394" s="45" t="n">
        <v>0.953709681275853</v>
      </c>
      <c r="O394" s="45" t="n"/>
      <c r="P394" s="45" t="n">
        <v>0.892751512945352</v>
      </c>
      <c r="Q394" s="45" t="n"/>
      <c r="R394" s="45" t="n">
        <v>0.931278412240825</v>
      </c>
      <c r="S394" s="45" t="n">
        <v>0.831567796610169</v>
      </c>
      <c r="T394" s="45" t="n">
        <v>0.8046550290939321</v>
      </c>
      <c r="U394" s="45" t="n">
        <v>0.974427869915686</v>
      </c>
      <c r="V394" s="45" t="n"/>
      <c r="W394" s="45" t="n"/>
      <c r="X394" s="45" t="n">
        <v>0.959075717136743</v>
      </c>
      <c r="Y394" s="45" t="n"/>
      <c r="Z394" s="45" t="n">
        <v>0.94209161624892</v>
      </c>
      <c r="AA394" s="45" t="n"/>
      <c r="AB394" s="45" t="n">
        <v>0.943984894803093</v>
      </c>
      <c r="AC394" s="45" t="n">
        <v>0.956151035322777</v>
      </c>
      <c r="AD394" s="45" t="n">
        <v>0.617740906190172</v>
      </c>
      <c r="AE394" s="45" t="n">
        <v>0.9632653595284359</v>
      </c>
      <c r="AF394" s="75">
        <f>IFERROR(AVERAGE(L394:U394),"")</f>
        <v/>
      </c>
      <c r="AG394" s="75">
        <f>IFERROR(AVERAGE(V394:AE394),"")</f>
        <v/>
      </c>
      <c r="AH394" s="75">
        <f>IFERROR(AVERAGE(B394:K394),"")</f>
        <v/>
      </c>
      <c r="AI394" s="45" t="n">
        <v>0.955558776855469</v>
      </c>
      <c r="AJ394" s="47" t="n">
        <v>0</v>
      </c>
    </row>
    <row r="395" ht="15" customHeight="1" s="30">
      <c r="A395" s="73" t="inlineStr">
        <is>
          <t>9068.jpg</t>
        </is>
      </c>
      <c r="B395" s="45" t="n"/>
      <c r="C395" s="45" t="n"/>
      <c r="D395" s="45" t="n">
        <v>0.939549279427411</v>
      </c>
      <c r="E395" s="45" t="n"/>
      <c r="F395" s="45" t="n">
        <v>0.880004143145683</v>
      </c>
      <c r="G395" s="45" t="n"/>
      <c r="H395" s="45" t="n">
        <v>0.7513711151736751</v>
      </c>
      <c r="I395" s="45" t="n">
        <v>0.755689424364123</v>
      </c>
      <c r="J395" s="45" t="n">
        <v>0.568610634648371</v>
      </c>
      <c r="K395" s="45" t="n">
        <v>0.920454890436493</v>
      </c>
      <c r="L395" s="45" t="n"/>
      <c r="M395" s="45" t="n"/>
      <c r="N395" s="45" t="n">
        <v>0.963594881460173</v>
      </c>
      <c r="O395" s="45" t="n"/>
      <c r="P395" s="45" t="n">
        <v>0.950495049504951</v>
      </c>
      <c r="Q395" s="45" t="n"/>
      <c r="R395" s="45" t="n">
        <v>0.82294396513648</v>
      </c>
      <c r="S395" s="45" t="n">
        <v>0.889676910953507</v>
      </c>
      <c r="T395" s="45" t="n">
        <v>0.858808290155441</v>
      </c>
      <c r="U395" s="45" t="n">
        <v>0.9650514361377061</v>
      </c>
      <c r="V395" s="45" t="n"/>
      <c r="W395" s="45" t="n"/>
      <c r="X395" s="45" t="n">
        <v>0.974127557160048</v>
      </c>
      <c r="Y395" s="45" t="n"/>
      <c r="Z395" s="45" t="n">
        <v>0.922275293095962</v>
      </c>
      <c r="AA395" s="45" t="n"/>
      <c r="AB395" s="45" t="n">
        <v>0.896257576243466</v>
      </c>
      <c r="AC395" s="45" t="n">
        <v>0.833825701624815</v>
      </c>
      <c r="AD395" s="45" t="n">
        <v>0.62724692526017</v>
      </c>
      <c r="AE395" s="45" t="n">
        <v>0.95219491360413</v>
      </c>
      <c r="AF395" s="75">
        <f>IFERROR(AVERAGE(L395:U395),"")</f>
        <v/>
      </c>
      <c r="AG395" s="75">
        <f>IFERROR(AVERAGE(V395:AE395),"")</f>
        <v/>
      </c>
      <c r="AH395" s="75">
        <f>IFERROR(AVERAGE(B395:K395),"")</f>
        <v/>
      </c>
      <c r="AI395" s="45" t="n">
        <v>0.944377899169922</v>
      </c>
      <c r="AJ395" s="47" t="n">
        <v>0</v>
      </c>
    </row>
    <row r="396" ht="15" customHeight="1" s="30">
      <c r="A396" s="73" t="inlineStr">
        <is>
          <t>9082.jpg</t>
        </is>
      </c>
      <c r="B396" s="45" t="n"/>
      <c r="C396" s="45" t="n"/>
      <c r="D396" s="45" t="n">
        <v>0.884594643178141</v>
      </c>
      <c r="E396" s="45" t="n"/>
      <c r="F396" s="45" t="n">
        <v>0.777244551089782</v>
      </c>
      <c r="G396" s="45" t="n">
        <v>0.947794326706472</v>
      </c>
      <c r="H396" s="45" t="n">
        <v>0.902731579477875</v>
      </c>
      <c r="I396" s="45" t="n"/>
      <c r="J396" s="45" t="n"/>
      <c r="K396" s="45" t="n">
        <v>0.908724895793861</v>
      </c>
      <c r="L396" s="45" t="n"/>
      <c r="M396" s="45" t="n"/>
      <c r="N396" s="45" t="n">
        <v>0.9328556263269639</v>
      </c>
      <c r="O396" s="45" t="n"/>
      <c r="P396" s="45" t="n">
        <v>0.980080685829551</v>
      </c>
      <c r="Q396" s="45" t="n">
        <v>0.994355467853701</v>
      </c>
      <c r="R396" s="45" t="n">
        <v>0.942538412965691</v>
      </c>
      <c r="S396" s="45" t="n"/>
      <c r="T396" s="45" t="n"/>
      <c r="U396" s="45" t="n">
        <v>0.945803822325933</v>
      </c>
      <c r="V396" s="45" t="n"/>
      <c r="W396" s="45" t="n"/>
      <c r="X396" s="45" t="n">
        <v>0.944747350637383</v>
      </c>
      <c r="Y396" s="45" t="n"/>
      <c r="Z396" s="45" t="n">
        <v>0.789719626168224</v>
      </c>
      <c r="AA396" s="45" t="n">
        <v>0.952921256899092</v>
      </c>
      <c r="AB396" s="45" t="n">
        <v>0.955306666666667</v>
      </c>
      <c r="AC396" s="45" t="n"/>
      <c r="AD396" s="45" t="n"/>
      <c r="AE396" s="45" t="n">
        <v>0.958642859522303</v>
      </c>
      <c r="AF396" s="75">
        <f>IFERROR(AVERAGE(L396:U396),"")</f>
        <v/>
      </c>
      <c r="AG396" s="75">
        <f>IFERROR(AVERAGE(V396:AE396),"")</f>
        <v/>
      </c>
      <c r="AH396" s="75">
        <f>IFERROR(AVERAGE(B396:K396),"")</f>
        <v/>
      </c>
      <c r="AI396" s="45" t="n">
        <v>0.952262878417969</v>
      </c>
      <c r="AJ396" s="47" t="n">
        <v>0</v>
      </c>
    </row>
    <row r="397" ht="15" customHeight="1" s="30">
      <c r="A397" s="73" t="inlineStr">
        <is>
          <t>9092.jpg</t>
        </is>
      </c>
      <c r="B397" s="45" t="n">
        <v>0</v>
      </c>
      <c r="C397" s="45" t="n"/>
      <c r="D397" s="45" t="n">
        <v>0.907483516675703</v>
      </c>
      <c r="E397" s="45" t="n"/>
      <c r="F397" s="45" t="n">
        <v>0.758116565617055</v>
      </c>
      <c r="G397" s="45" t="n"/>
      <c r="H397" s="45" t="n">
        <v>0.868988310536117</v>
      </c>
      <c r="I397" s="45" t="n">
        <v>0.615676359039191</v>
      </c>
      <c r="J397" s="45" t="n">
        <v>0.822509872751207</v>
      </c>
      <c r="K397" s="45" t="n">
        <v>0</v>
      </c>
      <c r="L397" s="45" t="n"/>
      <c r="M397" s="45" t="n"/>
      <c r="N397" s="45" t="n">
        <v>0.93701356158694</v>
      </c>
      <c r="O397" s="45" t="n"/>
      <c r="P397" s="45" t="n">
        <v>0.808689302665206</v>
      </c>
      <c r="Q397" s="45" t="n"/>
      <c r="R397" s="45" t="n">
        <v>0.928981625272286</v>
      </c>
      <c r="S397" s="45" t="n">
        <v>0.766929133858268</v>
      </c>
      <c r="T397" s="45" t="n">
        <v>0.835524849565411</v>
      </c>
      <c r="U397" s="45" t="n">
        <v>0</v>
      </c>
      <c r="V397" s="45" t="n">
        <v>0</v>
      </c>
      <c r="W397" s="45" t="n"/>
      <c r="X397" s="45" t="n">
        <v>0.966437577992587</v>
      </c>
      <c r="Y397" s="45" t="n"/>
      <c r="Z397" s="45" t="n">
        <v>0.923796472831268</v>
      </c>
      <c r="AA397" s="45" t="n"/>
      <c r="AB397" s="45" t="n">
        <v>0.930824900529465</v>
      </c>
      <c r="AC397" s="45" t="n">
        <v>0.757387247278383</v>
      </c>
      <c r="AD397" s="45" t="n">
        <v>0.981413612565445</v>
      </c>
      <c r="AE397" s="45" t="n"/>
      <c r="AF397" s="75">
        <f>IFERROR(AVERAGE(L397:U397),"")</f>
        <v/>
      </c>
      <c r="AG397" s="75">
        <f>IFERROR(AVERAGE(V397:AE397),"")</f>
        <v/>
      </c>
      <c r="AH397" s="75">
        <f>IFERROR(AVERAGE(B397:K397),"")</f>
        <v/>
      </c>
      <c r="AI397" s="45" t="n">
        <v>0.613262176513672</v>
      </c>
      <c r="AJ397" s="47" t="n">
        <v>0</v>
      </c>
    </row>
    <row r="398" ht="15" customHeight="1" s="30">
      <c r="A398" s="73" t="inlineStr">
        <is>
          <t>9096.jpg</t>
        </is>
      </c>
      <c r="B398" s="45" t="n">
        <v>0.0516667526704164</v>
      </c>
      <c r="C398" s="45" t="n"/>
      <c r="D398" s="45" t="n">
        <v>0.894618523898458</v>
      </c>
      <c r="E398" s="45" t="n"/>
      <c r="F398" s="45" t="n">
        <v>0.818334763948498</v>
      </c>
      <c r="G398" s="45" t="n"/>
      <c r="H398" s="45" t="n">
        <v>0.820478585651638</v>
      </c>
      <c r="I398" s="45" t="n">
        <v>0.698425514735567</v>
      </c>
      <c r="J398" s="45" t="n">
        <v>0.861609195402299</v>
      </c>
      <c r="K398" s="45" t="n">
        <v>0</v>
      </c>
      <c r="L398" s="45" t="n">
        <v>0.931828757561657</v>
      </c>
      <c r="M398" s="45" t="n"/>
      <c r="N398" s="45" t="n">
        <v>0.937549836897427</v>
      </c>
      <c r="O398" s="45" t="n"/>
      <c r="P398" s="45" t="n">
        <v>0.837853514492117</v>
      </c>
      <c r="Q398" s="45" t="n"/>
      <c r="R398" s="45" t="n">
        <v>0.866400894550051</v>
      </c>
      <c r="S398" s="45" t="n">
        <v>0.726890756302521</v>
      </c>
      <c r="T398" s="45" t="n">
        <v>0.9018286814244471</v>
      </c>
      <c r="U398" s="45" t="n">
        <v>0</v>
      </c>
      <c r="V398" s="45" t="n">
        <v>0.0518627869935123</v>
      </c>
      <c r="W398" s="45" t="n"/>
      <c r="X398" s="45" t="n">
        <v>0.951307417895627</v>
      </c>
      <c r="Y398" s="45" t="n"/>
      <c r="Z398" s="45" t="n">
        <v>0.972320244773075</v>
      </c>
      <c r="AA398" s="45" t="n"/>
      <c r="AB398" s="45" t="n">
        <v>0.939319268932256</v>
      </c>
      <c r="AC398" s="45" t="n">
        <v>0.946907498631637</v>
      </c>
      <c r="AD398" s="45" t="n">
        <v>0.950786402841197</v>
      </c>
      <c r="AE398" s="45" t="n"/>
      <c r="AF398" s="75">
        <f>IFERROR(AVERAGE(L398:U398),"")</f>
        <v/>
      </c>
      <c r="AG398" s="75">
        <f>IFERROR(AVERAGE(V398:AE398),"")</f>
        <v/>
      </c>
      <c r="AH398" s="75">
        <f>IFERROR(AVERAGE(B398:K398),"")</f>
        <v/>
      </c>
      <c r="AI398" s="45" t="n">
        <v>0.686740875244141</v>
      </c>
      <c r="AJ398" s="47" t="n">
        <v>0</v>
      </c>
    </row>
    <row r="399" ht="15" customHeight="1" s="30">
      <c r="A399" s="73" t="inlineStr">
        <is>
          <t>9107.jpg</t>
        </is>
      </c>
      <c r="B399" s="45" t="n">
        <v>0</v>
      </c>
      <c r="C399" s="45" t="n"/>
      <c r="D399" s="45" t="n">
        <v>0.884983463514179</v>
      </c>
      <c r="E399" s="45" t="n"/>
      <c r="F399" s="45" t="n">
        <v>0.699804658783003</v>
      </c>
      <c r="G399" s="45" t="n"/>
      <c r="H399" s="45" t="n">
        <v>0.870188488818698</v>
      </c>
      <c r="I399" s="45" t="n">
        <v>0.822766145679741</v>
      </c>
      <c r="J399" s="45" t="n"/>
      <c r="K399" s="45" t="n">
        <v>0.603070589964926</v>
      </c>
      <c r="L399" s="45" t="n">
        <v>0</v>
      </c>
      <c r="M399" s="45" t="n"/>
      <c r="N399" s="45" t="n">
        <v>0.949647621444752</v>
      </c>
      <c r="O399" s="45" t="n"/>
      <c r="P399" s="45" t="n">
        <v>0.784187732429506</v>
      </c>
      <c r="Q399" s="45" t="n"/>
      <c r="R399" s="45" t="n">
        <v>0.8964601003148081</v>
      </c>
      <c r="S399" s="45" t="n">
        <v>0.881795195954488</v>
      </c>
      <c r="T399" s="45" t="n"/>
      <c r="U399" s="45" t="n">
        <v>0.865948912814017</v>
      </c>
      <c r="V399" s="45" t="n"/>
      <c r="W399" s="45" t="n"/>
      <c r="X399" s="45" t="n">
        <v>0.928554728357842</v>
      </c>
      <c r="Y399" s="45" t="n"/>
      <c r="Z399" s="45" t="n">
        <v>0.866727367325702</v>
      </c>
      <c r="AA399" s="45" t="n"/>
      <c r="AB399" s="45" t="n">
        <v>0.967419535811499</v>
      </c>
      <c r="AC399" s="45" t="n">
        <v>0.9247596950613191</v>
      </c>
      <c r="AD399" s="45" t="n"/>
      <c r="AE399" s="45" t="n">
        <v>0.665168643439585</v>
      </c>
      <c r="AF399" s="75">
        <f>IFERROR(AVERAGE(L399:U399),"")</f>
        <v/>
      </c>
      <c r="AG399" s="75">
        <f>IFERROR(AVERAGE(V399:AE399),"")</f>
        <v/>
      </c>
      <c r="AH399" s="75">
        <f>IFERROR(AVERAGE(B399:K399),"")</f>
        <v/>
      </c>
      <c r="AI399" s="45" t="n">
        <v>0.890342712402344</v>
      </c>
      <c r="AJ399" s="47" t="n">
        <v>0</v>
      </c>
    </row>
    <row r="400" ht="15" customHeight="1" s="30">
      <c r="A400" s="73" t="inlineStr">
        <is>
          <t>9109.jpg</t>
        </is>
      </c>
      <c r="B400" s="45" t="n">
        <v>0</v>
      </c>
      <c r="C400" s="45" t="n"/>
      <c r="D400" s="45" t="n">
        <v>0.873071582844801</v>
      </c>
      <c r="E400" s="45" t="n"/>
      <c r="F400" s="45" t="n">
        <v>0.749443320871892</v>
      </c>
      <c r="G400" s="45" t="n"/>
      <c r="H400" s="45" t="n">
        <v>0.850924559423561</v>
      </c>
      <c r="I400" s="45" t="n">
        <v>0.771781899943789</v>
      </c>
      <c r="J400" s="45" t="n"/>
      <c r="K400" s="45" t="n">
        <v>0.396344171997157</v>
      </c>
      <c r="L400" s="45" t="n">
        <v>0</v>
      </c>
      <c r="M400" s="45" t="n"/>
      <c r="N400" s="45" t="n">
        <v>0.940269989615784</v>
      </c>
      <c r="O400" s="45" t="n"/>
      <c r="P400" s="45" t="n">
        <v>0.815371279976885</v>
      </c>
      <c r="Q400" s="45" t="n"/>
      <c r="R400" s="45" t="n">
        <v>0.892143299231806</v>
      </c>
      <c r="S400" s="45" t="n">
        <v>0.805278592375367</v>
      </c>
      <c r="T400" s="45" t="n"/>
      <c r="U400" s="45" t="n">
        <v>0.846818203388222</v>
      </c>
      <c r="V400" s="45" t="n"/>
      <c r="W400" s="45" t="n"/>
      <c r="X400" s="45" t="n">
        <v>0.924336463862801</v>
      </c>
      <c r="Y400" s="45" t="n"/>
      <c r="Z400" s="45" t="n">
        <v>0.902617852573566</v>
      </c>
      <c r="AA400" s="45" t="n"/>
      <c r="AB400" s="45" t="n">
        <v>0.94850009676795</v>
      </c>
      <c r="AC400" s="45" t="n">
        <v>0.948859709744299</v>
      </c>
      <c r="AD400" s="45" t="n"/>
      <c r="AE400" s="45" t="n">
        <v>0.426954732510288</v>
      </c>
      <c r="AF400" s="75">
        <f>IFERROR(AVERAGE(L400:U400),"")</f>
        <v/>
      </c>
      <c r="AG400" s="75">
        <f>IFERROR(AVERAGE(V400:AE400),"")</f>
        <v/>
      </c>
      <c r="AH400" s="75">
        <f>IFERROR(AVERAGE(B400:K400),"")</f>
        <v/>
      </c>
      <c r="AI400" s="45" t="n">
        <v>0.851463317871094</v>
      </c>
      <c r="AJ400" s="47" t="n">
        <v>0</v>
      </c>
    </row>
    <row r="401" ht="15" customHeight="1" s="30">
      <c r="A401" s="73" t="inlineStr">
        <is>
          <t>9112.jpg</t>
        </is>
      </c>
      <c r="B401" s="45" t="n"/>
      <c r="C401" s="45" t="n"/>
      <c r="D401" s="45" t="n">
        <v>0.611167512690355</v>
      </c>
      <c r="E401" s="45" t="n">
        <v>0</v>
      </c>
      <c r="F401" s="45" t="n">
        <v>0.866108359291222</v>
      </c>
      <c r="G401" s="45" t="n">
        <v>0.898574382413756</v>
      </c>
      <c r="H401" s="45" t="n">
        <v>0.952167744550697</v>
      </c>
      <c r="I401" s="45" t="n">
        <v>0.509216589861751</v>
      </c>
      <c r="J401" s="45" t="n"/>
      <c r="K401" s="45" t="n">
        <v>0.947167150507239</v>
      </c>
      <c r="L401" s="45" t="n"/>
      <c r="M401" s="45" t="n"/>
      <c r="N401" s="45" t="n">
        <v>0.664826062948647</v>
      </c>
      <c r="O401" s="45" t="n">
        <v>0</v>
      </c>
      <c r="P401" s="45" t="n">
        <v>0.910242305524995</v>
      </c>
      <c r="Q401" s="45" t="n">
        <v>0.903391684901532</v>
      </c>
      <c r="R401" s="45" t="n">
        <v>0.986409360743668</v>
      </c>
      <c r="S401" s="45" t="n">
        <v>0.671732522796353</v>
      </c>
      <c r="T401" s="45" t="n"/>
      <c r="U401" s="45" t="n">
        <v>0.980534511784512</v>
      </c>
      <c r="V401" s="45" t="n"/>
      <c r="W401" s="45" t="n"/>
      <c r="X401" s="45" t="n">
        <v>0.883345561261922</v>
      </c>
      <c r="Y401" s="45" t="n"/>
      <c r="Z401" s="45" t="n">
        <v>0.946986404622987</v>
      </c>
      <c r="AA401" s="45" t="n">
        <v>0.994100650132434</v>
      </c>
      <c r="AB401" s="45" t="n">
        <v>0.964825152629712</v>
      </c>
      <c r="AC401" s="45" t="n">
        <v>0.677914110429448</v>
      </c>
      <c r="AD401" s="45" t="n"/>
      <c r="AE401" s="45" t="n">
        <v>0.965318106188617</v>
      </c>
      <c r="AF401" s="75">
        <f>IFERROR(AVERAGE(L401:U401),"")</f>
        <v/>
      </c>
      <c r="AG401" s="75">
        <f>IFERROR(AVERAGE(V401:AE401),"")</f>
        <v/>
      </c>
      <c r="AH401" s="75">
        <f>IFERROR(AVERAGE(B401:K401),"")</f>
        <v/>
      </c>
      <c r="AI401" s="45" t="n">
        <v>0.963752746582031</v>
      </c>
      <c r="AJ401" s="47" t="n">
        <v>0</v>
      </c>
    </row>
    <row r="402" ht="15" customHeight="1" s="30">
      <c r="A402" s="73" t="inlineStr">
        <is>
          <t>9113.jpg</t>
        </is>
      </c>
      <c r="B402" s="45" t="n"/>
      <c r="C402" s="45" t="n"/>
      <c r="D402" s="45" t="n">
        <v>0.704</v>
      </c>
      <c r="E402" s="45" t="n"/>
      <c r="F402" s="45" t="n">
        <v>0.836453130304059</v>
      </c>
      <c r="G402" s="45" t="n">
        <v>0.9525104692829079</v>
      </c>
      <c r="H402" s="45" t="n">
        <v>0.956462855285493</v>
      </c>
      <c r="I402" s="45" t="n">
        <v>0</v>
      </c>
      <c r="J402" s="45" t="n"/>
      <c r="K402" s="45" t="n">
        <v>0.940125343829714</v>
      </c>
      <c r="L402" s="45" t="n"/>
      <c r="M402" s="45" t="n"/>
      <c r="N402" s="45" t="n">
        <v>0.790250160359205</v>
      </c>
      <c r="O402" s="45" t="n"/>
      <c r="P402" s="45" t="n">
        <v>0.903441231929604</v>
      </c>
      <c r="Q402" s="45" t="n">
        <v>0.996792265293214</v>
      </c>
      <c r="R402" s="45" t="n">
        <v>0.987103747740361</v>
      </c>
      <c r="S402" s="45" t="n">
        <v>0</v>
      </c>
      <c r="T402" s="45" t="n"/>
      <c r="U402" s="45" t="n">
        <v>0.9652288672200871</v>
      </c>
      <c r="V402" s="45" t="n"/>
      <c r="W402" s="45" t="n"/>
      <c r="X402" s="45" t="n">
        <v>0.865776528460998</v>
      </c>
      <c r="Y402" s="45" t="n"/>
      <c r="Z402" s="45" t="n">
        <v>0.91857275995207</v>
      </c>
      <c r="AA402" s="45" t="n">
        <v>0.955439113112766</v>
      </c>
      <c r="AB402" s="45" t="n">
        <v>0.968565994953004</v>
      </c>
      <c r="AC402" s="45" t="n">
        <v>0</v>
      </c>
      <c r="AD402" s="45" t="n"/>
      <c r="AE402" s="45" t="n">
        <v>0.973080475934428</v>
      </c>
      <c r="AF402" s="75">
        <f>IFERROR(AVERAGE(L402:U402),"")</f>
        <v/>
      </c>
      <c r="AG402" s="75">
        <f>IFERROR(AVERAGE(V402:AE402),"")</f>
        <v/>
      </c>
      <c r="AH402" s="75">
        <f>IFERROR(AVERAGE(B402:K402),"")</f>
        <v/>
      </c>
      <c r="AI402" s="45" t="n">
        <v>0.9609832763671881</v>
      </c>
      <c r="AJ402" s="47" t="n">
        <v>0</v>
      </c>
    </row>
    <row r="403" ht="15" customHeight="1" s="30">
      <c r="A403" s="73" t="inlineStr">
        <is>
          <t>9114.jpg</t>
        </is>
      </c>
      <c r="B403" s="45" t="n"/>
      <c r="C403" s="45" t="n"/>
      <c r="D403" s="45" t="n">
        <v>0.770957095709571</v>
      </c>
      <c r="E403" s="45" t="n"/>
      <c r="F403" s="45" t="n">
        <v>0.819785382029199</v>
      </c>
      <c r="G403" s="45" t="n">
        <v>0.939751146037983</v>
      </c>
      <c r="H403" s="45" t="n">
        <v>0.952756330651693</v>
      </c>
      <c r="I403" s="45" t="n">
        <v>0.878338278931751</v>
      </c>
      <c r="J403" s="45" t="n"/>
      <c r="K403" s="45" t="n">
        <v>0.918279646777019</v>
      </c>
      <c r="L403" s="45" t="n"/>
      <c r="M403" s="45" t="n"/>
      <c r="N403" s="45" t="n">
        <v>0.914643696162882</v>
      </c>
      <c r="O403" s="45" t="n"/>
      <c r="P403" s="45" t="n">
        <v>0.869522739485125</v>
      </c>
      <c r="Q403" s="45" t="n">
        <v>0.969535040845157</v>
      </c>
      <c r="R403" s="45" t="n">
        <v>0.9834841250673449</v>
      </c>
      <c r="S403" s="45" t="n">
        <v>0.951768488745981</v>
      </c>
      <c r="T403" s="45" t="n"/>
      <c r="U403" s="45" t="n">
        <v>0.963978232313755</v>
      </c>
      <c r="V403" s="45" t="n"/>
      <c r="W403" s="45" t="n"/>
      <c r="X403" s="45" t="n">
        <v>0.83072546230441</v>
      </c>
      <c r="Y403" s="45" t="n"/>
      <c r="Z403" s="45" t="n">
        <v>0.93477575884886</v>
      </c>
      <c r="AA403" s="45" t="n">
        <v>0.968345500276057</v>
      </c>
      <c r="AB403" s="45" t="n">
        <v>0.968248161831949</v>
      </c>
      <c r="AC403" s="45" t="n">
        <v>0.919254658385093</v>
      </c>
      <c r="AD403" s="45" t="n"/>
      <c r="AE403" s="45" t="n">
        <v>0.95090925245824</v>
      </c>
      <c r="AF403" s="75">
        <f>IFERROR(AVERAGE(L403:U403),"")</f>
        <v/>
      </c>
      <c r="AG403" s="75">
        <f>IFERROR(AVERAGE(V403:AE403),"")</f>
        <v/>
      </c>
      <c r="AH403" s="75">
        <f>IFERROR(AVERAGE(B403:K403),"")</f>
        <v/>
      </c>
      <c r="AI403" s="45" t="n">
        <v>0.953666687011719</v>
      </c>
      <c r="AJ403" s="47" t="n">
        <v>0</v>
      </c>
    </row>
    <row r="404" ht="15" customHeight="1" s="30">
      <c r="A404" s="73" t="inlineStr">
        <is>
          <t>9231.jpg</t>
        </is>
      </c>
      <c r="B404" s="45" t="n">
        <v>0</v>
      </c>
      <c r="C404" s="45" t="n"/>
      <c r="D404" s="45" t="n">
        <v>0.770858656693159</v>
      </c>
      <c r="E404" s="45" t="n"/>
      <c r="F404" s="45" t="n">
        <v>0.822846418775392</v>
      </c>
      <c r="G404" s="45" t="n">
        <v>0</v>
      </c>
      <c r="H404" s="45" t="n">
        <v>0.619776411864197</v>
      </c>
      <c r="I404" s="45" t="n">
        <v>0</v>
      </c>
      <c r="J404" s="45" t="n"/>
      <c r="K404" s="45" t="n">
        <v>0.487908851340877</v>
      </c>
      <c r="L404" s="45" t="n"/>
      <c r="M404" s="45" t="n"/>
      <c r="N404" s="45" t="n">
        <v>0.962785628089844</v>
      </c>
      <c r="O404" s="45" t="n"/>
      <c r="P404" s="45" t="n">
        <v>0.877865786578658</v>
      </c>
      <c r="Q404" s="45" t="n">
        <v>0</v>
      </c>
      <c r="R404" s="45" t="n">
        <v>0.9253510716925351</v>
      </c>
      <c r="S404" s="45" t="n">
        <v>0</v>
      </c>
      <c r="T404" s="45" t="n"/>
      <c r="U404" s="45" t="n">
        <v>0.520204941740352</v>
      </c>
      <c r="V404" s="45" t="n">
        <v>0</v>
      </c>
      <c r="W404" s="45" t="n"/>
      <c r="X404" s="45" t="n">
        <v>0.794532429567285</v>
      </c>
      <c r="Y404" s="45" t="n"/>
      <c r="Z404" s="45" t="n">
        <v>0.929223531603708</v>
      </c>
      <c r="AA404" s="45" t="n"/>
      <c r="AB404" s="45" t="n">
        <v>0.652394806548265</v>
      </c>
      <c r="AC404" s="45" t="n"/>
      <c r="AD404" s="45" t="n"/>
      <c r="AE404" s="45" t="n">
        <v>0.887119503945885</v>
      </c>
      <c r="AF404" s="75">
        <f>IFERROR(AVERAGE(L404:U404),"")</f>
        <v/>
      </c>
      <c r="AG404" s="75">
        <f>IFERROR(AVERAGE(V404:AE404),"")</f>
        <v/>
      </c>
      <c r="AH404" s="75">
        <f>IFERROR(AVERAGE(B404:K404),"")</f>
        <v/>
      </c>
      <c r="AI404" s="45" t="n">
        <v>0.399917602539063</v>
      </c>
      <c r="AJ404" s="47" t="n">
        <v>0</v>
      </c>
    </row>
    <row r="405" ht="15" customHeight="1" s="30">
      <c r="A405" s="73" t="inlineStr">
        <is>
          <t>9344.jpg</t>
        </is>
      </c>
      <c r="B405" s="45" t="n"/>
      <c r="C405" s="45" t="n"/>
      <c r="D405" s="45" t="n">
        <v>0.70555422742848</v>
      </c>
      <c r="E405" s="45" t="n"/>
      <c r="F405" s="45" t="n">
        <v>0.529745544817803</v>
      </c>
      <c r="G405" s="45" t="n">
        <v>0.340048353371668</v>
      </c>
      <c r="H405" s="45" t="n">
        <v>0.71386558882756</v>
      </c>
      <c r="I405" s="45" t="n">
        <v>0.031986531986532</v>
      </c>
      <c r="J405" s="45" t="n">
        <v>0.706896551724138</v>
      </c>
      <c r="K405" s="45" t="n">
        <v>0</v>
      </c>
      <c r="L405" s="45" t="n"/>
      <c r="M405" s="45" t="n"/>
      <c r="N405" s="45" t="n">
        <v>0.798472915288884</v>
      </c>
      <c r="O405" s="45" t="n"/>
      <c r="P405" s="45" t="n">
        <v>0.767304481828689</v>
      </c>
      <c r="Q405" s="45" t="n">
        <v>1</v>
      </c>
      <c r="R405" s="45" t="n">
        <v>0.8154497914873901</v>
      </c>
      <c r="S405" s="45" t="n">
        <v>0.542857142857143</v>
      </c>
      <c r="T405" s="45" t="n">
        <v>0.809876543209877</v>
      </c>
      <c r="U405" s="45" t="n">
        <v>0</v>
      </c>
      <c r="V405" s="45" t="n"/>
      <c r="W405" s="45" t="n"/>
      <c r="X405" s="45" t="n">
        <v>0.858417089487122</v>
      </c>
      <c r="Y405" s="45" t="n"/>
      <c r="Z405" s="45" t="n">
        <v>0.631139748600401</v>
      </c>
      <c r="AA405" s="45" t="n">
        <v>0.340048353371668</v>
      </c>
      <c r="AB405" s="45" t="n">
        <v>0.851421166306696</v>
      </c>
      <c r="AC405" s="45" t="n">
        <v>0.0328719723183391</v>
      </c>
      <c r="AD405" s="45" t="n">
        <v>0.847545219638243</v>
      </c>
      <c r="AE405" s="45" t="n"/>
      <c r="AF405" s="75">
        <f>IFERROR(AVERAGE(L405:U405),"")</f>
        <v/>
      </c>
      <c r="AG405" s="75">
        <f>IFERROR(AVERAGE(V405:AE405),"")</f>
        <v/>
      </c>
      <c r="AH405" s="75">
        <f>IFERROR(AVERAGE(B405:K405),"")</f>
        <v/>
      </c>
      <c r="AI405" s="45" t="n">
        <v>0.535980224609375</v>
      </c>
      <c r="AJ405" s="47" t="n">
        <v>0</v>
      </c>
    </row>
    <row r="406" ht="15" customHeight="1" s="30">
      <c r="A406" s="73" t="inlineStr">
        <is>
          <t>9348.jpg</t>
        </is>
      </c>
      <c r="B406" s="45" t="n"/>
      <c r="C406" s="45" t="n"/>
      <c r="D406" s="45" t="n">
        <v>0.677786326665201</v>
      </c>
      <c r="E406" s="45" t="n"/>
      <c r="F406" s="45" t="n">
        <v>0.479522046990666</v>
      </c>
      <c r="G406" s="45" t="n">
        <v>0.695950630547349</v>
      </c>
      <c r="H406" s="45" t="n">
        <v>0.703182954097067</v>
      </c>
      <c r="I406" s="45" t="n">
        <v>0.39262187088274</v>
      </c>
      <c r="J406" s="45" t="n">
        <v>0.618483412322275</v>
      </c>
      <c r="K406" s="45" t="n">
        <v>0</v>
      </c>
      <c r="L406" s="45" t="n"/>
      <c r="M406" s="45" t="n"/>
      <c r="N406" s="45" t="n">
        <v>0.763653250773994</v>
      </c>
      <c r="O406" s="45" t="n"/>
      <c r="P406" s="45" t="n">
        <v>0.741231343283582</v>
      </c>
      <c r="Q406" s="45" t="n">
        <v>0.94823154956427</v>
      </c>
      <c r="R406" s="45" t="n">
        <v>0.745045848546504</v>
      </c>
      <c r="S406" s="45" t="n">
        <v>0.599597585513079</v>
      </c>
      <c r="T406" s="45" t="n">
        <v>0.861386138613861</v>
      </c>
      <c r="U406" s="45" t="n">
        <v>0</v>
      </c>
      <c r="V406" s="45" t="n"/>
      <c r="W406" s="45" t="n"/>
      <c r="X406" s="45" t="n">
        <v>0.857709159190486</v>
      </c>
      <c r="Y406" s="45" t="n"/>
      <c r="Z406" s="45" t="n">
        <v>0.57593621647741</v>
      </c>
      <c r="AA406" s="45" t="n">
        <v>0.723437824641596</v>
      </c>
      <c r="AB406" s="45" t="n">
        <v>0.926006755001299</v>
      </c>
      <c r="AC406" s="45" t="n">
        <v>0.532142857142857</v>
      </c>
      <c r="AD406" s="45" t="n">
        <v>0.686842105263158</v>
      </c>
      <c r="AE406" s="45" t="n"/>
      <c r="AF406" s="75">
        <f>IFERROR(AVERAGE(L406:U406),"")</f>
        <v/>
      </c>
      <c r="AG406" s="75">
        <f>IFERROR(AVERAGE(V406:AE406),"")</f>
        <v/>
      </c>
      <c r="AH406" s="75">
        <f>IFERROR(AVERAGE(B406:K406),"")</f>
        <v/>
      </c>
      <c r="AI406" s="45" t="n">
        <v>0.7706756591796881</v>
      </c>
      <c r="AJ406" s="47" t="n">
        <v>0</v>
      </c>
    </row>
    <row r="407" ht="15" customHeight="1" s="30">
      <c r="A407" s="73" t="inlineStr">
        <is>
          <t>9367.jpg</t>
        </is>
      </c>
      <c r="B407" s="45" t="n"/>
      <c r="C407" s="45" t="n"/>
      <c r="D407" s="45" t="n">
        <v>0.77321553422742</v>
      </c>
      <c r="E407" s="45" t="n"/>
      <c r="F407" s="45" t="n">
        <v>0.749823943661972</v>
      </c>
      <c r="G407" s="45" t="n">
        <v>0.315444607603198</v>
      </c>
      <c r="H407" s="45" t="n">
        <v>0.808706691784749</v>
      </c>
      <c r="I407" s="45" t="n">
        <v>0.334816462736374</v>
      </c>
      <c r="J407" s="45" t="n"/>
      <c r="K407" s="45" t="n">
        <v>0.00628544236031249</v>
      </c>
      <c r="L407" s="45" t="n"/>
      <c r="M407" s="45" t="n"/>
      <c r="N407" s="45" t="n">
        <v>0.886855726470803</v>
      </c>
      <c r="O407" s="45" t="n"/>
      <c r="P407" s="45" t="n">
        <v>0.886337622697791</v>
      </c>
      <c r="Q407" s="45" t="n">
        <v>0.319963458470419</v>
      </c>
      <c r="R407" s="45" t="n">
        <v>0.885237817725378</v>
      </c>
      <c r="S407" s="45" t="n">
        <v>0.546279491833031</v>
      </c>
      <c r="T407" s="45" t="n"/>
      <c r="U407" s="45" t="n">
        <v>0.596425211665099</v>
      </c>
      <c r="V407" s="45" t="n"/>
      <c r="W407" s="45" t="n"/>
      <c r="X407" s="45" t="n">
        <v>0.8578379521895489</v>
      </c>
      <c r="Y407" s="45" t="n"/>
      <c r="Z407" s="45" t="n">
        <v>0.829594520014284</v>
      </c>
      <c r="AA407" s="45" t="n">
        <v>0.9571468176957501</v>
      </c>
      <c r="AB407" s="45" t="n">
        <v>0.903422088022692</v>
      </c>
      <c r="AC407" s="45" t="n">
        <v>0.463790446841294</v>
      </c>
      <c r="AD407" s="45" t="n"/>
      <c r="AE407" s="45" t="n">
        <v>0.00631228905106582</v>
      </c>
      <c r="AF407" s="75">
        <f>IFERROR(AVERAGE(L407:U407),"")</f>
        <v/>
      </c>
      <c r="AG407" s="75">
        <f>IFERROR(AVERAGE(V407:AE407),"")</f>
        <v/>
      </c>
      <c r="AH407" s="75">
        <f>IFERROR(AVERAGE(B407:K407),"")</f>
        <v/>
      </c>
      <c r="AI407" s="45" t="n">
        <v>0.557819366455078</v>
      </c>
      <c r="AJ407" s="47" t="n">
        <v>0</v>
      </c>
    </row>
    <row r="408" ht="15" customHeight="1" s="30">
      <c r="A408" s="73" t="inlineStr">
        <is>
          <t>9539.jpg</t>
        </is>
      </c>
      <c r="B408" s="45" t="n"/>
      <c r="C408" s="45" t="n"/>
      <c r="D408" s="45" t="n">
        <v>0.666849069744304</v>
      </c>
      <c r="E408" s="45" t="n"/>
      <c r="F408" s="45" t="n"/>
      <c r="G408" s="45" t="n">
        <v>0.973210801284069</v>
      </c>
      <c r="H408" s="45" t="n">
        <v>0.745097089729311</v>
      </c>
      <c r="I408" s="45" t="n"/>
      <c r="J408" s="45" t="n">
        <v>0.288948465892166</v>
      </c>
      <c r="K408" s="45" t="n">
        <v>0.91553777751342</v>
      </c>
      <c r="L408" s="45" t="n"/>
      <c r="M408" s="45" t="n"/>
      <c r="N408" s="45" t="n">
        <v>0.7506439690894841</v>
      </c>
      <c r="O408" s="45" t="n"/>
      <c r="P408" s="45" t="n"/>
      <c r="Q408" s="45" t="n">
        <v>0.998011902763972</v>
      </c>
      <c r="R408" s="45" t="n">
        <v>0.886067202211281</v>
      </c>
      <c r="S408" s="45" t="n"/>
      <c r="T408" s="45" t="n">
        <v>0.412941677309493</v>
      </c>
      <c r="U408" s="45" t="n">
        <v>0.94907703572392</v>
      </c>
      <c r="V408" s="45" t="n"/>
      <c r="W408" s="45" t="n"/>
      <c r="X408" s="45" t="n">
        <v>0.856604255862995</v>
      </c>
      <c r="Y408" s="45" t="n"/>
      <c r="Z408" s="45" t="n"/>
      <c r="AA408" s="45" t="n">
        <v>0.975101222234836</v>
      </c>
      <c r="AB408" s="45" t="n">
        <v>0.824046057035748</v>
      </c>
      <c r="AC408" s="45" t="n"/>
      <c r="AD408" s="45" t="n">
        <v>0.490394337714864</v>
      </c>
      <c r="AE408" s="45" t="n">
        <v>0.962835539639224</v>
      </c>
      <c r="AF408" s="75">
        <f>IFERROR(AVERAGE(L408:U408),"")</f>
        <v/>
      </c>
      <c r="AG408" s="75">
        <f>IFERROR(AVERAGE(V408:AE408),"")</f>
        <v/>
      </c>
      <c r="AH408" s="75">
        <f>IFERROR(AVERAGE(B408:K408),"")</f>
        <v/>
      </c>
      <c r="AI408" s="45" t="n">
        <v>0.936866760253906</v>
      </c>
      <c r="AJ408" s="47" t="n">
        <v>0</v>
      </c>
    </row>
    <row r="409" ht="15" customHeight="1" s="30">
      <c r="A409" s="73" t="inlineStr">
        <is>
          <t>9721.jpg</t>
        </is>
      </c>
      <c r="B409" s="45" t="n"/>
      <c r="C409" s="45" t="n"/>
      <c r="D409" s="45" t="n">
        <v>0.850949129284151</v>
      </c>
      <c r="E409" s="45" t="n"/>
      <c r="F409" s="45" t="n">
        <v>0.801970945544134</v>
      </c>
      <c r="G409" s="45" t="n"/>
      <c r="H409" s="45" t="n">
        <v>0.844675407347558</v>
      </c>
      <c r="I409" s="45" t="n">
        <v>0.795402298850575</v>
      </c>
      <c r="J409" s="45" t="n"/>
      <c r="K409" s="45" t="n">
        <v>0.900442406223483</v>
      </c>
      <c r="L409" s="45" t="n"/>
      <c r="M409" s="45" t="n"/>
      <c r="N409" s="45" t="n">
        <v>0.862046139079204</v>
      </c>
      <c r="O409" s="45" t="n"/>
      <c r="P409" s="45" t="n">
        <v>0.940426379756924</v>
      </c>
      <c r="Q409" s="45" t="n"/>
      <c r="R409" s="45" t="n">
        <v>0.889781549016068</v>
      </c>
      <c r="S409" s="45" t="n">
        <v>0.848039215686275</v>
      </c>
      <c r="T409" s="45" t="n"/>
      <c r="U409" s="45" t="n">
        <v>0.97128344151534</v>
      </c>
      <c r="V409" s="45" t="n"/>
      <c r="W409" s="45" t="n"/>
      <c r="X409" s="45" t="n">
        <v>0.9850977722304169</v>
      </c>
      <c r="Y409" s="45" t="n"/>
      <c r="Z409" s="45" t="n">
        <v>0.844893940750022</v>
      </c>
      <c r="AA409" s="45" t="n"/>
      <c r="AB409" s="45" t="n">
        <v>0.943382554006016</v>
      </c>
      <c r="AC409" s="45" t="n">
        <v>0.927613941018767</v>
      </c>
      <c r="AD409" s="45" t="n"/>
      <c r="AE409" s="45" t="n">
        <v>0.925069706467562</v>
      </c>
      <c r="AF409" s="75">
        <f>IFERROR(AVERAGE(L409:U409),"")</f>
        <v/>
      </c>
      <c r="AG409" s="75">
        <f>IFERROR(AVERAGE(V409:AE409),"")</f>
        <v/>
      </c>
      <c r="AH409" s="75">
        <f>IFERROR(AVERAGE(B409:K409),"")</f>
        <v/>
      </c>
      <c r="AI409" s="45" t="n">
        <v>0.932826995849609</v>
      </c>
      <c r="AJ409" s="47" t="n">
        <v>0</v>
      </c>
    </row>
    <row r="410" ht="15" customHeight="1" s="30">
      <c r="A410" s="73" t="inlineStr">
        <is>
          <t>9872.jpg</t>
        </is>
      </c>
      <c r="B410" s="45" t="n"/>
      <c r="C410" s="45" t="n"/>
      <c r="D410" s="45" t="n">
        <v>0.8228113925712039</v>
      </c>
      <c r="E410" s="45" t="n"/>
      <c r="F410" s="45" t="n">
        <v>0.874067404167739</v>
      </c>
      <c r="G410" s="45" t="n"/>
      <c r="H410" s="45" t="n">
        <v>0.937567334626158</v>
      </c>
      <c r="I410" s="45" t="n"/>
      <c r="J410" s="45" t="n"/>
      <c r="K410" s="45" t="n">
        <v>0.974238268029904</v>
      </c>
      <c r="L410" s="45" t="n"/>
      <c r="M410" s="45" t="n"/>
      <c r="N410" s="45" t="n">
        <v>0.961798097575944</v>
      </c>
      <c r="O410" s="45" t="n"/>
      <c r="P410" s="45" t="n">
        <v>0.978683566181766</v>
      </c>
      <c r="Q410" s="45" t="n"/>
      <c r="R410" s="45" t="n">
        <v>0.95324594713013</v>
      </c>
      <c r="S410" s="45" t="n"/>
      <c r="T410" s="45" t="n"/>
      <c r="U410" s="45" t="n">
        <v>0.987230992176662</v>
      </c>
      <c r="V410" s="45" t="n"/>
      <c r="W410" s="45" t="n"/>
      <c r="X410" s="45" t="n">
        <v>0.8506105834464039</v>
      </c>
      <c r="Y410" s="45" t="n"/>
      <c r="Z410" s="45" t="n">
        <v>0.891030684500393</v>
      </c>
      <c r="AA410" s="45" t="n"/>
      <c r="AB410" s="45" t="n">
        <v>0.982759594210536</v>
      </c>
      <c r="AC410" s="45" t="n"/>
      <c r="AD410" s="45" t="n"/>
      <c r="AE410" s="45" t="n">
        <v>0.986671271074184</v>
      </c>
      <c r="AF410" s="75">
        <f>IFERROR(AVERAGE(L410:U410),"")</f>
        <v/>
      </c>
      <c r="AG410" s="75">
        <f>IFERROR(AVERAGE(V410:AE410),"")</f>
        <v/>
      </c>
      <c r="AH410" s="75">
        <f>IFERROR(AVERAGE(B410:K410),"")</f>
        <v/>
      </c>
      <c r="AI410" s="45" t="n">
        <v>0.979270935058594</v>
      </c>
      <c r="AJ410" s="47" t="n">
        <v>0</v>
      </c>
    </row>
    <row r="411" ht="15" customHeight="1" s="30">
      <c r="A411" s="73" t="inlineStr">
        <is>
          <t>9878.jpg</t>
        </is>
      </c>
      <c r="B411" s="45" t="n"/>
      <c r="C411" s="45" t="n"/>
      <c r="D411" s="45" t="n">
        <v>0.8998650472334681</v>
      </c>
      <c r="E411" s="45" t="n"/>
      <c r="F411" s="45" t="n">
        <v>0</v>
      </c>
      <c r="G411" s="45" t="n"/>
      <c r="H411" s="45" t="n">
        <v>0.929145368511478</v>
      </c>
      <c r="I411" s="45" t="n"/>
      <c r="J411" s="45" t="n"/>
      <c r="K411" s="45" t="n">
        <v>0.752066510583401</v>
      </c>
      <c r="L411" s="45" t="n"/>
      <c r="M411" s="45" t="n"/>
      <c r="N411" s="45" t="n">
        <v>0.9672178706121271</v>
      </c>
      <c r="O411" s="45" t="n"/>
      <c r="P411" s="45" t="n">
        <v>0</v>
      </c>
      <c r="Q411" s="45" t="n"/>
      <c r="R411" s="45" t="n">
        <v>0.9604242605611349</v>
      </c>
      <c r="S411" s="45" t="n"/>
      <c r="T411" s="45" t="n"/>
      <c r="U411" s="45" t="n">
        <v>0.8730378834100621</v>
      </c>
      <c r="V411" s="45" t="n"/>
      <c r="W411" s="45" t="n"/>
      <c r="X411" s="45" t="n">
        <v>0.928173719376392</v>
      </c>
      <c r="Y411" s="45" t="n"/>
      <c r="Z411" s="45" t="n"/>
      <c r="AA411" s="45" t="n"/>
      <c r="AB411" s="45" t="n">
        <v>0.966135654783055</v>
      </c>
      <c r="AC411" s="45" t="n"/>
      <c r="AD411" s="45" t="n"/>
      <c r="AE411" s="45" t="n">
        <v>0.844420600858369</v>
      </c>
      <c r="AF411" s="75">
        <f>IFERROR(AVERAGE(L411:U411),"")</f>
        <v/>
      </c>
      <c r="AG411" s="75">
        <f>IFERROR(AVERAGE(V411:AE411),"")</f>
        <v/>
      </c>
      <c r="AH411" s="75">
        <f>IFERROR(AVERAGE(B411:K411),"")</f>
        <v/>
      </c>
      <c r="AI411" s="45" t="n">
        <v>0.9396514892578131</v>
      </c>
      <c r="AJ411" s="47" t="n">
        <v>0</v>
      </c>
    </row>
    <row r="412" ht="15" customHeight="1" s="30">
      <c r="A412" s="73" t="inlineStr">
        <is>
          <t>9883.jpg</t>
        </is>
      </c>
      <c r="B412" s="45" t="n"/>
      <c r="C412" s="45" t="n"/>
      <c r="D412" s="45" t="n"/>
      <c r="E412" s="45" t="n"/>
      <c r="F412" s="45" t="n"/>
      <c r="G412" s="45" t="n"/>
      <c r="H412" s="45" t="n">
        <v>0.916553447458295</v>
      </c>
      <c r="I412" s="45" t="n"/>
      <c r="J412" s="45" t="n"/>
      <c r="K412" s="45" t="n">
        <v>0.826203712950942</v>
      </c>
      <c r="L412" s="45" t="n"/>
      <c r="M412" s="45" t="n"/>
      <c r="N412" s="45" t="n"/>
      <c r="O412" s="45" t="n"/>
      <c r="P412" s="45" t="n"/>
      <c r="Q412" s="45" t="n"/>
      <c r="R412" s="45" t="n">
        <v>0.939037637490106</v>
      </c>
      <c r="S412" s="45" t="n"/>
      <c r="T412" s="45" t="n"/>
      <c r="U412" s="45" t="n">
        <v>0.943077176405021</v>
      </c>
      <c r="V412" s="45" t="n"/>
      <c r="W412" s="45" t="n"/>
      <c r="X412" s="45" t="n"/>
      <c r="Y412" s="45" t="n"/>
      <c r="Z412" s="45" t="n"/>
      <c r="AA412" s="45" t="n"/>
      <c r="AB412" s="45" t="n">
        <v>0.974541272709763</v>
      </c>
      <c r="AC412" s="45" t="n"/>
      <c r="AD412" s="45" t="n"/>
      <c r="AE412" s="45" t="n">
        <v>0.869567756327155</v>
      </c>
      <c r="AF412" s="75">
        <f>IFERROR(AVERAGE(L412:U412),"")</f>
        <v/>
      </c>
      <c r="AG412" s="75">
        <f>IFERROR(AVERAGE(V412:AE412),"")</f>
        <v/>
      </c>
      <c r="AH412" s="75">
        <f>IFERROR(AVERAGE(B412:K412),"")</f>
        <v/>
      </c>
      <c r="AI412" s="45" t="n">
        <v>0.940254211425781</v>
      </c>
      <c r="AJ412" s="47" t="n">
        <v>0</v>
      </c>
    </row>
    <row r="413" ht="15" customHeight="1" s="30">
      <c r="A413" s="73" t="inlineStr">
        <is>
          <t>9886.jpg</t>
        </is>
      </c>
      <c r="B413" s="45" t="n"/>
      <c r="C413" s="45" t="n"/>
      <c r="D413" s="45" t="n"/>
      <c r="E413" s="45" t="n"/>
      <c r="F413" s="45" t="n"/>
      <c r="G413" s="45" t="n"/>
      <c r="H413" s="45" t="n">
        <v>0.919443366413483</v>
      </c>
      <c r="I413" s="45" t="n"/>
      <c r="J413" s="45" t="n"/>
      <c r="K413" s="45" t="n">
        <v>0.79951078775715</v>
      </c>
      <c r="L413" s="45" t="n"/>
      <c r="M413" s="45" t="n"/>
      <c r="N413" s="45" t="n"/>
      <c r="O413" s="45" t="n"/>
      <c r="P413" s="45" t="n"/>
      <c r="Q413" s="45" t="n"/>
      <c r="R413" s="45" t="n">
        <v>0.968660726612364</v>
      </c>
      <c r="S413" s="45" t="n"/>
      <c r="T413" s="45" t="n"/>
      <c r="U413" s="45" t="n">
        <v>0.863434392695549</v>
      </c>
      <c r="V413" s="45" t="n"/>
      <c r="W413" s="45" t="n"/>
      <c r="X413" s="45" t="n"/>
      <c r="Y413" s="45" t="n"/>
      <c r="Z413" s="45" t="n"/>
      <c r="AA413" s="45" t="n"/>
      <c r="AB413" s="45" t="n">
        <v>0.94763252902522</v>
      </c>
      <c r="AC413" s="45" t="n"/>
      <c r="AD413" s="45" t="n"/>
      <c r="AE413" s="45" t="n">
        <v>0.915248639411824</v>
      </c>
      <c r="AF413" s="75">
        <f>IFERROR(AVERAGE(L413:U413),"")</f>
        <v/>
      </c>
      <c r="AG413" s="75">
        <f>IFERROR(AVERAGE(V413:AE413),"")</f>
        <v/>
      </c>
      <c r="AH413" s="75">
        <f>IFERROR(AVERAGE(B413:K413),"")</f>
        <v/>
      </c>
      <c r="AI413" s="45" t="n">
        <v>0.939029693603516</v>
      </c>
      <c r="AJ413" s="47" t="n">
        <v>0</v>
      </c>
    </row>
    <row r="414" ht="15" customHeight="1" s="30">
      <c r="A414" s="73" t="inlineStr">
        <is>
          <t>9889.jpg</t>
        </is>
      </c>
      <c r="B414" s="45" t="n">
        <v>0.891131839064458</v>
      </c>
      <c r="C414" s="45" t="n"/>
      <c r="D414" s="45" t="n"/>
      <c r="E414" s="45" t="n"/>
      <c r="F414" s="45" t="n"/>
      <c r="G414" s="45" t="n"/>
      <c r="H414" s="45" t="n">
        <v>0.886225607327758</v>
      </c>
      <c r="I414" s="45" t="n"/>
      <c r="J414" s="45" t="n"/>
      <c r="K414" s="45" t="n">
        <v>0.831755248272637</v>
      </c>
      <c r="L414" s="45" t="n">
        <v>0.906785663691741</v>
      </c>
      <c r="M414" s="45" t="n"/>
      <c r="N414" s="45" t="n"/>
      <c r="O414" s="45" t="n"/>
      <c r="P414" s="45" t="n"/>
      <c r="Q414" s="45" t="n"/>
      <c r="R414" s="45" t="n">
        <v>0.933546585560901</v>
      </c>
      <c r="S414" s="45" t="n"/>
      <c r="T414" s="45" t="n"/>
      <c r="U414" s="45" t="n">
        <v>0.919338320637491</v>
      </c>
      <c r="V414" s="45" t="n">
        <v>0.980996168582376</v>
      </c>
      <c r="W414" s="45" t="n"/>
      <c r="X414" s="45" t="n"/>
      <c r="Y414" s="45" t="n"/>
      <c r="Z414" s="45" t="n"/>
      <c r="AA414" s="45" t="n"/>
      <c r="AB414" s="45" t="n">
        <v>0.945897480174807</v>
      </c>
      <c r="AC414" s="45" t="n"/>
      <c r="AD414" s="45" t="n"/>
      <c r="AE414" s="45" t="n">
        <v>0.897232825335783</v>
      </c>
      <c r="AF414" s="75">
        <f>IFERROR(AVERAGE(L414:U414),"")</f>
        <v/>
      </c>
      <c r="AG414" s="75">
        <f>IFERROR(AVERAGE(V414:AE414),"")</f>
        <v/>
      </c>
      <c r="AH414" s="75">
        <f>IFERROR(AVERAGE(B414:K414),"")</f>
        <v/>
      </c>
      <c r="AI414" s="45" t="n">
        <v>0.927268981933594</v>
      </c>
      <c r="AJ414" s="47" t="n">
        <v>0</v>
      </c>
    </row>
    <row r="415" ht="15" customHeight="1" s="30">
      <c r="A415" s="73" t="inlineStr">
        <is>
          <t>9891.jpg</t>
        </is>
      </c>
      <c r="B415" s="45" t="n">
        <v>0.773996952767903</v>
      </c>
      <c r="C415" s="45" t="n"/>
      <c r="D415" s="45" t="n">
        <v>0.810627017058552</v>
      </c>
      <c r="E415" s="45" t="n"/>
      <c r="F415" s="45" t="n"/>
      <c r="G415" s="45" t="n"/>
      <c r="H415" s="45" t="n">
        <v>0.943683834714849</v>
      </c>
      <c r="I415" s="45" t="n"/>
      <c r="J415" s="45" t="n"/>
      <c r="K415" s="45" t="n">
        <v>0.815999307888628</v>
      </c>
      <c r="L415" s="45" t="n">
        <v>0.947172156619018</v>
      </c>
      <c r="M415" s="45" t="n"/>
      <c r="N415" s="45" t="n">
        <v>0.92808128793877</v>
      </c>
      <c r="O415" s="45" t="n"/>
      <c r="P415" s="45" t="n"/>
      <c r="Q415" s="45" t="n"/>
      <c r="R415" s="45" t="n">
        <v>0.988745405458153</v>
      </c>
      <c r="S415" s="45" t="n"/>
      <c r="T415" s="45" t="n"/>
      <c r="U415" s="45" t="n">
        <v>0.8460457467483929</v>
      </c>
      <c r="V415" s="45" t="n">
        <v>0.808917197452229</v>
      </c>
      <c r="W415" s="45" t="n"/>
      <c r="X415" s="45" t="n">
        <v>0.86496125937769</v>
      </c>
      <c r="Y415" s="45" t="n"/>
      <c r="Z415" s="45" t="n"/>
      <c r="AA415" s="45" t="n"/>
      <c r="AB415" s="45" t="n">
        <v>0.953930644908206</v>
      </c>
      <c r="AC415" s="45" t="n"/>
      <c r="AD415" s="45" t="n"/>
      <c r="AE415" s="45" t="n">
        <v>0.958293116586233</v>
      </c>
      <c r="AF415" s="75">
        <f>IFERROR(AVERAGE(L415:U415),"")</f>
        <v/>
      </c>
      <c r="AG415" s="75">
        <f>IFERROR(AVERAGE(V415:AE415),"")</f>
        <v/>
      </c>
      <c r="AH415" s="75">
        <f>IFERROR(AVERAGE(B415:K415),"")</f>
        <v/>
      </c>
      <c r="AI415" s="45" t="n">
        <v>0.950069427490234</v>
      </c>
      <c r="AJ415" s="47" t="n">
        <v>0</v>
      </c>
    </row>
    <row r="416" ht="15" customHeight="1" s="30">
      <c r="A416" s="73" t="inlineStr">
        <is>
          <t>10163.jpg</t>
        </is>
      </c>
      <c r="B416" s="45" t="n"/>
      <c r="C416" s="45" t="n"/>
      <c r="D416" s="45" t="n"/>
      <c r="E416" s="45" t="n"/>
      <c r="F416" s="45" t="n"/>
      <c r="G416" s="45" t="n">
        <v>0.965538286763995</v>
      </c>
      <c r="H416" s="45" t="n"/>
      <c r="I416" s="45" t="n"/>
      <c r="J416" s="45" t="n"/>
      <c r="K416" s="45" t="n">
        <v>0.944284332594105</v>
      </c>
      <c r="L416" s="45" t="n"/>
      <c r="M416" s="45" t="n"/>
      <c r="N416" s="45" t="n"/>
      <c r="O416" s="45" t="n"/>
      <c r="P416" s="45" t="n"/>
      <c r="Q416" s="45" t="n">
        <v>0.982887055798532</v>
      </c>
      <c r="R416" s="45" t="n"/>
      <c r="S416" s="45" t="n"/>
      <c r="T416" s="45" t="n"/>
      <c r="U416" s="45" t="n">
        <v>0.970665916828183</v>
      </c>
      <c r="V416" s="45" t="n"/>
      <c r="W416" s="45" t="n"/>
      <c r="X416" s="45" t="n"/>
      <c r="Y416" s="45" t="n"/>
      <c r="Z416" s="45" t="n"/>
      <c r="AA416" s="45" t="n">
        <v>0.982047373790764</v>
      </c>
      <c r="AB416" s="45" t="n"/>
      <c r="AC416" s="45" t="n"/>
      <c r="AD416" s="45" t="n"/>
      <c r="AE416" s="45" t="n">
        <v>0.972022767955912</v>
      </c>
      <c r="AF416" s="75">
        <f>IFERROR(AVERAGE(L416:U416),"")</f>
        <v/>
      </c>
      <c r="AG416" s="75">
        <f>IFERROR(AVERAGE(V416:AE416),"")</f>
        <v/>
      </c>
      <c r="AH416" s="75">
        <f>IFERROR(AVERAGE(B416:K416),"")</f>
        <v/>
      </c>
      <c r="AI416" s="45" t="n">
        <v>0.978244781494141</v>
      </c>
      <c r="AJ416" s="47" t="n">
        <v>0</v>
      </c>
    </row>
    <row r="417" ht="15" customHeight="1" s="30">
      <c r="A417" s="73" t="inlineStr">
        <is>
          <t>10164.jpg</t>
        </is>
      </c>
      <c r="B417" s="45" t="n"/>
      <c r="C417" s="45" t="n"/>
      <c r="D417" s="45" t="n"/>
      <c r="E417" s="45" t="n"/>
      <c r="F417" s="45" t="n"/>
      <c r="G417" s="45" t="n">
        <v>0.982817787663778</v>
      </c>
      <c r="H417" s="45" t="n"/>
      <c r="I417" s="45" t="n"/>
      <c r="J417" s="45" t="n"/>
      <c r="K417" s="45" t="n">
        <v>0.970183912316552</v>
      </c>
      <c r="L417" s="45" t="n"/>
      <c r="M417" s="45" t="n"/>
      <c r="N417" s="45" t="n"/>
      <c r="O417" s="45" t="n"/>
      <c r="P417" s="45" t="n"/>
      <c r="Q417" s="45" t="n">
        <v>0.987244974161365</v>
      </c>
      <c r="R417" s="45" t="n"/>
      <c r="S417" s="45" t="n"/>
      <c r="T417" s="45" t="n"/>
      <c r="U417" s="45" t="n">
        <v>0.9920429721715091</v>
      </c>
      <c r="V417" s="45" t="n"/>
      <c r="W417" s="45" t="n"/>
      <c r="X417" s="45" t="n"/>
      <c r="Y417" s="45" t="n"/>
      <c r="Z417" s="45" t="n"/>
      <c r="AA417" s="45" t="n">
        <v>0.995457940772512</v>
      </c>
      <c r="AB417" s="45" t="n"/>
      <c r="AC417" s="45" t="n"/>
      <c r="AD417" s="45" t="n"/>
      <c r="AE417" s="45" t="n">
        <v>0.9777928021635121</v>
      </c>
      <c r="AF417" s="75">
        <f>IFERROR(AVERAGE(L417:U417),"")</f>
        <v/>
      </c>
      <c r="AG417" s="75">
        <f>IFERROR(AVERAGE(V417:AE417),"")</f>
        <v/>
      </c>
      <c r="AH417" s="75">
        <f>IFERROR(AVERAGE(B417:K417),"")</f>
        <v/>
      </c>
      <c r="AI417" s="45" t="n">
        <v>0.988979339599609</v>
      </c>
      <c r="AJ417" s="47" t="n">
        <v>0</v>
      </c>
    </row>
    <row r="418" ht="15" customHeight="1" s="30">
      <c r="A418" s="73" t="inlineStr">
        <is>
          <t>10167.jpg</t>
        </is>
      </c>
      <c r="B418" s="45" t="n"/>
      <c r="C418" s="45" t="n"/>
      <c r="D418" s="45" t="n"/>
      <c r="E418" s="45" t="n"/>
      <c r="F418" s="45" t="n"/>
      <c r="G418" s="45" t="n">
        <v>0.480090539189117</v>
      </c>
      <c r="H418" s="45" t="n">
        <v>0</v>
      </c>
      <c r="I418" s="45" t="n"/>
      <c r="J418" s="45" t="n">
        <v>0.718390804597701</v>
      </c>
      <c r="K418" s="45" t="n">
        <v>0</v>
      </c>
      <c r="L418" s="45" t="n"/>
      <c r="M418" s="45" t="n"/>
      <c r="N418" s="45" t="n"/>
      <c r="O418" s="45" t="n"/>
      <c r="P418" s="45" t="n"/>
      <c r="Q418" s="45" t="n">
        <v>1</v>
      </c>
      <c r="R418" s="45" t="n">
        <v>0</v>
      </c>
      <c r="S418" s="45" t="n"/>
      <c r="T418" s="45" t="n">
        <v>0.886524822695035</v>
      </c>
      <c r="U418" s="45" t="n">
        <v>0</v>
      </c>
      <c r="V418" s="45" t="n"/>
      <c r="W418" s="45" t="n"/>
      <c r="X418" s="45" t="n"/>
      <c r="Y418" s="45" t="n"/>
      <c r="Z418" s="45" t="n"/>
      <c r="AA418" s="45" t="n">
        <v>0.480090539189117</v>
      </c>
      <c r="AB418" s="45" t="n"/>
      <c r="AC418" s="45" t="n"/>
      <c r="AD418" s="45" t="n">
        <v>0.791139240506329</v>
      </c>
      <c r="AE418" s="45" t="n"/>
      <c r="AF418" s="75">
        <f>IFERROR(AVERAGE(L418:U418),"")</f>
        <v/>
      </c>
      <c r="AG418" s="75">
        <f>IFERROR(AVERAGE(V418:AE418),"")</f>
        <v/>
      </c>
      <c r="AH418" s="75">
        <f>IFERROR(AVERAGE(B418:K418),"")</f>
        <v/>
      </c>
      <c r="AI418" s="45" t="n">
        <v>0.480278015136719</v>
      </c>
      <c r="AJ418" s="47" t="n">
        <v>0</v>
      </c>
    </row>
    <row r="419" ht="15" customHeight="1" s="30">
      <c r="A419" s="73" t="inlineStr">
        <is>
          <t>10174.jpg</t>
        </is>
      </c>
      <c r="B419" s="45" t="n"/>
      <c r="C419" s="45" t="n"/>
      <c r="D419" s="45" t="n">
        <v>0.8680702673109419</v>
      </c>
      <c r="E419" s="45" t="n"/>
      <c r="F419" s="45" t="n">
        <v>0.633245382585752</v>
      </c>
      <c r="G419" s="45" t="n"/>
      <c r="H419" s="45" t="n">
        <v>0.912690371919733</v>
      </c>
      <c r="I419" s="45" t="n">
        <v>0.675816993464052</v>
      </c>
      <c r="J419" s="45" t="n">
        <v>0.499006280308451</v>
      </c>
      <c r="K419" s="45" t="n">
        <v>0.579213243450806</v>
      </c>
      <c r="L419" s="45" t="n"/>
      <c r="M419" s="45" t="n"/>
      <c r="N419" s="45" t="n">
        <v>0.893583916298102</v>
      </c>
      <c r="O419" s="45" t="n"/>
      <c r="P419" s="45" t="n">
        <v>0.780722891566265</v>
      </c>
      <c r="Q419" s="45" t="n"/>
      <c r="R419" s="45" t="n">
        <v>0.943893329728086</v>
      </c>
      <c r="S419" s="45" t="n">
        <v>0.762536873156342</v>
      </c>
      <c r="T419" s="45" t="n">
        <v>0.678594594594595</v>
      </c>
      <c r="U419" s="45" t="n">
        <v>0.809748765299549</v>
      </c>
      <c r="V419" s="45" t="n"/>
      <c r="W419" s="45" t="n"/>
      <c r="X419" s="45" t="n">
        <v>0.968155994478072</v>
      </c>
      <c r="Y419" s="45" t="n"/>
      <c r="Z419" s="45" t="n">
        <v>0.770236538690122</v>
      </c>
      <c r="AA419" s="45" t="n"/>
      <c r="AB419" s="45" t="n">
        <v>0.965045960328979</v>
      </c>
      <c r="AC419" s="45" t="n">
        <v>0.855960264900662</v>
      </c>
      <c r="AD419" s="45" t="n">
        <v>0.653445763064751</v>
      </c>
      <c r="AE419" s="45" t="n">
        <v>0.670452974062148</v>
      </c>
      <c r="AF419" s="75">
        <f>IFERROR(AVERAGE(L419:U419),"")</f>
        <v/>
      </c>
      <c r="AG419" s="75">
        <f>IFERROR(AVERAGE(V419:AE419),"")</f>
        <v/>
      </c>
      <c r="AH419" s="75">
        <f>IFERROR(AVERAGE(B419:K419),"")</f>
        <v/>
      </c>
      <c r="AI419" s="45" t="n">
        <v>0.890377044677734</v>
      </c>
      <c r="AJ419" s="47" t="n">
        <v>0</v>
      </c>
    </row>
    <row r="420" ht="15" customHeight="1" s="30">
      <c r="A420" s="73" t="inlineStr">
        <is>
          <t>10183.jpg</t>
        </is>
      </c>
      <c r="B420" s="45" t="n"/>
      <c r="C420" s="45" t="n"/>
      <c r="D420" s="45" t="n"/>
      <c r="E420" s="45" t="n"/>
      <c r="F420" s="45" t="n">
        <v>0.769394714407502</v>
      </c>
      <c r="G420" s="45" t="n"/>
      <c r="H420" s="45" t="n">
        <v>0.955155563802808</v>
      </c>
      <c r="I420" s="45" t="n"/>
      <c r="J420" s="45" t="n"/>
      <c r="K420" s="45" t="n">
        <v>0.987053698022737</v>
      </c>
      <c r="L420" s="45" t="n"/>
      <c r="M420" s="45" t="n"/>
      <c r="N420" s="45" t="n"/>
      <c r="O420" s="45" t="n"/>
      <c r="P420" s="45" t="n">
        <v>0.918107833163784</v>
      </c>
      <c r="Q420" s="45" t="n"/>
      <c r="R420" s="45" t="n">
        <v>0.972066159923202</v>
      </c>
      <c r="S420" s="45" t="n"/>
      <c r="T420" s="45" t="n"/>
      <c r="U420" s="45" t="n">
        <v>0.993466629995382</v>
      </c>
      <c r="V420" s="45" t="n"/>
      <c r="W420" s="45" t="n"/>
      <c r="X420" s="45" t="n"/>
      <c r="Y420" s="45" t="n"/>
      <c r="Z420" s="45" t="n">
        <v>0.826086956521739</v>
      </c>
      <c r="AA420" s="45" t="n"/>
      <c r="AB420" s="45" t="n">
        <v>0.98211247674622</v>
      </c>
      <c r="AC420" s="45" t="n"/>
      <c r="AD420" s="45" t="n"/>
      <c r="AE420" s="45" t="n">
        <v>0.993502719309171</v>
      </c>
      <c r="AF420" s="75">
        <f>IFERROR(AVERAGE(L420:U420),"")</f>
        <v/>
      </c>
      <c r="AG420" s="75">
        <f>IFERROR(AVERAGE(V420:AE420),"")</f>
        <v/>
      </c>
      <c r="AH420" s="75">
        <f>IFERROR(AVERAGE(B420:K420),"")</f>
        <v/>
      </c>
      <c r="AI420" s="45" t="n">
        <v>0.986583709716797</v>
      </c>
      <c r="AJ420" s="47" t="n">
        <v>0</v>
      </c>
    </row>
    <row r="421" ht="15" customHeight="1" s="30">
      <c r="A421" s="73" t="inlineStr">
        <is>
          <t>10808.jpg</t>
        </is>
      </c>
      <c r="B421" s="45" t="n"/>
      <c r="C421" s="45" t="n"/>
      <c r="D421" s="45" t="n">
        <v>0.940170446894058</v>
      </c>
      <c r="E421" s="45" t="n"/>
      <c r="F421" s="45" t="n">
        <v>0.858119239503095</v>
      </c>
      <c r="G421" s="45" t="n"/>
      <c r="H421" s="45" t="n">
        <v>0.92063603813815</v>
      </c>
      <c r="I421" s="45" t="n">
        <v>0.710843373493976</v>
      </c>
      <c r="J421" s="45" t="n"/>
      <c r="K421" s="45" t="n">
        <v>0.8705589903754219</v>
      </c>
      <c r="L421" s="45" t="n"/>
      <c r="M421" s="45" t="n"/>
      <c r="N421" s="45" t="n">
        <v>0.953041205951754</v>
      </c>
      <c r="O421" s="45" t="n"/>
      <c r="P421" s="45" t="n">
        <v>0.9635527335449841</v>
      </c>
      <c r="Q421" s="45" t="n"/>
      <c r="R421" s="45" t="n">
        <v>0.937994425544124</v>
      </c>
      <c r="S421" s="45" t="n">
        <v>0.774405250205086</v>
      </c>
      <c r="T421" s="45" t="n"/>
      <c r="U421" s="45" t="n">
        <v>0.947762126153633</v>
      </c>
      <c r="V421" s="45" t="n"/>
      <c r="W421" s="45" t="n"/>
      <c r="X421" s="45" t="n">
        <v>0.985839065620398</v>
      </c>
      <c r="Y421" s="45" t="n"/>
      <c r="Z421" s="45" t="n">
        <v>0.886907501150483</v>
      </c>
      <c r="AA421" s="45" t="n"/>
      <c r="AB421" s="45" t="n">
        <v>0.980294933441854</v>
      </c>
      <c r="AC421" s="45" t="n">
        <v>0.8964862298195631</v>
      </c>
      <c r="AD421" s="45" t="n"/>
      <c r="AE421" s="45" t="n">
        <v>0.914436068076218</v>
      </c>
      <c r="AF421" s="75">
        <f>IFERROR(AVERAGE(L421:U421),"")</f>
        <v/>
      </c>
      <c r="AG421" s="75">
        <f>IFERROR(AVERAGE(V421:AE421),"")</f>
        <v/>
      </c>
      <c r="AH421" s="75">
        <f>IFERROR(AVERAGE(B421:K421),"")</f>
        <v/>
      </c>
      <c r="AI421" s="45" t="n">
        <v>0.9467620849609381</v>
      </c>
      <c r="AJ421" s="47" t="n">
        <v>0</v>
      </c>
    </row>
    <row r="422" ht="15" customHeight="1" s="30">
      <c r="A422" s="73" t="inlineStr">
        <is>
          <t>10812.jpg</t>
        </is>
      </c>
      <c r="B422" s="45" t="n"/>
      <c r="C422" s="45" t="n"/>
      <c r="D422" s="45" t="n">
        <v>0.913594490495039</v>
      </c>
      <c r="E422" s="45" t="n"/>
      <c r="F422" s="45" t="n">
        <v>0.827476201413879</v>
      </c>
      <c r="G422" s="45" t="n"/>
      <c r="H422" s="45" t="n">
        <v>0.918370859644782</v>
      </c>
      <c r="I422" s="45" t="n">
        <v>0.7010398613518199</v>
      </c>
      <c r="J422" s="45" t="n">
        <v>0.704518911149043</v>
      </c>
      <c r="K422" s="45" t="n">
        <v>0.797099660598581</v>
      </c>
      <c r="L422" s="45" t="n"/>
      <c r="M422" s="45" t="n"/>
      <c r="N422" s="45" t="n">
        <v>0.938994800693241</v>
      </c>
      <c r="O422" s="45" t="n"/>
      <c r="P422" s="45" t="n">
        <v>0.930331984735015</v>
      </c>
      <c r="Q422" s="45" t="n"/>
      <c r="R422" s="45" t="n">
        <v>0.957975177862064</v>
      </c>
      <c r="S422" s="45" t="n">
        <v>0.777884615384615</v>
      </c>
      <c r="T422" s="45" t="n">
        <v>0.93046986236355</v>
      </c>
      <c r="U422" s="45" t="n">
        <v>0.873998592616651</v>
      </c>
      <c r="V422" s="45" t="n"/>
      <c r="W422" s="45" t="n"/>
      <c r="X422" s="45" t="n">
        <v>0.971242570053779</v>
      </c>
      <c r="Y422" s="45" t="n"/>
      <c r="Z422" s="45" t="n">
        <v>0.8821384845599241</v>
      </c>
      <c r="AA422" s="45" t="n"/>
      <c r="AB422" s="45" t="n">
        <v>0.956922835492983</v>
      </c>
      <c r="AC422" s="45" t="n">
        <v>0.876489707475623</v>
      </c>
      <c r="AD422" s="45" t="n">
        <v>0.743669985775249</v>
      </c>
      <c r="AE422" s="45" t="n">
        <v>0.900591237415289</v>
      </c>
      <c r="AF422" s="75">
        <f>IFERROR(AVERAGE(L422:U422),"")</f>
        <v/>
      </c>
      <c r="AG422" s="75">
        <f>IFERROR(AVERAGE(V422:AE422),"")</f>
        <v/>
      </c>
      <c r="AH422" s="75">
        <f>IFERROR(AVERAGE(B422:K422),"")</f>
        <v/>
      </c>
      <c r="AI422" s="45" t="n">
        <v>0.925060272216797</v>
      </c>
      <c r="AJ422" s="47" t="n">
        <v>0</v>
      </c>
    </row>
    <row r="423" ht="15" customHeight="1" s="30">
      <c r="A423" s="73" t="inlineStr">
        <is>
          <t>10813.jpg</t>
        </is>
      </c>
      <c r="B423" s="45" t="n"/>
      <c r="C423" s="45" t="n"/>
      <c r="D423" s="45" t="n">
        <v>0.9188309215536939</v>
      </c>
      <c r="E423" s="45" t="n"/>
      <c r="F423" s="45" t="n">
        <v>0.792727599613457</v>
      </c>
      <c r="G423" s="45" t="n"/>
      <c r="H423" s="45" t="n">
        <v>0.921384928716904</v>
      </c>
      <c r="I423" s="45" t="n">
        <v>0.875</v>
      </c>
      <c r="J423" s="45" t="n">
        <v>0.666179426274438</v>
      </c>
      <c r="K423" s="45" t="n">
        <v>0.750226762116074</v>
      </c>
      <c r="L423" s="45" t="n"/>
      <c r="M423" s="45" t="n"/>
      <c r="N423" s="45" t="n">
        <v>0.938012673482875</v>
      </c>
      <c r="O423" s="45" t="n"/>
      <c r="P423" s="45" t="n">
        <v>0.891635701827558</v>
      </c>
      <c r="Q423" s="45" t="n"/>
      <c r="R423" s="45" t="n">
        <v>0.954934036939314</v>
      </c>
      <c r="S423" s="45" t="n">
        <v>0.8932714617169371</v>
      </c>
      <c r="T423" s="45" t="n">
        <v>0.810582481102712</v>
      </c>
      <c r="U423" s="45" t="n">
        <v>0.873440343124513</v>
      </c>
      <c r="V423" s="45" t="n"/>
      <c r="W423" s="45" t="n"/>
      <c r="X423" s="45" t="n">
        <v>0.978228700006081</v>
      </c>
      <c r="Y423" s="45" t="n"/>
      <c r="Z423" s="45" t="n">
        <v>0.8772444665506089</v>
      </c>
      <c r="AA423" s="45" t="n"/>
      <c r="AB423" s="45" t="n">
        <v>0.963270520600447</v>
      </c>
      <c r="AC423" s="45" t="n">
        <v>0.977157360406091</v>
      </c>
      <c r="AD423" s="45" t="n">
        <v>0.789006708504653</v>
      </c>
      <c r="AE423" s="45" t="n">
        <v>0.841727857713203</v>
      </c>
      <c r="AF423" s="75">
        <f>IFERROR(AVERAGE(L423:U423),"")</f>
        <v/>
      </c>
      <c r="AG423" s="75">
        <f>IFERROR(AVERAGE(V423:AE423),"")</f>
        <v/>
      </c>
      <c r="AH423" s="75">
        <f>IFERROR(AVERAGE(B423:K423),"")</f>
        <v/>
      </c>
      <c r="AI423" s="45" t="n">
        <v>0.920246124267578</v>
      </c>
      <c r="AJ423" s="47" t="n">
        <v>0</v>
      </c>
    </row>
    <row r="424" ht="15" customHeight="1" s="30">
      <c r="A424" s="73" t="inlineStr">
        <is>
          <t>10814.jpg</t>
        </is>
      </c>
      <c r="B424" s="45" t="n"/>
      <c r="C424" s="45" t="n"/>
      <c r="D424" s="45" t="n">
        <v>0.909849710982659</v>
      </c>
      <c r="E424" s="45" t="n"/>
      <c r="F424" s="45" t="n">
        <v>0.862276688678659</v>
      </c>
      <c r="G424" s="45" t="n"/>
      <c r="H424" s="45" t="n">
        <v>0.908335271367908</v>
      </c>
      <c r="I424" s="45" t="n">
        <v>0.802568218298555</v>
      </c>
      <c r="J424" s="45" t="n">
        <v>0.661625708884688</v>
      </c>
      <c r="K424" s="45" t="n">
        <v>0.7794994886944669</v>
      </c>
      <c r="L424" s="45" t="n"/>
      <c r="M424" s="45" t="n"/>
      <c r="N424" s="45" t="n">
        <v>0.954264374227029</v>
      </c>
      <c r="O424" s="45" t="n"/>
      <c r="P424" s="45" t="n">
        <v>0.945886413697573</v>
      </c>
      <c r="Q424" s="45" t="n"/>
      <c r="R424" s="45" t="n">
        <v>0.945598177937985</v>
      </c>
      <c r="S424" s="45" t="n">
        <v>0.8554319931565439</v>
      </c>
      <c r="T424" s="45" t="n">
        <v>0.661625708884688</v>
      </c>
      <c r="U424" s="45" t="n">
        <v>0.876837295501023</v>
      </c>
      <c r="V424" s="45" t="n"/>
      <c r="W424" s="45" t="n"/>
      <c r="X424" s="45" t="n">
        <v>0.951334493762692</v>
      </c>
      <c r="Y424" s="45" t="n"/>
      <c r="Z424" s="45" t="n">
        <v>0.907020294399443</v>
      </c>
      <c r="AA424" s="45" t="n"/>
      <c r="AB424" s="45" t="n">
        <v>0.958420430791602</v>
      </c>
      <c r="AC424" s="45" t="n">
        <v>0.928505106778087</v>
      </c>
      <c r="AD424" s="45" t="n">
        <v>1</v>
      </c>
      <c r="AE424" s="45" t="n">
        <v>0.875340914528142</v>
      </c>
      <c r="AF424" s="75">
        <f>IFERROR(AVERAGE(L424:U424),"")</f>
        <v/>
      </c>
      <c r="AG424" s="75">
        <f>IFERROR(AVERAGE(V424:AE424),"")</f>
        <v/>
      </c>
      <c r="AH424" s="75">
        <f>IFERROR(AVERAGE(B424:K424),"")</f>
        <v/>
      </c>
      <c r="AI424" s="45" t="n">
        <v>0.928470611572266</v>
      </c>
      <c r="AJ424" s="47" t="n">
        <v>0</v>
      </c>
    </row>
    <row r="425" ht="15" customHeight="1" s="30">
      <c r="A425" s="73" t="inlineStr">
        <is>
          <t>10823.jpg</t>
        </is>
      </c>
      <c r="B425" s="45" t="n"/>
      <c r="C425" s="45" t="n"/>
      <c r="D425" s="45" t="n"/>
      <c r="E425" s="45" t="n"/>
      <c r="F425" s="45" t="n"/>
      <c r="G425" s="45" t="n">
        <v>0.926829845658555</v>
      </c>
      <c r="H425" s="45" t="n">
        <v>0.909557286718602</v>
      </c>
      <c r="I425" s="45" t="n"/>
      <c r="J425" s="45" t="n"/>
      <c r="K425" s="45" t="n">
        <v>0.959006825710919</v>
      </c>
      <c r="L425" s="45" t="n"/>
      <c r="M425" s="45" t="n"/>
      <c r="N425" s="45" t="n"/>
      <c r="O425" s="45" t="n"/>
      <c r="P425" s="45" t="n"/>
      <c r="Q425" s="45" t="n">
        <v>0.93914607819621</v>
      </c>
      <c r="R425" s="45" t="n">
        <v>0.938014369693011</v>
      </c>
      <c r="S425" s="45" t="n"/>
      <c r="T425" s="45" t="n"/>
      <c r="U425" s="45" t="n">
        <v>0.988591826912058</v>
      </c>
      <c r="V425" s="45" t="n"/>
      <c r="W425" s="45" t="n"/>
      <c r="X425" s="45" t="n"/>
      <c r="Y425" s="45" t="n"/>
      <c r="Z425" s="45" t="n"/>
      <c r="AA425" s="45" t="n">
        <v>0.986047800135996</v>
      </c>
      <c r="AB425" s="45" t="n">
        <v>0.967722371967655</v>
      </c>
      <c r="AC425" s="45" t="n"/>
      <c r="AD425" s="45" t="n"/>
      <c r="AE425" s="45" t="n">
        <v>0.96973869838183</v>
      </c>
      <c r="AF425" s="75">
        <f>IFERROR(AVERAGE(L425:U425),"")</f>
        <v/>
      </c>
      <c r="AG425" s="75">
        <f>IFERROR(AVERAGE(V425:AE425),"")</f>
        <v/>
      </c>
      <c r="AH425" s="75">
        <f>IFERROR(AVERAGE(B425:K425),"")</f>
        <v/>
      </c>
      <c r="AI425" s="45" t="n">
        <v>0.971866607666016</v>
      </c>
      <c r="AJ425" s="47" t="n">
        <v>0</v>
      </c>
    </row>
    <row r="426" ht="15" customHeight="1" s="30">
      <c r="A426" s="73" t="inlineStr">
        <is>
          <t>10829.jpg</t>
        </is>
      </c>
      <c r="B426" s="45" t="n"/>
      <c r="C426" s="45" t="n"/>
      <c r="D426" s="45" t="n"/>
      <c r="E426" s="45" t="n">
        <v>0</v>
      </c>
      <c r="F426" s="45" t="n">
        <v>0</v>
      </c>
      <c r="G426" s="45" t="n">
        <v>0.7894904560084131</v>
      </c>
      <c r="H426" s="45" t="n"/>
      <c r="I426" s="45" t="n"/>
      <c r="J426" s="45" t="n"/>
      <c r="K426" s="45" t="n">
        <v>0.9924172043010751</v>
      </c>
      <c r="L426" s="45" t="n"/>
      <c r="M426" s="45" t="n"/>
      <c r="N426" s="45" t="n"/>
      <c r="O426" s="45" t="n">
        <v>0</v>
      </c>
      <c r="P426" s="45" t="n">
        <v>0</v>
      </c>
      <c r="Q426" s="45" t="n">
        <v>0.995099811222236</v>
      </c>
      <c r="R426" s="45" t="n"/>
      <c r="S426" s="45" t="n"/>
      <c r="T426" s="45" t="n"/>
      <c r="U426" s="45" t="n">
        <v>0.993049338934031</v>
      </c>
      <c r="V426" s="45" t="n"/>
      <c r="W426" s="45" t="n"/>
      <c r="X426" s="45" t="n"/>
      <c r="Y426" s="45" t="n"/>
      <c r="Z426" s="45" t="n"/>
      <c r="AA426" s="45" t="n">
        <v>0.79257173933907</v>
      </c>
      <c r="AB426" s="45" t="n"/>
      <c r="AC426" s="45" t="n"/>
      <c r="AD426" s="45" t="n"/>
      <c r="AE426" s="45" t="n">
        <v>0.999358988240899</v>
      </c>
      <c r="AF426" s="75">
        <f>IFERROR(AVERAGE(L426:U426),"")</f>
        <v/>
      </c>
      <c r="AG426" s="75">
        <f>IFERROR(AVERAGE(V426:AE426),"")</f>
        <v/>
      </c>
      <c r="AH426" s="75">
        <f>IFERROR(AVERAGE(B426:K426),"")</f>
        <v/>
      </c>
      <c r="AI426" s="45" t="n">
        <v>0.974700927734375</v>
      </c>
      <c r="AJ426" s="47" t="n">
        <v>0</v>
      </c>
    </row>
    <row r="427" ht="15" customHeight="1" s="30">
      <c r="A427" s="73" t="inlineStr">
        <is>
          <t>10838.jpg</t>
        </is>
      </c>
      <c r="B427" s="45" t="n">
        <v>0</v>
      </c>
      <c r="C427" s="45" t="n"/>
      <c r="D427" s="45" t="n"/>
      <c r="E427" s="45" t="n"/>
      <c r="F427" s="45" t="n"/>
      <c r="G427" s="45" t="n">
        <v>0.959132946892528</v>
      </c>
      <c r="H427" s="45" t="n">
        <v>0.921291668477552</v>
      </c>
      <c r="I427" s="45" t="n"/>
      <c r="J427" s="45" t="n"/>
      <c r="K427" s="45" t="n">
        <v>0.959175814994297</v>
      </c>
      <c r="L427" s="45" t="n">
        <v>0</v>
      </c>
      <c r="M427" s="45" t="n"/>
      <c r="N427" s="45" t="n"/>
      <c r="O427" s="45" t="n"/>
      <c r="P427" s="45" t="n"/>
      <c r="Q427" s="45" t="n">
        <v>0.969021852434471</v>
      </c>
      <c r="R427" s="45" t="n">
        <v>0.938462900655215</v>
      </c>
      <c r="S427" s="45" t="n"/>
      <c r="T427" s="45" t="n"/>
      <c r="U427" s="45" t="n">
        <v>0.996535299934329</v>
      </c>
      <c r="V427" s="45" t="n"/>
      <c r="W427" s="45" t="n"/>
      <c r="X427" s="45" t="n"/>
      <c r="Y427" s="45" t="n"/>
      <c r="Z427" s="45" t="n"/>
      <c r="AA427" s="45" t="n">
        <v>0.989472156369442</v>
      </c>
      <c r="AB427" s="45" t="n">
        <v>0.980526388824645</v>
      </c>
      <c r="AC427" s="45" t="n"/>
      <c r="AD427" s="45" t="n"/>
      <c r="AE427" s="45" t="n">
        <v>0.962385187345094</v>
      </c>
      <c r="AF427" s="75">
        <f>IFERROR(AVERAGE(L427:U427),"")</f>
        <v/>
      </c>
      <c r="AG427" s="75">
        <f>IFERROR(AVERAGE(V427:AE427),"")</f>
        <v/>
      </c>
      <c r="AH427" s="75">
        <f>IFERROR(AVERAGE(B427:K427),"")</f>
        <v/>
      </c>
      <c r="AI427" s="45" t="n">
        <v>0.974559783935547</v>
      </c>
      <c r="AJ427" s="47" t="n">
        <v>0</v>
      </c>
    </row>
    <row r="428" ht="15" customHeight="1" s="30">
      <c r="A428" s="73" t="inlineStr">
        <is>
          <t>10839.jpg</t>
        </is>
      </c>
      <c r="B428" s="45" t="n">
        <v>0</v>
      </c>
      <c r="C428" s="45" t="n"/>
      <c r="D428" s="45" t="n">
        <v>0</v>
      </c>
      <c r="E428" s="45" t="n"/>
      <c r="F428" s="45" t="n">
        <v>0.61087962962963</v>
      </c>
      <c r="G428" s="45" t="n">
        <v>0.9067915896894519</v>
      </c>
      <c r="H428" s="45" t="n">
        <v>0.941776608832138</v>
      </c>
      <c r="I428" s="45" t="n">
        <v>0.116108452950558</v>
      </c>
      <c r="J428" s="45" t="n"/>
      <c r="K428" s="45" t="n">
        <v>0.938902265513845</v>
      </c>
      <c r="L428" s="45" t="n">
        <v>0</v>
      </c>
      <c r="M428" s="45" t="n"/>
      <c r="N428" s="45" t="n">
        <v>0</v>
      </c>
      <c r="O428" s="45" t="n"/>
      <c r="P428" s="45" t="n">
        <v>0.72326139088729</v>
      </c>
      <c r="Q428" s="45" t="n">
        <v>0.971580733339617</v>
      </c>
      <c r="R428" s="45" t="n">
        <v>0.9597933464473321</v>
      </c>
      <c r="S428" s="45" t="n">
        <v>0.118837740777016</v>
      </c>
      <c r="T428" s="45" t="n"/>
      <c r="U428" s="45" t="n">
        <v>0.990246154734078</v>
      </c>
      <c r="V428" s="45" t="n"/>
      <c r="W428" s="45" t="n"/>
      <c r="X428" s="45" t="n"/>
      <c r="Y428" s="45" t="n"/>
      <c r="Z428" s="45" t="n">
        <v>0.797220753719508</v>
      </c>
      <c r="AA428" s="45" t="n">
        <v>0.93149880258461</v>
      </c>
      <c r="AB428" s="45" t="n">
        <v>0.980457536545511</v>
      </c>
      <c r="AC428" s="45" t="n">
        <v>0.834862385321101</v>
      </c>
      <c r="AD428" s="45" t="n"/>
      <c r="AE428" s="45" t="n">
        <v>0.947666390499862</v>
      </c>
      <c r="AF428" s="75">
        <f>IFERROR(AVERAGE(L428:U428),"")</f>
        <v/>
      </c>
      <c r="AG428" s="75">
        <f>IFERROR(AVERAGE(V428:AE428),"")</f>
        <v/>
      </c>
      <c r="AH428" s="75">
        <f>IFERROR(AVERAGE(B428:K428),"")</f>
        <v/>
      </c>
      <c r="AI428" s="45" t="n">
        <v>0.944179534912109</v>
      </c>
      <c r="AJ428" s="47" t="n">
        <v>0</v>
      </c>
    </row>
    <row r="429" ht="15" customHeight="1" s="30">
      <c r="A429" s="73" t="inlineStr">
        <is>
          <t>10843.jpg</t>
        </is>
      </c>
      <c r="B429" s="45" t="n"/>
      <c r="C429" s="45" t="n"/>
      <c r="D429" s="45" t="n">
        <v>0</v>
      </c>
      <c r="E429" s="45" t="n"/>
      <c r="F429" s="45" t="n">
        <v>0.729984959603892</v>
      </c>
      <c r="G429" s="45" t="n"/>
      <c r="H429" s="45" t="n">
        <v>0.520636984075398</v>
      </c>
      <c r="I429" s="45" t="n">
        <v>0.180013236267373</v>
      </c>
      <c r="J429" s="45" t="n"/>
      <c r="K429" s="45" t="n">
        <v>0.696994199566972</v>
      </c>
      <c r="L429" s="45" t="n"/>
      <c r="M429" s="45" t="n"/>
      <c r="N429" s="45" t="n">
        <v>0</v>
      </c>
      <c r="O429" s="45" t="n"/>
      <c r="P429" s="45" t="n">
        <v>0.734250848456044</v>
      </c>
      <c r="Q429" s="45" t="n"/>
      <c r="R429" s="45" t="n">
        <v>0.622135922330097</v>
      </c>
      <c r="S429" s="45" t="n">
        <v>0.217832354511479</v>
      </c>
      <c r="T429" s="45" t="n"/>
      <c r="U429" s="45" t="n">
        <v>0.983322334307533</v>
      </c>
      <c r="V429" s="45" t="n"/>
      <c r="W429" s="45" t="n"/>
      <c r="X429" s="45" t="n"/>
      <c r="Y429" s="45" t="n"/>
      <c r="Z429" s="45" t="n">
        <v>0.992103977858577</v>
      </c>
      <c r="AA429" s="45" t="n"/>
      <c r="AB429" s="45" t="n">
        <v>0.761406844106464</v>
      </c>
      <c r="AC429" s="45" t="n">
        <v>0.509045539613225</v>
      </c>
      <c r="AD429" s="45" t="n"/>
      <c r="AE429" s="45" t="n">
        <v>0.705332206255283</v>
      </c>
      <c r="AF429" s="75">
        <f>IFERROR(AVERAGE(L429:U429),"")</f>
        <v/>
      </c>
      <c r="AG429" s="75">
        <f>IFERROR(AVERAGE(V429:AE429),"")</f>
        <v/>
      </c>
      <c r="AH429" s="75">
        <f>IFERROR(AVERAGE(B429:K429),"")</f>
        <v/>
      </c>
      <c r="AI429" s="45" t="n">
        <v>0.825531005859375</v>
      </c>
      <c r="AJ429" s="47" t="n">
        <v>0</v>
      </c>
    </row>
    <row r="430" ht="15" customHeight="1" s="30">
      <c r="A430" s="73" t="inlineStr">
        <is>
          <t>11483.jpg</t>
        </is>
      </c>
      <c r="B430" s="45" t="n"/>
      <c r="C430" s="45" t="n"/>
      <c r="D430" s="45" t="n">
        <v>0.611980099502488</v>
      </c>
      <c r="E430" s="45" t="n"/>
      <c r="F430" s="45" t="n">
        <v>0.630261660978385</v>
      </c>
      <c r="G430" s="45" t="n">
        <v>0.943305654526752</v>
      </c>
      <c r="H430" s="45" t="n">
        <v>0.746114978808975</v>
      </c>
      <c r="I430" s="45" t="n">
        <v>0.208661417322835</v>
      </c>
      <c r="J430" s="45" t="n">
        <v>0.5543766578249339</v>
      </c>
      <c r="K430" s="45" t="n">
        <v>0.744896580835796</v>
      </c>
      <c r="L430" s="45" t="n"/>
      <c r="M430" s="45" t="n"/>
      <c r="N430" s="45" t="n">
        <v>0.652022729200238</v>
      </c>
      <c r="O430" s="45" t="n"/>
      <c r="P430" s="45" t="n">
        <v>0.810534016093636</v>
      </c>
      <c r="Q430" s="45" t="n">
        <v>0.944855082202213</v>
      </c>
      <c r="R430" s="45" t="n">
        <v>0.766043357246462</v>
      </c>
      <c r="S430" s="45" t="n">
        <v>0.981481481481482</v>
      </c>
      <c r="T430" s="45" t="n">
        <v>0.90606936416185</v>
      </c>
      <c r="U430" s="45" t="n">
        <v>0.970724140207274</v>
      </c>
      <c r="V430" s="45" t="n"/>
      <c r="W430" s="45" t="n"/>
      <c r="X430" s="45" t="n">
        <v>0.908800756545895</v>
      </c>
      <c r="Y430" s="45" t="n"/>
      <c r="Z430" s="45" t="n">
        <v>0.7391594396264179</v>
      </c>
      <c r="AA430" s="45" t="n">
        <v>0.998264601015997</v>
      </c>
      <c r="AB430" s="45" t="n">
        <v>0.966307877429245</v>
      </c>
      <c r="AC430" s="45" t="n">
        <v>0.209486166007905</v>
      </c>
      <c r="AD430" s="45" t="n">
        <v>0.588180112570357</v>
      </c>
      <c r="AE430" s="45" t="n">
        <v>0.762015390062959</v>
      </c>
      <c r="AF430" s="75">
        <f>IFERROR(AVERAGE(L430:U430),"")</f>
        <v/>
      </c>
      <c r="AG430" s="75">
        <f>IFERROR(AVERAGE(V430:AE430),"")</f>
        <v/>
      </c>
      <c r="AH430" s="75">
        <f>IFERROR(AVERAGE(B430:K430),"")</f>
        <v/>
      </c>
      <c r="AI430" s="45" t="n">
        <v>0.873683929443359</v>
      </c>
      <c r="AJ430" s="47" t="n">
        <v>0</v>
      </c>
    </row>
  </sheetData>
  <autoFilter ref="A4:AJ430"/>
  <mergeCells count="4">
    <mergeCell ref="V3:AE3"/>
    <mergeCell ref="L3:U3"/>
    <mergeCell ref="B3:K3"/>
    <mergeCell ref="AF3:AJ3"/>
  </mergeCells>
  <conditionalFormatting sqref="B5:AH430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375623"/>
    <outlinePr summaryBelow="1" summaryRight="1"/>
    <pageSetUpPr fitToPage="0"/>
  </sheetPr>
  <dimension ref="A1:AJ4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9" min="1" max="1"/>
    <col outlineLevel="1" width="12" customWidth="1" style="29" min="2" max="31"/>
    <col width="13" customWidth="1" style="29" min="32" max="35"/>
    <col width="15" customWidth="1" style="29" min="36" max="36"/>
  </cols>
  <sheetData>
    <row r="1" ht="17.35" customHeight="1" s="30">
      <c r="A1" s="31" t="inlineStr">
        <is>
          <t>YOLO11n-seg — métricas por imagen de test (426 imágenes)</t>
        </is>
      </c>
    </row>
    <row r="2" ht="15" customHeight="1" s="30">
      <c r="A2" s="32" t="inlineStr">
        <is>
          <t>Celdas vacías: la clase no aparece ni en la referencia ni en la predicción (IoU), no se predice (precisión) o no está en la referencia (recall). Ver la hoja Léeme.</t>
        </is>
      </c>
    </row>
    <row r="3" ht="15" customHeight="1" s="30">
      <c r="A3" s="38" t="n"/>
      <c r="B3" s="43" t="inlineStr">
        <is>
          <t>IoU por clase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40" t="n"/>
      <c r="L3" s="43" t="inlineStr">
        <is>
          <t>Precisión por clase</t>
        </is>
      </c>
      <c r="M3" s="39" t="n"/>
      <c r="N3" s="39" t="n"/>
      <c r="O3" s="39" t="n"/>
      <c r="P3" s="39" t="n"/>
      <c r="Q3" s="39" t="n"/>
      <c r="R3" s="39" t="n"/>
      <c r="S3" s="39" t="n"/>
      <c r="T3" s="39" t="n"/>
      <c r="U3" s="40" t="n"/>
      <c r="V3" s="43" t="inlineStr">
        <is>
          <t>Recall por clase</t>
        </is>
      </c>
      <c r="W3" s="39" t="n"/>
      <c r="X3" s="39" t="n"/>
      <c r="Y3" s="39" t="n"/>
      <c r="Z3" s="39" t="n"/>
      <c r="AA3" s="39" t="n"/>
      <c r="AB3" s="39" t="n"/>
      <c r="AC3" s="39" t="n"/>
      <c r="AD3" s="39" t="n"/>
      <c r="AE3" s="40" t="n"/>
      <c r="AF3" s="38" t="inlineStr">
        <is>
          <t>Resumen de la imagen</t>
        </is>
      </c>
      <c r="AG3" s="39" t="n"/>
      <c r="AH3" s="39" t="n"/>
      <c r="AI3" s="39" t="n"/>
      <c r="AJ3" s="40" t="n"/>
    </row>
    <row r="4" ht="42" customHeight="1" s="30">
      <c r="A4" s="38" t="inlineStr">
        <is>
          <t>Imagen</t>
        </is>
      </c>
      <c r="B4" s="77" t="inlineStr">
        <is>
          <t>IoU
Background</t>
        </is>
      </c>
      <c r="C4" s="77" t="inlineStr">
        <is>
          <t>IoU
Building-flooded</t>
        </is>
      </c>
      <c r="D4" s="77" t="inlineStr">
        <is>
          <t>IoU
Building-non-flooded</t>
        </is>
      </c>
      <c r="E4" s="77" t="inlineStr">
        <is>
          <t>IoU
Road-flooded</t>
        </is>
      </c>
      <c r="F4" s="77" t="inlineStr">
        <is>
          <t>IoU
Road-non-flooded</t>
        </is>
      </c>
      <c r="G4" s="77" t="inlineStr">
        <is>
          <t>IoU
Water</t>
        </is>
      </c>
      <c r="H4" s="77" t="inlineStr">
        <is>
          <t>IoU
Tree</t>
        </is>
      </c>
      <c r="I4" s="77" t="inlineStr">
        <is>
          <t>IoU
Vehicle</t>
        </is>
      </c>
      <c r="J4" s="77" t="inlineStr">
        <is>
          <t>IoU
Pool</t>
        </is>
      </c>
      <c r="K4" s="77" t="inlineStr">
        <is>
          <t>IoU
Grass</t>
        </is>
      </c>
      <c r="L4" s="77" t="inlineStr">
        <is>
          <t>Precisión
Background</t>
        </is>
      </c>
      <c r="M4" s="77" t="inlineStr">
        <is>
          <t>Precisión
Building-flooded</t>
        </is>
      </c>
      <c r="N4" s="77" t="inlineStr">
        <is>
          <t>Precisión
Building-non-flooded</t>
        </is>
      </c>
      <c r="O4" s="77" t="inlineStr">
        <is>
          <t>Precisión
Road-flooded</t>
        </is>
      </c>
      <c r="P4" s="77" t="inlineStr">
        <is>
          <t>Precisión
Road-non-flooded</t>
        </is>
      </c>
      <c r="Q4" s="77" t="inlineStr">
        <is>
          <t>Precisión
Water</t>
        </is>
      </c>
      <c r="R4" s="77" t="inlineStr">
        <is>
          <t>Precisión
Tree</t>
        </is>
      </c>
      <c r="S4" s="77" t="inlineStr">
        <is>
          <t>Precisión
Vehicle</t>
        </is>
      </c>
      <c r="T4" s="77" t="inlineStr">
        <is>
          <t>Precisión
Pool</t>
        </is>
      </c>
      <c r="U4" s="77" t="inlineStr">
        <is>
          <t>Precisión
Grass</t>
        </is>
      </c>
      <c r="V4" s="77" t="inlineStr">
        <is>
          <t>Recall
Background</t>
        </is>
      </c>
      <c r="W4" s="77" t="inlineStr">
        <is>
          <t>Recall
Building-flooded</t>
        </is>
      </c>
      <c r="X4" s="77" t="inlineStr">
        <is>
          <t>Recall
Building-non-flooded</t>
        </is>
      </c>
      <c r="Y4" s="77" t="inlineStr">
        <is>
          <t>Recall
Road-flooded</t>
        </is>
      </c>
      <c r="Z4" s="77" t="inlineStr">
        <is>
          <t>Recall
Road-non-flooded</t>
        </is>
      </c>
      <c r="AA4" s="77" t="inlineStr">
        <is>
          <t>Recall
Water</t>
        </is>
      </c>
      <c r="AB4" s="77" t="inlineStr">
        <is>
          <t>Recall
Tree</t>
        </is>
      </c>
      <c r="AC4" s="77" t="inlineStr">
        <is>
          <t>Recall
Vehicle</t>
        </is>
      </c>
      <c r="AD4" s="77" t="inlineStr">
        <is>
          <t>Recall
Pool</t>
        </is>
      </c>
      <c r="AE4" s="77" t="inlineStr">
        <is>
          <t>Recall
Grass</t>
        </is>
      </c>
      <c r="AF4" s="38" t="inlineStr">
        <is>
          <t>Precisión</t>
        </is>
      </c>
      <c r="AG4" s="38" t="inlineStr">
        <is>
          <t>Recall</t>
        </is>
      </c>
      <c r="AH4" s="38" t="inlineStr">
        <is>
          <t>Mean_IoU</t>
        </is>
      </c>
      <c r="AI4" s="38" t="inlineStr">
        <is>
          <t>Pixel accuracy</t>
        </is>
      </c>
      <c r="AJ4" s="38" t="inlineStr">
        <is>
          <t>% píxeles sin predicción</t>
        </is>
      </c>
    </row>
    <row r="5" ht="15" customHeight="1" s="30">
      <c r="A5" s="73" t="inlineStr">
        <is>
          <t>6336.jpg</t>
        </is>
      </c>
      <c r="B5" s="45" t="n"/>
      <c r="C5" s="45" t="n"/>
      <c r="D5" s="45" t="n"/>
      <c r="E5" s="45" t="n"/>
      <c r="F5" s="45" t="n">
        <v>0.91531930601698</v>
      </c>
      <c r="G5" s="45" t="n">
        <v>0.862469815241197</v>
      </c>
      <c r="H5" s="45" t="n"/>
      <c r="I5" s="45" t="n">
        <v>0.850891410048622</v>
      </c>
      <c r="J5" s="45" t="n"/>
      <c r="K5" s="45" t="n">
        <v>0.954842556077603</v>
      </c>
      <c r="L5" s="45" t="n"/>
      <c r="M5" s="45" t="n"/>
      <c r="N5" s="45" t="n"/>
      <c r="O5" s="45" t="n"/>
      <c r="P5" s="45" t="n">
        <v>0.966328916601715</v>
      </c>
      <c r="Q5" s="45" t="n">
        <v>0.882035377900299</v>
      </c>
      <c r="R5" s="45" t="n"/>
      <c r="S5" s="45" t="n">
        <v>0.8720930232558139</v>
      </c>
      <c r="T5" s="45" t="n"/>
      <c r="U5" s="45" t="n">
        <v>0.98565314603189</v>
      </c>
      <c r="V5" s="45" t="n"/>
      <c r="W5" s="45" t="n"/>
      <c r="X5" s="45" t="n"/>
      <c r="Y5" s="45" t="n"/>
      <c r="Z5" s="45" t="n">
        <v>0.945473957141768</v>
      </c>
      <c r="AA5" s="45" t="n">
        <v>0.974925411032819</v>
      </c>
      <c r="AB5" s="45" t="n"/>
      <c r="AC5" s="45" t="n">
        <v>0.972222222222222</v>
      </c>
      <c r="AD5" s="45" t="n"/>
      <c r="AE5" s="45" t="n">
        <v>0.968300367194347</v>
      </c>
      <c r="AF5" s="75">
        <f>IFERROR(AVERAGE(L5:U5),"")</f>
        <v/>
      </c>
      <c r="AG5" s="75">
        <f>IFERROR(AVERAGE(V5:AE5),"")</f>
        <v/>
      </c>
      <c r="AH5" s="75">
        <f>IFERROR(AVERAGE(B5:K5),"")</f>
        <v/>
      </c>
      <c r="AI5" s="45" t="n">
        <v>0.9629974365234381</v>
      </c>
      <c r="AJ5" s="47" t="n">
        <v>0.0109405517578125</v>
      </c>
    </row>
    <row r="6" ht="15" customHeight="1" s="30">
      <c r="A6" s="73" t="inlineStr">
        <is>
          <t>6342.jpg</t>
        </is>
      </c>
      <c r="B6" s="45" t="n"/>
      <c r="C6" s="45" t="n"/>
      <c r="D6" s="45" t="n"/>
      <c r="E6" s="45" t="n"/>
      <c r="F6" s="45" t="n">
        <v>0.935160680529301</v>
      </c>
      <c r="G6" s="45" t="n">
        <v>0.926803580832017</v>
      </c>
      <c r="H6" s="45" t="n"/>
      <c r="I6" s="45" t="n"/>
      <c r="J6" s="45" t="n"/>
      <c r="K6" s="45" t="n">
        <v>0.963037668813417</v>
      </c>
      <c r="L6" s="45" t="n"/>
      <c r="M6" s="45" t="n"/>
      <c r="N6" s="45" t="n"/>
      <c r="O6" s="45" t="n"/>
      <c r="P6" s="45" t="n">
        <v>0.963522537562604</v>
      </c>
      <c r="Q6" s="45" t="n">
        <v>0.9925744900836549</v>
      </c>
      <c r="R6" s="45" t="n"/>
      <c r="S6" s="45" t="n"/>
      <c r="T6" s="45" t="n"/>
      <c r="U6" s="45" t="n">
        <v>0.985055087763395</v>
      </c>
      <c r="V6" s="45" t="n"/>
      <c r="W6" s="45" t="n"/>
      <c r="X6" s="45" t="n"/>
      <c r="Y6" s="45" t="n"/>
      <c r="Z6" s="45" t="n">
        <v>0.96948402810829</v>
      </c>
      <c r="AA6" s="45" t="n">
        <v>0.933274414494035</v>
      </c>
      <c r="AB6" s="45" t="n"/>
      <c r="AC6" s="45" t="n"/>
      <c r="AD6" s="45" t="n"/>
      <c r="AE6" s="45" t="n">
        <v>0.977317123857024</v>
      </c>
      <c r="AF6" s="75">
        <f>IFERROR(AVERAGE(L6:U6),"")</f>
        <v/>
      </c>
      <c r="AG6" s="75">
        <f>IFERROR(AVERAGE(V6:AE6),"")</f>
        <v/>
      </c>
      <c r="AH6" s="75">
        <f>IFERROR(AVERAGE(B6:K6),"")</f>
        <v/>
      </c>
      <c r="AI6" s="45" t="n">
        <v>0.970546722412109</v>
      </c>
      <c r="AJ6" s="47" t="n">
        <v>0.0126609802246094</v>
      </c>
    </row>
    <row r="7" ht="15" customHeight="1" s="30">
      <c r="A7" s="73" t="inlineStr">
        <is>
          <t>6353.jpg</t>
        </is>
      </c>
      <c r="B7" s="45" t="n"/>
      <c r="C7" s="45" t="n"/>
      <c r="D7" s="45" t="n"/>
      <c r="E7" s="45" t="n"/>
      <c r="F7" s="45" t="n">
        <v>0.89967796350253</v>
      </c>
      <c r="G7" s="45" t="n">
        <v>0.922849522830243</v>
      </c>
      <c r="H7" s="45" t="n">
        <v>0.785673678226265</v>
      </c>
      <c r="I7" s="45" t="n"/>
      <c r="J7" s="45" t="n"/>
      <c r="K7" s="45" t="n">
        <v>0.964537426387919</v>
      </c>
      <c r="L7" s="45" t="n"/>
      <c r="M7" s="45" t="n"/>
      <c r="N7" s="45" t="n"/>
      <c r="O7" s="45" t="n"/>
      <c r="P7" s="45" t="n">
        <v>0.943609869077106</v>
      </c>
      <c r="Q7" s="45" t="n">
        <v>0.972669082534629</v>
      </c>
      <c r="R7" s="45" t="n">
        <v>0.8452599388379211</v>
      </c>
      <c r="S7" s="45" t="n"/>
      <c r="T7" s="45" t="n"/>
      <c r="U7" s="45" t="n">
        <v>0.9876707882378</v>
      </c>
      <c r="V7" s="45" t="n"/>
      <c r="W7" s="45" t="n"/>
      <c r="X7" s="45" t="n"/>
      <c r="Y7" s="45" t="n"/>
      <c r="Z7" s="45" t="n">
        <v>0.9507973551147409</v>
      </c>
      <c r="AA7" s="45" t="n">
        <v>0.947417035033318</v>
      </c>
      <c r="AB7" s="45" t="n">
        <v>0.9176626826029221</v>
      </c>
      <c r="AC7" s="45" t="n"/>
      <c r="AD7" s="45" t="n"/>
      <c r="AE7" s="45" t="n">
        <v>0.976292411967594</v>
      </c>
      <c r="AF7" s="75">
        <f>IFERROR(AVERAGE(L7:U7),"")</f>
        <v/>
      </c>
      <c r="AG7" s="75">
        <f>IFERROR(AVERAGE(V7:AE7),"")</f>
        <v/>
      </c>
      <c r="AH7" s="75">
        <f>IFERROR(AVERAGE(B7:K7),"")</f>
        <v/>
      </c>
      <c r="AI7" s="45" t="n">
        <v>0.969615936279297</v>
      </c>
      <c r="AJ7" s="47" t="n">
        <v>0.0103797912597656</v>
      </c>
    </row>
    <row r="8" ht="15" customHeight="1" s="30">
      <c r="A8" s="73" t="inlineStr">
        <is>
          <t>6362.jpg</t>
        </is>
      </c>
      <c r="B8" s="45" t="n"/>
      <c r="C8" s="45" t="n"/>
      <c r="D8" s="45" t="n"/>
      <c r="E8" s="45" t="n"/>
      <c r="F8" s="45" t="n">
        <v>0.9527787520326499</v>
      </c>
      <c r="G8" s="45" t="n">
        <v>0.962254867505447</v>
      </c>
      <c r="H8" s="45" t="n">
        <v>0.655027932960894</v>
      </c>
      <c r="I8" s="45" t="n">
        <v>0.687242798353909</v>
      </c>
      <c r="J8" s="45" t="n"/>
      <c r="K8" s="45" t="n">
        <v>0.974243434867462</v>
      </c>
      <c r="L8" s="45" t="n"/>
      <c r="M8" s="45" t="n"/>
      <c r="N8" s="45" t="n"/>
      <c r="O8" s="45" t="n"/>
      <c r="P8" s="45" t="n">
        <v>0.981668856767411</v>
      </c>
      <c r="Q8" s="45" t="n">
        <v>0.971059724783657</v>
      </c>
      <c r="R8" s="45" t="n">
        <v>0.6722408026755849</v>
      </c>
      <c r="S8" s="45" t="n">
        <v>0.745535714285714</v>
      </c>
      <c r="T8" s="45" t="n"/>
      <c r="U8" s="45" t="n">
        <v>0.998268564832628</v>
      </c>
      <c r="V8" s="45" t="n"/>
      <c r="W8" s="45" t="n"/>
      <c r="X8" s="45" t="n"/>
      <c r="Y8" s="45" t="n"/>
      <c r="Z8" s="45" t="n">
        <v>0.970037331602013</v>
      </c>
      <c r="AA8" s="45" t="n">
        <v>0.99066502641291</v>
      </c>
      <c r="AB8" s="45" t="n">
        <v>0.962380300957592</v>
      </c>
      <c r="AC8" s="45" t="n">
        <v>0.897849462365591</v>
      </c>
      <c r="AD8" s="45" t="n"/>
      <c r="AE8" s="45" t="n">
        <v>0.975892463858493</v>
      </c>
      <c r="AF8" s="75">
        <f>IFERROR(AVERAGE(L8:U8),"")</f>
        <v/>
      </c>
      <c r="AG8" s="75">
        <f>IFERROR(AVERAGE(V8:AE8),"")</f>
        <v/>
      </c>
      <c r="AH8" s="75">
        <f>IFERROR(AVERAGE(B8:K8),"")</f>
        <v/>
      </c>
      <c r="AI8" s="45" t="n">
        <v>0.976631164550781</v>
      </c>
      <c r="AJ8" s="47" t="n">
        <v>0.0139884948730469</v>
      </c>
    </row>
    <row r="9" ht="15" customHeight="1" s="30">
      <c r="A9" s="73" t="inlineStr">
        <is>
          <t>6371.jpg</t>
        </is>
      </c>
      <c r="B9" s="45" t="n"/>
      <c r="C9" s="45" t="n"/>
      <c r="D9" s="45" t="n"/>
      <c r="E9" s="45" t="n"/>
      <c r="F9" s="45" t="n">
        <v>0.937158222302789</v>
      </c>
      <c r="G9" s="45" t="n">
        <v>0.906641252756288</v>
      </c>
      <c r="H9" s="45" t="n"/>
      <c r="I9" s="45" t="n"/>
      <c r="J9" s="45" t="n"/>
      <c r="K9" s="45" t="n">
        <v>0.972050925970886</v>
      </c>
      <c r="L9" s="45" t="n"/>
      <c r="M9" s="45" t="n"/>
      <c r="N9" s="45" t="n"/>
      <c r="O9" s="45" t="n"/>
      <c r="P9" s="45" t="n">
        <v>0.983013785453969</v>
      </c>
      <c r="Q9" s="45" t="n">
        <v>0.929427991264703</v>
      </c>
      <c r="R9" s="45" t="n"/>
      <c r="S9" s="45" t="n"/>
      <c r="T9" s="45" t="n"/>
      <c r="U9" s="45" t="n">
        <v>0.993646696778677</v>
      </c>
      <c r="V9" s="45" t="n"/>
      <c r="W9" s="45" t="n"/>
      <c r="X9" s="45" t="n"/>
      <c r="Y9" s="45" t="n"/>
      <c r="Z9" s="45" t="n">
        <v>0.952584221355526</v>
      </c>
      <c r="AA9" s="45" t="n">
        <v>0.973670479630745</v>
      </c>
      <c r="AB9" s="45" t="n"/>
      <c r="AC9" s="45" t="n"/>
      <c r="AD9" s="45" t="n"/>
      <c r="AE9" s="45" t="n">
        <v>0.9781302219225469</v>
      </c>
      <c r="AF9" s="75">
        <f>IFERROR(AVERAGE(L9:U9),"")</f>
        <v/>
      </c>
      <c r="AG9" s="75">
        <f>IFERROR(AVERAGE(V9:AE9),"")</f>
        <v/>
      </c>
      <c r="AH9" s="75">
        <f>IFERROR(AVERAGE(B9:K9),"")</f>
        <v/>
      </c>
      <c r="AI9" s="45" t="n">
        <v>0.9745330810546881</v>
      </c>
      <c r="AJ9" s="47" t="n">
        <v>0.0115127563476563</v>
      </c>
    </row>
    <row r="10" ht="15" customHeight="1" s="30">
      <c r="A10" s="73" t="inlineStr">
        <is>
          <t>6377.jpg</t>
        </is>
      </c>
      <c r="B10" s="45" t="n"/>
      <c r="C10" s="45" t="n"/>
      <c r="D10" s="45" t="n"/>
      <c r="E10" s="45" t="n"/>
      <c r="F10" s="45" t="n">
        <v>0.954411800442274</v>
      </c>
      <c r="G10" s="45" t="n">
        <v>0.9588720103425989</v>
      </c>
      <c r="H10" s="45" t="n"/>
      <c r="I10" s="45" t="n">
        <v>0.833333333333333</v>
      </c>
      <c r="J10" s="45" t="n"/>
      <c r="K10" s="45" t="n">
        <v>0.972133212414349</v>
      </c>
      <c r="L10" s="45" t="n"/>
      <c r="M10" s="45" t="n"/>
      <c r="N10" s="45" t="n"/>
      <c r="O10" s="45" t="n"/>
      <c r="P10" s="45" t="n">
        <v>0.97896258630574</v>
      </c>
      <c r="Q10" s="45" t="n">
        <v>0.9757842371418</v>
      </c>
      <c r="R10" s="45" t="n"/>
      <c r="S10" s="45" t="n">
        <v>0.95959595959596</v>
      </c>
      <c r="T10" s="45" t="n"/>
      <c r="U10" s="45" t="n">
        <v>0.9947106585900251</v>
      </c>
      <c r="V10" s="45" t="n"/>
      <c r="W10" s="45" t="n"/>
      <c r="X10" s="45" t="n"/>
      <c r="Y10" s="45" t="n"/>
      <c r="Z10" s="45" t="n">
        <v>0.974396506810232</v>
      </c>
      <c r="AA10" s="45" t="n">
        <v>0.982245582088317</v>
      </c>
      <c r="AB10" s="45" t="n"/>
      <c r="AC10" s="45" t="n">
        <v>0.863636363636364</v>
      </c>
      <c r="AD10" s="45" t="n"/>
      <c r="AE10" s="45" t="n">
        <v>0.977184559441693</v>
      </c>
      <c r="AF10" s="75">
        <f>IFERROR(AVERAGE(L10:U10),"")</f>
        <v/>
      </c>
      <c r="AG10" s="75">
        <f>IFERROR(AVERAGE(V10:AE10),"")</f>
        <v/>
      </c>
      <c r="AH10" s="75">
        <f>IFERROR(AVERAGE(B10:K10),"")</f>
        <v/>
      </c>
      <c r="AI10" s="45" t="n">
        <v>0.9771270751953131</v>
      </c>
      <c r="AJ10" s="47" t="n">
        <v>0.0134620666503906</v>
      </c>
    </row>
    <row r="11" ht="15" customHeight="1" s="30">
      <c r="A11" s="73" t="inlineStr">
        <is>
          <t>6383.jpg</t>
        </is>
      </c>
      <c r="B11" s="45" t="n"/>
      <c r="C11" s="45" t="n"/>
      <c r="D11" s="45" t="n"/>
      <c r="E11" s="45" t="n"/>
      <c r="F11" s="45" t="n">
        <v>0.944914064693222</v>
      </c>
      <c r="G11" s="45" t="n">
        <v>0.966550904770609</v>
      </c>
      <c r="H11" s="45" t="n"/>
      <c r="I11" s="45" t="n">
        <v>0.81042654028436</v>
      </c>
      <c r="J11" s="45" t="n"/>
      <c r="K11" s="45" t="n">
        <v>0.979345627602618</v>
      </c>
      <c r="L11" s="45" t="n"/>
      <c r="M11" s="45" t="n"/>
      <c r="N11" s="45" t="n"/>
      <c r="O11" s="45" t="n"/>
      <c r="P11" s="45" t="n">
        <v>0.961804673609347</v>
      </c>
      <c r="Q11" s="45" t="n">
        <v>0.977946275833372</v>
      </c>
      <c r="R11" s="45" t="n"/>
      <c r="S11" s="45" t="n">
        <v>0.94475138121547</v>
      </c>
      <c r="T11" s="45" t="n"/>
      <c r="U11" s="45" t="n">
        <v>0.997842215002667</v>
      </c>
      <c r="V11" s="45" t="n"/>
      <c r="W11" s="45" t="n"/>
      <c r="X11" s="45" t="n"/>
      <c r="Y11" s="45" t="n"/>
      <c r="Z11" s="45" t="n">
        <v>0.981753953850143</v>
      </c>
      <c r="AA11" s="45" t="n">
        <v>0.988088008595319</v>
      </c>
      <c r="AB11" s="45" t="n"/>
      <c r="AC11" s="45" t="n">
        <v>0.850746268656716</v>
      </c>
      <c r="AD11" s="45" t="n"/>
      <c r="AE11" s="45" t="n">
        <v>0.981424074780618</v>
      </c>
      <c r="AF11" s="75">
        <f>IFERROR(AVERAGE(L11:U11),"")</f>
        <v/>
      </c>
      <c r="AG11" s="75">
        <f>IFERROR(AVERAGE(V11:AE11),"")</f>
        <v/>
      </c>
      <c r="AH11" s="75">
        <f>IFERROR(AVERAGE(B11:K11),"")</f>
        <v/>
      </c>
      <c r="AI11" s="45" t="n">
        <v>0.981906890869141</v>
      </c>
      <c r="AJ11" s="47" t="n">
        <v>0.00994873046875</v>
      </c>
    </row>
    <row r="12" ht="15" customHeight="1" s="30">
      <c r="A12" s="73" t="inlineStr">
        <is>
          <t>6389.jpg</t>
        </is>
      </c>
      <c r="B12" s="45" t="n"/>
      <c r="C12" s="45" t="n"/>
      <c r="D12" s="45" t="n"/>
      <c r="E12" s="45" t="n"/>
      <c r="F12" s="45" t="n">
        <v>0.949496862791524</v>
      </c>
      <c r="G12" s="45" t="n">
        <v>0.959402492668622</v>
      </c>
      <c r="H12" s="45" t="n"/>
      <c r="I12" s="45" t="n">
        <v>0</v>
      </c>
      <c r="J12" s="45" t="n"/>
      <c r="K12" s="45" t="n">
        <v>0.978468815784868</v>
      </c>
      <c r="L12" s="45" t="n"/>
      <c r="M12" s="45" t="n"/>
      <c r="N12" s="45" t="n"/>
      <c r="O12" s="45" t="n"/>
      <c r="P12" s="45" t="n">
        <v>0.994815310957307</v>
      </c>
      <c r="Q12" s="45" t="n">
        <v>0.974631103663362</v>
      </c>
      <c r="R12" s="45" t="n"/>
      <c r="S12" s="45" t="n">
        <v>0</v>
      </c>
      <c r="T12" s="45" t="n"/>
      <c r="U12" s="45" t="n">
        <v>0.994157483755265</v>
      </c>
      <c r="V12" s="45" t="n"/>
      <c r="W12" s="45" t="n"/>
      <c r="X12" s="45" t="n"/>
      <c r="Y12" s="45" t="n"/>
      <c r="Z12" s="45" t="n">
        <v>0.954218816922857</v>
      </c>
      <c r="AA12" s="45" t="n">
        <v>0.9839748108463739</v>
      </c>
      <c r="AB12" s="45" t="n"/>
      <c r="AC12" s="45" t="n"/>
      <c r="AD12" s="45" t="n"/>
      <c r="AE12" s="45" t="n">
        <v>0.984127862240305</v>
      </c>
      <c r="AF12" s="75">
        <f>IFERROR(AVERAGE(L12:U12),"")</f>
        <v/>
      </c>
      <c r="AG12" s="75">
        <f>IFERROR(AVERAGE(V12:AE12),"")</f>
        <v/>
      </c>
      <c r="AH12" s="75">
        <f>IFERROR(AVERAGE(B12:K12),"")</f>
        <v/>
      </c>
      <c r="AI12" s="45" t="n">
        <v>0.979320526123047</v>
      </c>
      <c r="AJ12" s="47" t="n">
        <v>0.0129280090332031</v>
      </c>
    </row>
    <row r="13" ht="15" customHeight="1" s="30">
      <c r="A13" s="73" t="inlineStr">
        <is>
          <t>6391.jpg</t>
        </is>
      </c>
      <c r="B13" s="45" t="n"/>
      <c r="C13" s="45" t="n"/>
      <c r="D13" s="45" t="n"/>
      <c r="E13" s="45" t="n"/>
      <c r="F13" s="45" t="n">
        <v>0.958583338951437</v>
      </c>
      <c r="G13" s="45" t="n">
        <v>0.948027641808235</v>
      </c>
      <c r="H13" s="45" t="n"/>
      <c r="I13" s="45" t="n">
        <v>0</v>
      </c>
      <c r="J13" s="45" t="n"/>
      <c r="K13" s="45" t="n">
        <v>0.979328437568972</v>
      </c>
      <c r="L13" s="45" t="n"/>
      <c r="M13" s="45" t="n"/>
      <c r="N13" s="45" t="n"/>
      <c r="O13" s="45" t="n"/>
      <c r="P13" s="45" t="n">
        <v>0.984126984126984</v>
      </c>
      <c r="Q13" s="45" t="n">
        <v>0.978697052266535</v>
      </c>
      <c r="R13" s="45" t="n"/>
      <c r="S13" s="45" t="n">
        <v>0</v>
      </c>
      <c r="T13" s="45" t="n"/>
      <c r="U13" s="45" t="n">
        <v>0.99272370414815</v>
      </c>
      <c r="V13" s="45" t="n"/>
      <c r="W13" s="45" t="n"/>
      <c r="X13" s="45" t="n"/>
      <c r="Y13" s="45" t="n"/>
      <c r="Z13" s="45" t="n">
        <v>0.973636757891854</v>
      </c>
      <c r="AA13" s="45" t="n">
        <v>0.968002744021952</v>
      </c>
      <c r="AB13" s="45" t="n"/>
      <c r="AC13" s="45" t="n"/>
      <c r="AD13" s="45" t="n"/>
      <c r="AE13" s="45" t="n">
        <v>0.986408993305545</v>
      </c>
      <c r="AF13" s="75">
        <f>IFERROR(AVERAGE(L13:U13),"")</f>
        <v/>
      </c>
      <c r="AG13" s="75">
        <f>IFERROR(AVERAGE(V13:AE13),"")</f>
        <v/>
      </c>
      <c r="AH13" s="75">
        <f>IFERROR(AVERAGE(B13:K13),"")</f>
        <v/>
      </c>
      <c r="AI13" s="45" t="n">
        <v>0.982841491699219</v>
      </c>
      <c r="AJ13" s="47" t="n">
        <v>0.00652694702148438</v>
      </c>
    </row>
    <row r="14" ht="15" customHeight="1" s="30">
      <c r="A14" s="73" t="inlineStr">
        <is>
          <t>6394.jpg</t>
        </is>
      </c>
      <c r="B14" s="45" t="n"/>
      <c r="C14" s="45" t="n"/>
      <c r="D14" s="45" t="n"/>
      <c r="E14" s="45" t="n"/>
      <c r="F14" s="45" t="n">
        <v>0.767334116079078</v>
      </c>
      <c r="G14" s="45" t="n">
        <v>0.939437487168959</v>
      </c>
      <c r="H14" s="45" t="n"/>
      <c r="I14" s="45" t="n"/>
      <c r="J14" s="45" t="n"/>
      <c r="K14" s="45" t="n">
        <v>0.909204297695979</v>
      </c>
      <c r="L14" s="45" t="n"/>
      <c r="M14" s="45" t="n"/>
      <c r="N14" s="45" t="n"/>
      <c r="O14" s="45" t="n"/>
      <c r="P14" s="45" t="n">
        <v>0.964885678943378</v>
      </c>
      <c r="Q14" s="45" t="n">
        <v>0.964180362410451</v>
      </c>
      <c r="R14" s="45" t="n"/>
      <c r="S14" s="45" t="n"/>
      <c r="T14" s="45" t="n"/>
      <c r="U14" s="45" t="n">
        <v>0.938334296226473</v>
      </c>
      <c r="V14" s="45" t="n"/>
      <c r="W14" s="45" t="n"/>
      <c r="X14" s="45" t="n"/>
      <c r="Y14" s="45" t="n"/>
      <c r="Z14" s="45" t="n">
        <v>0.789377468742859</v>
      </c>
      <c r="AA14" s="45" t="n">
        <v>0.9734099127845141</v>
      </c>
      <c r="AB14" s="45" t="n"/>
      <c r="AC14" s="45" t="n"/>
      <c r="AD14" s="45" t="n"/>
      <c r="AE14" s="45" t="n">
        <v>0.966982807244772</v>
      </c>
      <c r="AF14" s="75">
        <f>IFERROR(AVERAGE(L14:U14),"")</f>
        <v/>
      </c>
      <c r="AG14" s="75">
        <f>IFERROR(AVERAGE(V14:AE14),"")</f>
        <v/>
      </c>
      <c r="AH14" s="75">
        <f>IFERROR(AVERAGE(B14:K14),"")</f>
        <v/>
      </c>
      <c r="AI14" s="45" t="n">
        <v>0.9257049560546881</v>
      </c>
      <c r="AJ14" s="47" t="n">
        <v>0.019866943359375</v>
      </c>
    </row>
    <row r="15" ht="15" customHeight="1" s="30">
      <c r="A15" s="73" t="inlineStr">
        <is>
          <t>6405.jpg</t>
        </is>
      </c>
      <c r="B15" s="45" t="n"/>
      <c r="C15" s="45" t="n"/>
      <c r="D15" s="45" t="n"/>
      <c r="E15" s="45" t="n"/>
      <c r="F15" s="45" t="n">
        <v>0.934460486322189</v>
      </c>
      <c r="G15" s="45" t="n">
        <v>0.94530597900101</v>
      </c>
      <c r="H15" s="45" t="n"/>
      <c r="I15" s="45" t="n"/>
      <c r="J15" s="45" t="n"/>
      <c r="K15" s="45" t="n">
        <v>0.955069093749168</v>
      </c>
      <c r="L15" s="45" t="n"/>
      <c r="M15" s="45" t="n"/>
      <c r="N15" s="45" t="n"/>
      <c r="O15" s="45" t="n"/>
      <c r="P15" s="45" t="n">
        <v>0.944931805084203</v>
      </c>
      <c r="Q15" s="45" t="n">
        <v>0.983095760233918</v>
      </c>
      <c r="R15" s="45" t="n"/>
      <c r="S15" s="45" t="n"/>
      <c r="T15" s="45" t="n"/>
      <c r="U15" s="45" t="n">
        <v>0.99755733540983</v>
      </c>
      <c r="V15" s="45" t="n"/>
      <c r="W15" s="45" t="n"/>
      <c r="X15" s="45" t="n"/>
      <c r="Y15" s="45" t="n"/>
      <c r="Z15" s="45" t="n">
        <v>0.988280203589606</v>
      </c>
      <c r="AA15" s="45" t="n">
        <v>0.96092528915286</v>
      </c>
      <c r="AB15" s="45" t="n"/>
      <c r="AC15" s="45" t="n"/>
      <c r="AD15" s="45" t="n"/>
      <c r="AE15" s="45" t="n">
        <v>0.957307878782487</v>
      </c>
      <c r="AF15" s="75">
        <f>IFERROR(AVERAGE(L15:U15),"")</f>
        <v/>
      </c>
      <c r="AG15" s="75">
        <f>IFERROR(AVERAGE(V15:AE15),"")</f>
        <v/>
      </c>
      <c r="AH15" s="75">
        <f>IFERROR(AVERAGE(B15:K15),"")</f>
        <v/>
      </c>
      <c r="AI15" s="45" t="n">
        <v>0.959381103515625</v>
      </c>
      <c r="AJ15" s="47" t="n">
        <v>0.0339164733886719</v>
      </c>
    </row>
    <row r="16" ht="15" customHeight="1" s="30">
      <c r="A16" s="73" t="inlineStr">
        <is>
          <t>6412.jpg</t>
        </is>
      </c>
      <c r="B16" s="45" t="n"/>
      <c r="C16" s="45" t="n">
        <v>0</v>
      </c>
      <c r="D16" s="45" t="n">
        <v>0</v>
      </c>
      <c r="E16" s="45" t="n"/>
      <c r="F16" s="45" t="n">
        <v>0.949065955013344</v>
      </c>
      <c r="G16" s="45" t="n">
        <v>0</v>
      </c>
      <c r="H16" s="45" t="n">
        <v>0.761716134791341</v>
      </c>
      <c r="I16" s="45" t="n">
        <v>0.794520547945205</v>
      </c>
      <c r="J16" s="45" t="n">
        <v>0.905717761557178</v>
      </c>
      <c r="K16" s="45" t="n">
        <v>0.890493922574299</v>
      </c>
      <c r="L16" s="45" t="n"/>
      <c r="M16" s="45" t="n"/>
      <c r="N16" s="45" t="n">
        <v>0</v>
      </c>
      <c r="O16" s="45" t="n"/>
      <c r="P16" s="45" t="n">
        <v>0.969241551160256</v>
      </c>
      <c r="Q16" s="45" t="n">
        <v>0</v>
      </c>
      <c r="R16" s="45" t="n">
        <v>0.8190653308536811</v>
      </c>
      <c r="S16" s="45" t="n">
        <v>0.973880597014925</v>
      </c>
      <c r="T16" s="45" t="n">
        <v>0.934714375392342</v>
      </c>
      <c r="U16" s="45" t="n">
        <v>0.971553409221571</v>
      </c>
      <c r="V16" s="45" t="n"/>
      <c r="W16" s="45" t="n">
        <v>0</v>
      </c>
      <c r="X16" s="45" t="n"/>
      <c r="Y16" s="45" t="n"/>
      <c r="Z16" s="45" t="n">
        <v>0.978537735849057</v>
      </c>
      <c r="AA16" s="45" t="n"/>
      <c r="AB16" s="45" t="n">
        <v>0.915817011000805</v>
      </c>
      <c r="AC16" s="45" t="n">
        <v>0.811819595645412</v>
      </c>
      <c r="AD16" s="45" t="n">
        <v>0.966883116883117</v>
      </c>
      <c r="AE16" s="45" t="n">
        <v>0.914333532921173</v>
      </c>
      <c r="AF16" s="75">
        <f>IFERROR(AVERAGE(L16:U16),"")</f>
        <v/>
      </c>
      <c r="AG16" s="75">
        <f>IFERROR(AVERAGE(V16:AE16),"")</f>
        <v/>
      </c>
      <c r="AH16" s="75">
        <f>IFERROR(AVERAGE(B16:K16),"")</f>
        <v/>
      </c>
      <c r="AI16" s="45" t="n">
        <v>0.690288543701172</v>
      </c>
      <c r="AJ16" s="47" t="n">
        <v>0.0206298828125</v>
      </c>
    </row>
    <row r="17" ht="15" customHeight="1" s="30">
      <c r="A17" s="73" t="inlineStr">
        <is>
          <t>6417.jpg</t>
        </is>
      </c>
      <c r="B17" s="45" t="n"/>
      <c r="C17" s="45" t="n"/>
      <c r="D17" s="45" t="n">
        <v>0.902075856048113</v>
      </c>
      <c r="E17" s="45" t="n"/>
      <c r="F17" s="45" t="n">
        <v>0.928633992155071</v>
      </c>
      <c r="G17" s="45" t="n">
        <v>0.873720136518771</v>
      </c>
      <c r="H17" s="45" t="n">
        <v>0.918968090108138</v>
      </c>
      <c r="I17" s="45" t="n">
        <v>0.834675100632548</v>
      </c>
      <c r="J17" s="45" t="n">
        <v>0.866323907455013</v>
      </c>
      <c r="K17" s="45" t="n">
        <v>0.899438088488408</v>
      </c>
      <c r="L17" s="45" t="n"/>
      <c r="M17" s="45" t="n"/>
      <c r="N17" s="45" t="n">
        <v>0.932701469334537</v>
      </c>
      <c r="O17" s="45" t="n"/>
      <c r="P17" s="45" t="n">
        <v>0.964253232630788</v>
      </c>
      <c r="Q17" s="45" t="n">
        <v>0.876545558303215</v>
      </c>
      <c r="R17" s="45" t="n">
        <v>0.956937289795223</v>
      </c>
      <c r="S17" s="45" t="n">
        <v>0.925111536010198</v>
      </c>
      <c r="T17" s="45" t="n">
        <v>0.908355795148248</v>
      </c>
      <c r="U17" s="45" t="n">
        <v>0.972398317993998</v>
      </c>
      <c r="V17" s="45" t="n"/>
      <c r="W17" s="45" t="n"/>
      <c r="X17" s="45" t="n">
        <v>0.964878605519817</v>
      </c>
      <c r="Y17" s="45" t="n"/>
      <c r="Z17" s="45" t="n">
        <v>0.961743245908105</v>
      </c>
      <c r="AA17" s="45" t="n">
        <v>0.9963243243243241</v>
      </c>
      <c r="AB17" s="45" t="n">
        <v>0.95861054247697</v>
      </c>
      <c r="AC17" s="45" t="n">
        <v>0.895158803576935</v>
      </c>
      <c r="AD17" s="45" t="n">
        <v>0.9492957746478869</v>
      </c>
      <c r="AE17" s="45" t="n">
        <v>0.92300299572287</v>
      </c>
      <c r="AF17" s="75">
        <f>IFERROR(AVERAGE(L17:U17),"")</f>
        <v/>
      </c>
      <c r="AG17" s="75">
        <f>IFERROR(AVERAGE(V17:AE17),"")</f>
        <v/>
      </c>
      <c r="AH17" s="75">
        <f>IFERROR(AVERAGE(B17:K17),"")</f>
        <v/>
      </c>
      <c r="AI17" s="45" t="n">
        <v>0.943553924560547</v>
      </c>
      <c r="AJ17" s="47" t="n">
        <v>0.0173988342285156</v>
      </c>
    </row>
    <row r="18" ht="15" customHeight="1" s="30">
      <c r="A18" s="73" t="inlineStr">
        <is>
          <t>6419.jpg</t>
        </is>
      </c>
      <c r="B18" s="45" t="n"/>
      <c r="C18" s="45" t="n"/>
      <c r="D18" s="45" t="n">
        <v>0.848872414476104</v>
      </c>
      <c r="E18" s="45" t="n"/>
      <c r="F18" s="45" t="n">
        <v>0.907322971509182</v>
      </c>
      <c r="G18" s="45" t="n">
        <v>0.92814371257485</v>
      </c>
      <c r="H18" s="45" t="n">
        <v>0.883567036906736</v>
      </c>
      <c r="I18" s="45" t="n">
        <v>0.815474452554745</v>
      </c>
      <c r="J18" s="45" t="n"/>
      <c r="K18" s="45" t="n">
        <v>0.915387198192973</v>
      </c>
      <c r="L18" s="45" t="n"/>
      <c r="M18" s="45" t="n"/>
      <c r="N18" s="45" t="n">
        <v>0.952471663967997</v>
      </c>
      <c r="O18" s="45" t="n"/>
      <c r="P18" s="45" t="n">
        <v>0.954119205298013</v>
      </c>
      <c r="Q18" s="45" t="n">
        <v>0.978603998596984</v>
      </c>
      <c r="R18" s="45" t="n">
        <v>0.924356345408977</v>
      </c>
      <c r="S18" s="45" t="n">
        <v>0.898937882201481</v>
      </c>
      <c r="T18" s="45" t="n"/>
      <c r="U18" s="45" t="n">
        <v>0.982472808282008</v>
      </c>
      <c r="V18" s="45" t="n"/>
      <c r="W18" s="45" t="n"/>
      <c r="X18" s="45" t="n">
        <v>0.886420044911949</v>
      </c>
      <c r="Y18" s="45" t="n"/>
      <c r="Z18" s="45" t="n">
        <v>0.9487159225602531</v>
      </c>
      <c r="AA18" s="45" t="n">
        <v>0.947368421052632</v>
      </c>
      <c r="AB18" s="45" t="n">
        <v>0.9524334085778779</v>
      </c>
      <c r="AC18" s="45" t="n">
        <v>0.89778206364513</v>
      </c>
      <c r="AD18" s="45" t="n"/>
      <c r="AE18" s="45" t="n">
        <v>0.930584000496494</v>
      </c>
      <c r="AF18" s="75">
        <f>IFERROR(AVERAGE(L18:U18),"")</f>
        <v/>
      </c>
      <c r="AG18" s="75">
        <f>IFERROR(AVERAGE(V18:AE18),"")</f>
        <v/>
      </c>
      <c r="AH18" s="75">
        <f>IFERROR(AVERAGE(B18:K18),"")</f>
        <v/>
      </c>
      <c r="AI18" s="45" t="n">
        <v>0.931922912597656</v>
      </c>
      <c r="AJ18" s="47" t="n">
        <v>0.0297012329101563</v>
      </c>
    </row>
    <row r="19" ht="15" customHeight="1" s="30">
      <c r="A19" s="73" t="inlineStr">
        <is>
          <t>6420.jpg</t>
        </is>
      </c>
      <c r="B19" s="45" t="n"/>
      <c r="C19" s="45" t="n"/>
      <c r="D19" s="45" t="n">
        <v>0.809344507874813</v>
      </c>
      <c r="E19" s="45" t="n"/>
      <c r="F19" s="45" t="n">
        <v>0.925672662405233</v>
      </c>
      <c r="G19" s="45" t="n">
        <v>0.790309769658459</v>
      </c>
      <c r="H19" s="45" t="n">
        <v>0.90676206472432</v>
      </c>
      <c r="I19" s="45" t="n">
        <v>0.912415784408085</v>
      </c>
      <c r="J19" s="45" t="n"/>
      <c r="K19" s="45" t="n">
        <v>0.946949157948456</v>
      </c>
      <c r="L19" s="45" t="n"/>
      <c r="M19" s="45" t="n"/>
      <c r="N19" s="45" t="n">
        <v>0.97607421875</v>
      </c>
      <c r="O19" s="45" t="n"/>
      <c r="P19" s="45" t="n">
        <v>0.969610463758337</v>
      </c>
      <c r="Q19" s="45" t="n">
        <v>0.863340563991323</v>
      </c>
      <c r="R19" s="45" t="n">
        <v>0.953800567581103</v>
      </c>
      <c r="S19" s="45" t="n">
        <v>0.974306269270298</v>
      </c>
      <c r="T19" s="45" t="n"/>
      <c r="U19" s="45" t="n">
        <v>0.982030629796242</v>
      </c>
      <c r="V19" s="45" t="n"/>
      <c r="W19" s="45" t="n"/>
      <c r="X19" s="45" t="n">
        <v>0.825725969680697</v>
      </c>
      <c r="Y19" s="45" t="n"/>
      <c r="Z19" s="45" t="n">
        <v>0.953331121941262</v>
      </c>
      <c r="AA19" s="45" t="n">
        <v>0.903313663186564</v>
      </c>
      <c r="AB19" s="45" t="n">
        <v>0.94841752891053</v>
      </c>
      <c r="AC19" s="45" t="n">
        <v>0.93491124260355</v>
      </c>
      <c r="AD19" s="45" t="n"/>
      <c r="AE19" s="45" t="n">
        <v>0.963646691280886</v>
      </c>
      <c r="AF19" s="75">
        <f>IFERROR(AVERAGE(L19:U19),"")</f>
        <v/>
      </c>
      <c r="AG19" s="75">
        <f>IFERROR(AVERAGE(V19:AE19),"")</f>
        <v/>
      </c>
      <c r="AH19" s="75">
        <f>IFERROR(AVERAGE(B19:K19),"")</f>
        <v/>
      </c>
      <c r="AI19" s="45" t="n">
        <v>0.944549560546875</v>
      </c>
      <c r="AJ19" s="47" t="n">
        <v>0.0268592834472656</v>
      </c>
    </row>
    <row r="20" ht="15" customHeight="1" s="30">
      <c r="A20" s="73" t="inlineStr">
        <is>
          <t>6445.jpg</t>
        </is>
      </c>
      <c r="B20" s="45" t="n"/>
      <c r="C20" s="45" t="n"/>
      <c r="D20" s="45" t="n">
        <v>0.8646172140034269</v>
      </c>
      <c r="E20" s="45" t="n"/>
      <c r="F20" s="45" t="n">
        <v>0</v>
      </c>
      <c r="G20" s="45" t="n">
        <v>0.986282166816862</v>
      </c>
      <c r="H20" s="45" t="n">
        <v>0.683204259438529</v>
      </c>
      <c r="I20" s="45" t="n">
        <v>0.675707547169811</v>
      </c>
      <c r="J20" s="45" t="n">
        <v>0.934625788999098</v>
      </c>
      <c r="K20" s="45" t="n">
        <v>0.9006877910021091</v>
      </c>
      <c r="L20" s="45" t="n"/>
      <c r="M20" s="45" t="n"/>
      <c r="N20" s="45" t="n">
        <v>0.926993888034797</v>
      </c>
      <c r="O20" s="45" t="n"/>
      <c r="P20" s="45" t="n"/>
      <c r="Q20" s="45" t="n">
        <v>0.986603230249155</v>
      </c>
      <c r="R20" s="45" t="n">
        <v>0.729504489954131</v>
      </c>
      <c r="S20" s="45" t="n">
        <v>0.723789473684211</v>
      </c>
      <c r="T20" s="45" t="n">
        <v>0.957505773672056</v>
      </c>
      <c r="U20" s="45" t="n">
        <v>0.965927286248738</v>
      </c>
      <c r="V20" s="45" t="n"/>
      <c r="W20" s="45" t="n"/>
      <c r="X20" s="45" t="n">
        <v>0.927794040381296</v>
      </c>
      <c r="Y20" s="45" t="n"/>
      <c r="Z20" s="45" t="n">
        <v>0</v>
      </c>
      <c r="AA20" s="45" t="n">
        <v>0.999670159592013</v>
      </c>
      <c r="AB20" s="45" t="n">
        <v>0.91499878453934</v>
      </c>
      <c r="AC20" s="45" t="n">
        <v>0.910487288135593</v>
      </c>
      <c r="AD20" s="45" t="n">
        <v>0.9750705550329259</v>
      </c>
      <c r="AE20" s="45" t="n">
        <v>0.930242925631431</v>
      </c>
      <c r="AF20" s="75">
        <f>IFERROR(AVERAGE(L20:U20),"")</f>
        <v/>
      </c>
      <c r="AG20" s="75">
        <f>IFERROR(AVERAGE(V20:AE20),"")</f>
        <v/>
      </c>
      <c r="AH20" s="75">
        <f>IFERROR(AVERAGE(B20:K20),"")</f>
        <v/>
      </c>
      <c r="AI20" s="45" t="n">
        <v>0.938007354736328</v>
      </c>
      <c r="AJ20" s="47" t="n">
        <v>0.0145301818847656</v>
      </c>
    </row>
    <row r="21" ht="15" customHeight="1" s="30">
      <c r="A21" s="73" t="inlineStr">
        <is>
          <t>6449.jpg</t>
        </is>
      </c>
      <c r="B21" s="45" t="n"/>
      <c r="C21" s="45" t="n"/>
      <c r="D21" s="45" t="n">
        <v>0.849600663831553</v>
      </c>
      <c r="E21" s="45" t="n"/>
      <c r="F21" s="45" t="n"/>
      <c r="G21" s="45" t="n">
        <v>0.400144924254433</v>
      </c>
      <c r="H21" s="45" t="n">
        <v>0.875427130677106</v>
      </c>
      <c r="I21" s="45" t="n"/>
      <c r="J21" s="45" t="n">
        <v>0.674191121143717</v>
      </c>
      <c r="K21" s="45" t="n">
        <v>0</v>
      </c>
      <c r="L21" s="45" t="n"/>
      <c r="M21" s="45" t="n"/>
      <c r="N21" s="45" t="n">
        <v>0.981898825221769</v>
      </c>
      <c r="O21" s="45" t="n"/>
      <c r="P21" s="45" t="n"/>
      <c r="Q21" s="45" t="n">
        <v>0.400144924254433</v>
      </c>
      <c r="R21" s="45" t="n">
        <v>0.896483777815526</v>
      </c>
      <c r="S21" s="45" t="n"/>
      <c r="T21" s="45" t="n">
        <v>0.931877275091004</v>
      </c>
      <c r="U21" s="45" t="n"/>
      <c r="V21" s="45" t="n"/>
      <c r="W21" s="45" t="n"/>
      <c r="X21" s="45" t="n">
        <v>0.8631190727081141</v>
      </c>
      <c r="Y21" s="45" t="n"/>
      <c r="Z21" s="45" t="n"/>
      <c r="AA21" s="45" t="n">
        <v>1</v>
      </c>
      <c r="AB21" s="45" t="n">
        <v>0.973870682019486</v>
      </c>
      <c r="AC21" s="45" t="n"/>
      <c r="AD21" s="45" t="n">
        <v>0.709141274238227</v>
      </c>
      <c r="AE21" s="45" t="n">
        <v>0</v>
      </c>
      <c r="AF21" s="75">
        <f>IFERROR(AVERAGE(L21:U21),"")</f>
        <v/>
      </c>
      <c r="AG21" s="75">
        <f>IFERROR(AVERAGE(V21:AE21),"")</f>
        <v/>
      </c>
      <c r="AH21" s="75">
        <f>IFERROR(AVERAGE(B21:K21),"")</f>
        <v/>
      </c>
      <c r="AI21" s="45" t="n">
        <v>0.475788116455078</v>
      </c>
      <c r="AJ21" s="47" t="n">
        <v>0.00625228881835938</v>
      </c>
    </row>
    <row r="22" ht="15" customHeight="1" s="30">
      <c r="A22" s="73" t="inlineStr">
        <is>
          <t>6452.jpg</t>
        </is>
      </c>
      <c r="B22" s="45" t="n"/>
      <c r="C22" s="45" t="n"/>
      <c r="D22" s="45" t="n">
        <v>0.797499395572134</v>
      </c>
      <c r="E22" s="45" t="n"/>
      <c r="F22" s="45" t="n"/>
      <c r="G22" s="45" t="n">
        <v>0.995977115198862</v>
      </c>
      <c r="H22" s="45" t="n">
        <v>0.856269580499733</v>
      </c>
      <c r="I22" s="45" t="n">
        <v>0.718181818181818</v>
      </c>
      <c r="J22" s="45" t="n">
        <v>0.8616130453944471</v>
      </c>
      <c r="K22" s="45" t="n">
        <v>0.947199103221646</v>
      </c>
      <c r="L22" s="45" t="n"/>
      <c r="M22" s="45" t="n"/>
      <c r="N22" s="45" t="n">
        <v>0.993032857388612</v>
      </c>
      <c r="O22" s="45" t="n"/>
      <c r="P22" s="45" t="n"/>
      <c r="Q22" s="45" t="n">
        <v>0.999754941132598</v>
      </c>
      <c r="R22" s="45" t="n">
        <v>0.895834998800863</v>
      </c>
      <c r="S22" s="45" t="n">
        <v>0.763285024154589</v>
      </c>
      <c r="T22" s="45" t="n">
        <v>0.913124708080336</v>
      </c>
      <c r="U22" s="45" t="n">
        <v>0.9601740294511379</v>
      </c>
      <c r="V22" s="45" t="n"/>
      <c r="W22" s="45" t="n"/>
      <c r="X22" s="45" t="n">
        <v>0.80198673196485</v>
      </c>
      <c r="Y22" s="45" t="n"/>
      <c r="Z22" s="45" t="n"/>
      <c r="AA22" s="45" t="n">
        <v>0.996220325306833</v>
      </c>
      <c r="AB22" s="45" t="n">
        <v>0.950950441276307</v>
      </c>
      <c r="AC22" s="45" t="n">
        <v>0.923976608187135</v>
      </c>
      <c r="AD22" s="45" t="n">
        <v>0.938550168026884</v>
      </c>
      <c r="AE22" s="45" t="n">
        <v>0.985934290760587</v>
      </c>
      <c r="AF22" s="75">
        <f>IFERROR(AVERAGE(L22:U22),"")</f>
        <v/>
      </c>
      <c r="AG22" s="75">
        <f>IFERROR(AVERAGE(V22:AE22),"")</f>
        <v/>
      </c>
      <c r="AH22" s="75">
        <f>IFERROR(AVERAGE(B22:K22),"")</f>
        <v/>
      </c>
      <c r="AI22" s="45" t="n">
        <v>0.967437744140625</v>
      </c>
      <c r="AJ22" s="47" t="n">
        <v>0.0064697265625</v>
      </c>
    </row>
    <row r="23" ht="15" customHeight="1" s="30">
      <c r="A23" s="73" t="inlineStr">
        <is>
          <t>6467.jpg</t>
        </is>
      </c>
      <c r="B23" s="45" t="n"/>
      <c r="C23" s="45" t="n"/>
      <c r="D23" s="45" t="n">
        <v>0.87411875293749</v>
      </c>
      <c r="E23" s="45" t="n"/>
      <c r="F23" s="45" t="n">
        <v>0.8004757656854</v>
      </c>
      <c r="G23" s="45" t="n">
        <v>0.921378804547121</v>
      </c>
      <c r="H23" s="45" t="n">
        <v>0.837412621837157</v>
      </c>
      <c r="I23" s="45" t="n">
        <v>0.847576530612245</v>
      </c>
      <c r="J23" s="45" t="n">
        <v>0.443543579348993</v>
      </c>
      <c r="K23" s="45" t="n">
        <v>0.845979278932512</v>
      </c>
      <c r="L23" s="45" t="n"/>
      <c r="M23" s="45" t="n"/>
      <c r="N23" s="45" t="n">
        <v>0.9649942060568329</v>
      </c>
      <c r="O23" s="45" t="n"/>
      <c r="P23" s="45" t="n">
        <v>0.857434068034145</v>
      </c>
      <c r="Q23" s="45" t="n">
        <v>0.945154980439362</v>
      </c>
      <c r="R23" s="45" t="n">
        <v>0.895609139728335</v>
      </c>
      <c r="S23" s="45" t="n">
        <v>0.8635477582846</v>
      </c>
      <c r="T23" s="45" t="n">
        <v>0.67027027027027</v>
      </c>
      <c r="U23" s="45" t="n">
        <v>0.949661982734564</v>
      </c>
      <c r="V23" s="45" t="n"/>
      <c r="W23" s="45" t="n"/>
      <c r="X23" s="45" t="n">
        <v>0.902744070155001</v>
      </c>
      <c r="Y23" s="45" t="n"/>
      <c r="Z23" s="45" t="n">
        <v>0.923372436029361</v>
      </c>
      <c r="AA23" s="45" t="n">
        <v>0.973423214008988</v>
      </c>
      <c r="AB23" s="45" t="n">
        <v>0.927991620843153</v>
      </c>
      <c r="AC23" s="45" t="n">
        <v>0.978645066273932</v>
      </c>
      <c r="AD23" s="45" t="n">
        <v>0.567332621625744</v>
      </c>
      <c r="AE23" s="45" t="n">
        <v>0.885695815702868</v>
      </c>
      <c r="AF23" s="75">
        <f>IFERROR(AVERAGE(L23:U23),"")</f>
        <v/>
      </c>
      <c r="AG23" s="75">
        <f>IFERROR(AVERAGE(V23:AE23),"")</f>
        <v/>
      </c>
      <c r="AH23" s="75">
        <f>IFERROR(AVERAGE(B23:K23),"")</f>
        <v/>
      </c>
      <c r="AI23" s="45" t="n">
        <v>0.8960418701171881</v>
      </c>
      <c r="AJ23" s="47" t="n">
        <v>0.036895751953125</v>
      </c>
    </row>
    <row r="24" ht="15" customHeight="1" s="30">
      <c r="A24" s="73" t="inlineStr">
        <is>
          <t>6468.jpg</t>
        </is>
      </c>
      <c r="B24" s="45" t="n"/>
      <c r="C24" s="45" t="n"/>
      <c r="D24" s="45" t="n">
        <v>0.8780955059141961</v>
      </c>
      <c r="E24" s="45" t="n"/>
      <c r="F24" s="45" t="n">
        <v>0.851089406461307</v>
      </c>
      <c r="G24" s="45" t="n">
        <v>0.978313253012048</v>
      </c>
      <c r="H24" s="45" t="n">
        <v>0.799458497144129</v>
      </c>
      <c r="I24" s="45" t="n">
        <v>0.801185590515276</v>
      </c>
      <c r="J24" s="45" t="n">
        <v>0.680743441948006</v>
      </c>
      <c r="K24" s="45" t="n">
        <v>0.871006009632461</v>
      </c>
      <c r="L24" s="45" t="n"/>
      <c r="M24" s="45" t="n"/>
      <c r="N24" s="45" t="n">
        <v>0.928556825573832</v>
      </c>
      <c r="O24" s="45" t="n"/>
      <c r="P24" s="45" t="n">
        <v>0.893516327496451</v>
      </c>
      <c r="Q24" s="45" t="n">
        <v>0.982093867075725</v>
      </c>
      <c r="R24" s="45" t="n">
        <v>0.848722290034256</v>
      </c>
      <c r="S24" s="45" t="n">
        <v>0.819114219114219</v>
      </c>
      <c r="T24" s="45" t="n">
        <v>0.708063134711856</v>
      </c>
      <c r="U24" s="45" t="n">
        <v>0.982956686253918</v>
      </c>
      <c r="V24" s="45" t="n"/>
      <c r="W24" s="45" t="n"/>
      <c r="X24" s="45" t="n">
        <v>0.941718658699791</v>
      </c>
      <c r="Y24" s="45" t="n"/>
      <c r="Z24" s="45" t="n">
        <v>0.947157190635452</v>
      </c>
      <c r="AA24" s="45" t="n">
        <v>0.99608054333842</v>
      </c>
      <c r="AB24" s="45" t="n">
        <v>0.932309688581315</v>
      </c>
      <c r="AC24" s="45" t="n">
        <v>0.973407202216067</v>
      </c>
      <c r="AD24" s="45" t="n">
        <v>0.94636140637776</v>
      </c>
      <c r="AE24" s="45" t="n">
        <v>0.884361837170388</v>
      </c>
      <c r="AF24" s="75">
        <f>IFERROR(AVERAGE(L24:U24),"")</f>
        <v/>
      </c>
      <c r="AG24" s="75">
        <f>IFERROR(AVERAGE(V24:AE24),"")</f>
        <v/>
      </c>
      <c r="AH24" s="75">
        <f>IFERROR(AVERAGE(B24:K24),"")</f>
        <v/>
      </c>
      <c r="AI24" s="45" t="n">
        <v>0.917934417724609</v>
      </c>
      <c r="AJ24" s="47" t="n">
        <v>0.0291633605957031</v>
      </c>
    </row>
    <row r="25" ht="15" customHeight="1" s="30">
      <c r="A25" s="73" t="inlineStr">
        <is>
          <t>6476.jpg</t>
        </is>
      </c>
      <c r="B25" s="45" t="n"/>
      <c r="C25" s="45" t="n"/>
      <c r="D25" s="45" t="n">
        <v>0.7069124956652409</v>
      </c>
      <c r="E25" s="45" t="n"/>
      <c r="F25" s="45" t="n">
        <v>0</v>
      </c>
      <c r="G25" s="45" t="n">
        <v>0.932765815786658</v>
      </c>
      <c r="H25" s="45" t="n">
        <v>0.886451092353525</v>
      </c>
      <c r="I25" s="45" t="n">
        <v>0</v>
      </c>
      <c r="J25" s="45" t="n">
        <v>0.418580375782881</v>
      </c>
      <c r="K25" s="45" t="n">
        <v>0.894742526352169</v>
      </c>
      <c r="L25" s="45" t="n"/>
      <c r="M25" s="45" t="n"/>
      <c r="N25" s="45" t="n">
        <v>0.797015508927408</v>
      </c>
      <c r="O25" s="45" t="n"/>
      <c r="P25" s="45" t="n">
        <v>0</v>
      </c>
      <c r="Q25" s="45" t="n">
        <v>0.976707127295363</v>
      </c>
      <c r="R25" s="45" t="n">
        <v>0.939730894496167</v>
      </c>
      <c r="S25" s="45" t="n">
        <v>0</v>
      </c>
      <c r="T25" s="45" t="n">
        <v>0.525557011795544</v>
      </c>
      <c r="U25" s="45" t="n">
        <v>0.967631165028888</v>
      </c>
      <c r="V25" s="45" t="n"/>
      <c r="W25" s="45" t="n"/>
      <c r="X25" s="45" t="n">
        <v>0.862127299640516</v>
      </c>
      <c r="Y25" s="45" t="n"/>
      <c r="Z25" s="45" t="n"/>
      <c r="AA25" s="45" t="n">
        <v>0.953987207860113</v>
      </c>
      <c r="AB25" s="45" t="n">
        <v>0.939885496183206</v>
      </c>
      <c r="AC25" s="45" t="n"/>
      <c r="AD25" s="45" t="n">
        <v>0.672818791946309</v>
      </c>
      <c r="AE25" s="45" t="n">
        <v>0.922348976850168</v>
      </c>
      <c r="AF25" s="75">
        <f>IFERROR(AVERAGE(L25:U25),"")</f>
        <v/>
      </c>
      <c r="AG25" s="75">
        <f>IFERROR(AVERAGE(V25:AE25),"")</f>
        <v/>
      </c>
      <c r="AH25" s="75">
        <f>IFERROR(AVERAGE(B25:K25),"")</f>
        <v/>
      </c>
      <c r="AI25" s="45" t="n">
        <v>0.93048095703125</v>
      </c>
      <c r="AJ25" s="47" t="n">
        <v>0.019989013671875</v>
      </c>
    </row>
    <row r="26" ht="15" customHeight="1" s="30">
      <c r="A26" s="73" t="inlineStr">
        <is>
          <t>6488.jpg</t>
        </is>
      </c>
      <c r="B26" s="45" t="n"/>
      <c r="C26" s="45" t="n"/>
      <c r="D26" s="45" t="n">
        <v>0.669375983219717</v>
      </c>
      <c r="E26" s="45" t="n"/>
      <c r="F26" s="45" t="n"/>
      <c r="G26" s="45" t="n">
        <v>0.982787392814786</v>
      </c>
      <c r="H26" s="45" t="n">
        <v>0.917138073041589</v>
      </c>
      <c r="I26" s="45" t="n"/>
      <c r="J26" s="45" t="n"/>
      <c r="K26" s="45" t="n">
        <v>0.8578660166475079</v>
      </c>
      <c r="L26" s="45" t="n"/>
      <c r="M26" s="45" t="n"/>
      <c r="N26" s="45" t="n">
        <v>0.735099337748344</v>
      </c>
      <c r="O26" s="45" t="n"/>
      <c r="P26" s="45" t="n"/>
      <c r="Q26" s="45" t="n">
        <v>0.990343937727388</v>
      </c>
      <c r="R26" s="45" t="n">
        <v>0.958611229364742</v>
      </c>
      <c r="S26" s="45" t="n"/>
      <c r="T26" s="45" t="n"/>
      <c r="U26" s="45" t="n">
        <v>0.994030090270813</v>
      </c>
      <c r="V26" s="45" t="n"/>
      <c r="W26" s="45" t="n"/>
      <c r="X26" s="45" t="n">
        <v>0.88217000691085</v>
      </c>
      <c r="Y26" s="45" t="n"/>
      <c r="Z26" s="45" t="n"/>
      <c r="AA26" s="45" t="n">
        <v>0.992295954051247</v>
      </c>
      <c r="AB26" s="45" t="n">
        <v>0.954952407878617</v>
      </c>
      <c r="AC26" s="45" t="n"/>
      <c r="AD26" s="45" t="n"/>
      <c r="AE26" s="45" t="n">
        <v>0.86230875248848</v>
      </c>
      <c r="AF26" s="75">
        <f>IFERROR(AVERAGE(L26:U26),"")</f>
        <v/>
      </c>
      <c r="AG26" s="75">
        <f>IFERROR(AVERAGE(V26:AE26),"")</f>
        <v/>
      </c>
      <c r="AH26" s="75">
        <f>IFERROR(AVERAGE(B26:K26),"")</f>
        <v/>
      </c>
      <c r="AI26" s="45" t="n">
        <v>0.916820526123047</v>
      </c>
      <c r="AJ26" s="47" t="n">
        <v>0.0700111389160156</v>
      </c>
    </row>
    <row r="27" ht="15" customHeight="1" s="30">
      <c r="A27" s="73" t="inlineStr">
        <is>
          <t>6514.jpg</t>
        </is>
      </c>
      <c r="B27" s="45" t="n"/>
      <c r="C27" s="45" t="n"/>
      <c r="D27" s="45" t="n">
        <v>0.74181376311077</v>
      </c>
      <c r="E27" s="45" t="n"/>
      <c r="F27" s="45" t="n"/>
      <c r="G27" s="45" t="n">
        <v>0</v>
      </c>
      <c r="H27" s="45" t="n">
        <v>0.972687730320788</v>
      </c>
      <c r="I27" s="45" t="n"/>
      <c r="J27" s="45" t="n"/>
      <c r="K27" s="45" t="n">
        <v>0.903536646701111</v>
      </c>
      <c r="L27" s="45" t="n"/>
      <c r="M27" s="45" t="n"/>
      <c r="N27" s="45" t="n">
        <v>0.832663316582915</v>
      </c>
      <c r="O27" s="45" t="n"/>
      <c r="P27" s="45" t="n"/>
      <c r="Q27" s="45" t="n">
        <v>0</v>
      </c>
      <c r="R27" s="45" t="n">
        <v>0.984812712548626</v>
      </c>
      <c r="S27" s="45" t="n"/>
      <c r="T27" s="45" t="n"/>
      <c r="U27" s="45" t="n">
        <v>0.979043065756716</v>
      </c>
      <c r="V27" s="45" t="n"/>
      <c r="W27" s="45" t="n"/>
      <c r="X27" s="45" t="n">
        <v>0.871777527245397</v>
      </c>
      <c r="Y27" s="45" t="n"/>
      <c r="Z27" s="45" t="n"/>
      <c r="AA27" s="45" t="n"/>
      <c r="AB27" s="45" t="n">
        <v>0.987500536655075</v>
      </c>
      <c r="AC27" s="45" t="n"/>
      <c r="AD27" s="45" t="n"/>
      <c r="AE27" s="45" t="n">
        <v>0.921356303618053</v>
      </c>
      <c r="AF27" s="75">
        <f>IFERROR(AVERAGE(L27:U27),"")</f>
        <v/>
      </c>
      <c r="AG27" s="75">
        <f>IFERROR(AVERAGE(V27:AE27),"")</f>
        <v/>
      </c>
      <c r="AH27" s="75">
        <f>IFERROR(AVERAGE(B27:K27),"")</f>
        <v/>
      </c>
      <c r="AI27" s="45" t="n">
        <v>0.959980010986328</v>
      </c>
      <c r="AJ27" s="47" t="n">
        <v>0.0072021484375</v>
      </c>
    </row>
    <row r="28" ht="15" customHeight="1" s="30">
      <c r="A28" s="73" t="inlineStr">
        <is>
          <t>6517.jpg</t>
        </is>
      </c>
      <c r="B28" s="45" t="n"/>
      <c r="C28" s="45" t="n"/>
      <c r="D28" s="45" t="n">
        <v>0.814746259447787</v>
      </c>
      <c r="E28" s="45" t="n"/>
      <c r="F28" s="45" t="n"/>
      <c r="G28" s="45" t="n">
        <v>0.425119881962376</v>
      </c>
      <c r="H28" s="45" t="n">
        <v>0.964473773558117</v>
      </c>
      <c r="I28" s="45" t="n"/>
      <c r="J28" s="45" t="n"/>
      <c r="K28" s="45" t="n">
        <v>0.895671756980731</v>
      </c>
      <c r="L28" s="45" t="n"/>
      <c r="M28" s="45" t="n"/>
      <c r="N28" s="45" t="n">
        <v>0.9240323638749181</v>
      </c>
      <c r="O28" s="45" t="n"/>
      <c r="P28" s="45" t="n"/>
      <c r="Q28" s="45" t="n">
        <v>0.484956869345676</v>
      </c>
      <c r="R28" s="45" t="n">
        <v>0.982060694440953</v>
      </c>
      <c r="S28" s="45" t="n"/>
      <c r="T28" s="45" t="n"/>
      <c r="U28" s="45" t="n">
        <v>0.956713876425753</v>
      </c>
      <c r="V28" s="45" t="n"/>
      <c r="W28" s="45" t="n"/>
      <c r="X28" s="45" t="n">
        <v>0.873238272370325</v>
      </c>
      <c r="Y28" s="45" t="n"/>
      <c r="Z28" s="45" t="n"/>
      <c r="AA28" s="45" t="n">
        <v>0.7750504371217219</v>
      </c>
      <c r="AB28" s="45" t="n">
        <v>0.981770653328222</v>
      </c>
      <c r="AC28" s="45" t="n"/>
      <c r="AD28" s="45" t="n"/>
      <c r="AE28" s="45" t="n">
        <v>0.933501239516852</v>
      </c>
      <c r="AF28" s="75">
        <f>IFERROR(AVERAGE(L28:U28),"")</f>
        <v/>
      </c>
      <c r="AG28" s="75">
        <f>IFERROR(AVERAGE(V28:AE28),"")</f>
        <v/>
      </c>
      <c r="AH28" s="75">
        <f>IFERROR(AVERAGE(B28:K28),"")</f>
        <v/>
      </c>
      <c r="AI28" s="45" t="n">
        <v>0.9554443359375</v>
      </c>
      <c r="AJ28" s="47" t="n">
        <v>0.00548553466796875</v>
      </c>
    </row>
    <row r="29" ht="15" customHeight="1" s="30">
      <c r="A29" s="73" t="inlineStr">
        <is>
          <t>6536.jpg</t>
        </is>
      </c>
      <c r="B29" s="45" t="n"/>
      <c r="C29" s="45" t="n"/>
      <c r="D29" s="45" t="n">
        <v>0</v>
      </c>
      <c r="E29" s="45" t="n"/>
      <c r="F29" s="45" t="n">
        <v>0.870136580106029</v>
      </c>
      <c r="G29" s="45" t="n">
        <v>0.229728409534975</v>
      </c>
      <c r="H29" s="45" t="n">
        <v>0.86078989782027</v>
      </c>
      <c r="I29" s="45" t="n">
        <v>0.8535754824063559</v>
      </c>
      <c r="J29" s="45" t="n"/>
      <c r="K29" s="45" t="n">
        <v>0.797935275562117</v>
      </c>
      <c r="L29" s="45" t="n"/>
      <c r="M29" s="45" t="n"/>
      <c r="N29" s="45" t="n">
        <v>0</v>
      </c>
      <c r="O29" s="45" t="n"/>
      <c r="P29" s="45" t="n">
        <v>0.967359272763598</v>
      </c>
      <c r="Q29" s="45" t="n">
        <v>0.547051296964057</v>
      </c>
      <c r="R29" s="45" t="n">
        <v>0.889489853666424</v>
      </c>
      <c r="S29" s="45" t="n">
        <v>0.919315403422983</v>
      </c>
      <c r="T29" s="45" t="n"/>
      <c r="U29" s="45" t="n">
        <v>0.9174930389331249</v>
      </c>
      <c r="V29" s="45" t="n"/>
      <c r="W29" s="45" t="n"/>
      <c r="X29" s="45" t="n"/>
      <c r="Y29" s="45" t="n"/>
      <c r="Z29" s="45" t="n">
        <v>0.896456756694207</v>
      </c>
      <c r="AA29" s="45" t="n">
        <v>0.283689226685969</v>
      </c>
      <c r="AB29" s="45" t="n">
        <v>0.963870515572298</v>
      </c>
      <c r="AC29" s="45" t="n">
        <v>0.922699386503068</v>
      </c>
      <c r="AD29" s="45" t="n"/>
      <c r="AE29" s="45" t="n">
        <v>0.859617607011682</v>
      </c>
      <c r="AF29" s="75">
        <f>IFERROR(AVERAGE(L29:U29),"")</f>
        <v/>
      </c>
      <c r="AG29" s="75">
        <f>IFERROR(AVERAGE(V29:AE29),"")</f>
        <v/>
      </c>
      <c r="AH29" s="75">
        <f>IFERROR(AVERAGE(B29:K29),"")</f>
        <v/>
      </c>
      <c r="AI29" s="45" t="n">
        <v>0.874858856201172</v>
      </c>
      <c r="AJ29" s="47" t="n">
        <v>0.0233039855957031</v>
      </c>
    </row>
    <row r="30" ht="15" customHeight="1" s="30">
      <c r="A30" s="73" t="inlineStr">
        <is>
          <t>6545.jpg</t>
        </is>
      </c>
      <c r="B30" s="45" t="n"/>
      <c r="C30" s="45" t="n"/>
      <c r="D30" s="45" t="n">
        <v>0.854674796747967</v>
      </c>
      <c r="E30" s="45" t="n"/>
      <c r="F30" s="45" t="n"/>
      <c r="G30" s="45" t="n">
        <v>0.696225802963123</v>
      </c>
      <c r="H30" s="45" t="n">
        <v>0.966510156620265</v>
      </c>
      <c r="I30" s="45" t="n"/>
      <c r="J30" s="45" t="n"/>
      <c r="K30" s="45" t="n">
        <v>0.958931476354919</v>
      </c>
      <c r="L30" s="45" t="n"/>
      <c r="M30" s="45" t="n"/>
      <c r="N30" s="45" t="n">
        <v>0.855544252288912</v>
      </c>
      <c r="O30" s="45" t="n"/>
      <c r="P30" s="45" t="n"/>
      <c r="Q30" s="45" t="n">
        <v>0.698567708333333</v>
      </c>
      <c r="R30" s="45" t="n">
        <v>0.9986732265081369</v>
      </c>
      <c r="S30" s="45" t="n"/>
      <c r="T30" s="45" t="n"/>
      <c r="U30" s="45" t="n">
        <v>0.977852798230552</v>
      </c>
      <c r="V30" s="45" t="n"/>
      <c r="W30" s="45" t="n"/>
      <c r="X30" s="45" t="n">
        <v>0.998812351543943</v>
      </c>
      <c r="Y30" s="45" t="n"/>
      <c r="Z30" s="45" t="n"/>
      <c r="AA30" s="45" t="n">
        <v>0.9952079146699651</v>
      </c>
      <c r="AB30" s="45" t="n">
        <v>0.967752793488757</v>
      </c>
      <c r="AC30" s="45" t="n"/>
      <c r="AD30" s="45" t="n"/>
      <c r="AE30" s="45" t="n">
        <v>0.980220549623665</v>
      </c>
      <c r="AF30" s="75">
        <f>IFERROR(AVERAGE(L30:U30),"")</f>
        <v/>
      </c>
      <c r="AG30" s="75">
        <f>IFERROR(AVERAGE(V30:AE30),"")</f>
        <v/>
      </c>
      <c r="AH30" s="75">
        <f>IFERROR(AVERAGE(B30:K30),"")</f>
        <v/>
      </c>
      <c r="AI30" s="45" t="n">
        <v>0.972389221191406</v>
      </c>
      <c r="AJ30" s="47" t="n">
        <v>0.00652694702148438</v>
      </c>
    </row>
    <row r="31" ht="15" customHeight="1" s="30">
      <c r="A31" s="73" t="inlineStr">
        <is>
          <t>6550.jpg</t>
        </is>
      </c>
      <c r="B31" s="45" t="n"/>
      <c r="C31" s="45" t="n"/>
      <c r="D31" s="45" t="n">
        <v>0</v>
      </c>
      <c r="E31" s="45" t="n"/>
      <c r="F31" s="45" t="n">
        <v>0.470072262873245</v>
      </c>
      <c r="G31" s="45" t="n">
        <v>0.805950335780103</v>
      </c>
      <c r="H31" s="45" t="n">
        <v>0.817146545083588</v>
      </c>
      <c r="I31" s="45" t="n"/>
      <c r="J31" s="45" t="n"/>
      <c r="K31" s="45" t="n">
        <v>0.834067299006323</v>
      </c>
      <c r="L31" s="45" t="n"/>
      <c r="M31" s="45" t="n"/>
      <c r="N31" s="45" t="n">
        <v>0</v>
      </c>
      <c r="O31" s="45" t="n"/>
      <c r="P31" s="45" t="n">
        <v>0.892176313292504</v>
      </c>
      <c r="Q31" s="45" t="n">
        <v>0.919097021238702</v>
      </c>
      <c r="R31" s="45" t="n">
        <v>0.853297969476934</v>
      </c>
      <c r="S31" s="45" t="n"/>
      <c r="T31" s="45" t="n"/>
      <c r="U31" s="45" t="n">
        <v>0.946577602639883</v>
      </c>
      <c r="V31" s="45" t="n"/>
      <c r="W31" s="45" t="n"/>
      <c r="X31" s="45" t="n"/>
      <c r="Y31" s="45" t="n"/>
      <c r="Z31" s="45" t="n">
        <v>0.498385775550523</v>
      </c>
      <c r="AA31" s="45" t="n">
        <v>0.867493170834209</v>
      </c>
      <c r="AB31" s="45" t="n">
        <v>0.950708489766259</v>
      </c>
      <c r="AC31" s="45" t="n"/>
      <c r="AD31" s="45" t="n"/>
      <c r="AE31" s="45" t="n">
        <v>0.875268466813799</v>
      </c>
      <c r="AF31" s="75">
        <f>IFERROR(AVERAGE(L31:U31),"")</f>
        <v/>
      </c>
      <c r="AG31" s="75">
        <f>IFERROR(AVERAGE(V31:AE31),"")</f>
        <v/>
      </c>
      <c r="AH31" s="75">
        <f>IFERROR(AVERAGE(B31:K31),"")</f>
        <v/>
      </c>
      <c r="AI31" s="45" t="n">
        <v>0.868488311767578</v>
      </c>
      <c r="AJ31" s="47" t="n">
        <v>0.0200920104980469</v>
      </c>
    </row>
    <row r="32" ht="15" customHeight="1" s="30">
      <c r="A32" s="73" t="inlineStr">
        <is>
          <t>6553.jpg</t>
        </is>
      </c>
      <c r="B32" s="45" t="n"/>
      <c r="C32" s="45" t="n"/>
      <c r="D32" s="45" t="n">
        <v>0.714857744994731</v>
      </c>
      <c r="E32" s="45" t="n"/>
      <c r="F32" s="45" t="n"/>
      <c r="G32" s="45" t="n">
        <v>0.829709630050684</v>
      </c>
      <c r="H32" s="45" t="n">
        <v>0.896392142047601</v>
      </c>
      <c r="I32" s="45" t="n"/>
      <c r="J32" s="45" t="n">
        <v>0.6170741815167839</v>
      </c>
      <c r="K32" s="45" t="n">
        <v>0.85360760340904</v>
      </c>
      <c r="L32" s="45" t="n"/>
      <c r="M32" s="45" t="n"/>
      <c r="N32" s="45" t="n">
        <v>0.773193526327787</v>
      </c>
      <c r="O32" s="45" t="n"/>
      <c r="P32" s="45" t="n"/>
      <c r="Q32" s="45" t="n">
        <v>0.938189608998393</v>
      </c>
      <c r="R32" s="45" t="n">
        <v>0.959245869776482</v>
      </c>
      <c r="S32" s="45" t="n"/>
      <c r="T32" s="45" t="n">
        <v>0.6170741815167839</v>
      </c>
      <c r="U32" s="45" t="n">
        <v>0.927210158976347</v>
      </c>
      <c r="V32" s="45" t="n"/>
      <c r="W32" s="45" t="n"/>
      <c r="X32" s="45" t="n">
        <v>0.904533333333333</v>
      </c>
      <c r="Y32" s="45" t="n"/>
      <c r="Z32" s="45" t="n"/>
      <c r="AA32" s="45" t="n">
        <v>0.8776870271082829</v>
      </c>
      <c r="AB32" s="45" t="n">
        <v>0.9318816936300059</v>
      </c>
      <c r="AC32" s="45" t="n"/>
      <c r="AD32" s="45" t="n">
        <v>1</v>
      </c>
      <c r="AE32" s="45" t="n">
        <v>0.914917835211295</v>
      </c>
      <c r="AF32" s="75">
        <f>IFERROR(AVERAGE(L32:U32),"")</f>
        <v/>
      </c>
      <c r="AG32" s="75">
        <f>IFERROR(AVERAGE(V32:AE32),"")</f>
        <v/>
      </c>
      <c r="AH32" s="75">
        <f>IFERROR(AVERAGE(B32:K32),"")</f>
        <v/>
      </c>
      <c r="AI32" s="45" t="n">
        <v>0.920986175537109</v>
      </c>
      <c r="AJ32" s="47" t="n">
        <v>0.0186500549316406</v>
      </c>
    </row>
    <row r="33" ht="15" customHeight="1" s="30">
      <c r="A33" s="73" t="inlineStr">
        <is>
          <t>6557.jpg</t>
        </is>
      </c>
      <c r="B33" s="45" t="n"/>
      <c r="C33" s="45" t="n"/>
      <c r="D33" s="45" t="n">
        <v>0.924753212888806</v>
      </c>
      <c r="E33" s="45" t="n"/>
      <c r="F33" s="45" t="n">
        <v>0</v>
      </c>
      <c r="G33" s="45" t="n">
        <v>0.86207870457541</v>
      </c>
      <c r="H33" s="45" t="n">
        <v>0.910166270783848</v>
      </c>
      <c r="I33" s="45" t="n">
        <v>0.7840909090909089</v>
      </c>
      <c r="J33" s="45" t="n">
        <v>0.8201648085312651</v>
      </c>
      <c r="K33" s="45" t="n">
        <v>0.854683873840699</v>
      </c>
      <c r="L33" s="45" t="n"/>
      <c r="M33" s="45" t="n"/>
      <c r="N33" s="45" t="n">
        <v>0.969347910972277</v>
      </c>
      <c r="O33" s="45" t="n"/>
      <c r="P33" s="45" t="n">
        <v>0</v>
      </c>
      <c r="Q33" s="45" t="n">
        <v>0.917535070140281</v>
      </c>
      <c r="R33" s="45" t="n">
        <v>0.962086973988149</v>
      </c>
      <c r="S33" s="45" t="n">
        <v>0.832579185520362</v>
      </c>
      <c r="T33" s="45" t="n">
        <v>0.861507128309572</v>
      </c>
      <c r="U33" s="45" t="n">
        <v>0.959450885389629</v>
      </c>
      <c r="V33" s="45" t="n"/>
      <c r="W33" s="45" t="n"/>
      <c r="X33" s="45" t="n">
        <v>0.952609363008442</v>
      </c>
      <c r="Y33" s="45" t="n"/>
      <c r="Z33" s="45" t="n"/>
      <c r="AA33" s="45" t="n">
        <v>0.934483110521482</v>
      </c>
      <c r="AB33" s="45" t="n">
        <v>0.944025622074403</v>
      </c>
      <c r="AC33" s="45" t="n">
        <v>0.930860033726813</v>
      </c>
      <c r="AD33" s="45" t="n">
        <v>0.944723618090452</v>
      </c>
      <c r="AE33" s="45" t="n">
        <v>0.886713162453911</v>
      </c>
      <c r="AF33" s="75">
        <f>IFERROR(AVERAGE(L33:U33),"")</f>
        <v/>
      </c>
      <c r="AG33" s="75">
        <f>IFERROR(AVERAGE(V33:AE33),"")</f>
        <v/>
      </c>
      <c r="AH33" s="75">
        <f>IFERROR(AVERAGE(B33:K33),"")</f>
        <v/>
      </c>
      <c r="AI33" s="45" t="n">
        <v>0.919548034667969</v>
      </c>
      <c r="AJ33" s="47" t="n">
        <v>0.0315093994140625</v>
      </c>
    </row>
    <row r="34" ht="15" customHeight="1" s="30">
      <c r="A34" s="73" t="inlineStr">
        <is>
          <t>6558.jpg</t>
        </is>
      </c>
      <c r="B34" s="45" t="n"/>
      <c r="C34" s="45" t="n"/>
      <c r="D34" s="45" t="n">
        <v>0.764910940260733</v>
      </c>
      <c r="E34" s="45" t="n"/>
      <c r="F34" s="45" t="n">
        <v>0</v>
      </c>
      <c r="G34" s="45" t="n">
        <v>0.85015929908403</v>
      </c>
      <c r="H34" s="45" t="n">
        <v>0.916002135127703</v>
      </c>
      <c r="I34" s="45" t="n">
        <v>0.649157581764123</v>
      </c>
      <c r="J34" s="45" t="n">
        <v>0.76271186440678</v>
      </c>
      <c r="K34" s="45" t="n">
        <v>0.825710090203482</v>
      </c>
      <c r="L34" s="45" t="n"/>
      <c r="M34" s="45" t="n"/>
      <c r="N34" s="45" t="n">
        <v>0.7995407806728561</v>
      </c>
      <c r="O34" s="45" t="n"/>
      <c r="P34" s="45" t="n">
        <v>0</v>
      </c>
      <c r="Q34" s="45" t="n">
        <v>0.926540798611111</v>
      </c>
      <c r="R34" s="45" t="n">
        <v>0.952380952380952</v>
      </c>
      <c r="S34" s="45" t="n">
        <v>0.661616161616162</v>
      </c>
      <c r="T34" s="45" t="n">
        <v>0.9087237479806139</v>
      </c>
      <c r="U34" s="45" t="n">
        <v>0.967153499891888</v>
      </c>
      <c r="V34" s="45" t="n"/>
      <c r="W34" s="45" t="n"/>
      <c r="X34" s="45" t="n">
        <v>0.946410635155096</v>
      </c>
      <c r="Y34" s="45" t="n"/>
      <c r="Z34" s="45" t="n"/>
      <c r="AA34" s="45" t="n">
        <v>0.911604569232412</v>
      </c>
      <c r="AB34" s="45" t="n">
        <v>0.959968809065713</v>
      </c>
      <c r="AC34" s="45" t="n">
        <v>0.971810089020772</v>
      </c>
      <c r="AD34" s="45" t="n">
        <v>0.825991189427313</v>
      </c>
      <c r="AE34" s="45" t="n">
        <v>0.849533379952173</v>
      </c>
      <c r="AF34" s="75">
        <f>IFERROR(AVERAGE(L34:U34),"")</f>
        <v/>
      </c>
      <c r="AG34" s="75">
        <f>IFERROR(AVERAGE(V34:AE34),"")</f>
        <v/>
      </c>
      <c r="AH34" s="75">
        <f>IFERROR(AVERAGE(B34:K34),"")</f>
        <v/>
      </c>
      <c r="AI34" s="45" t="n">
        <v>0.907901763916016</v>
      </c>
      <c r="AJ34" s="47" t="n">
        <v>0.02606201171875</v>
      </c>
    </row>
    <row r="35" ht="15" customHeight="1" s="30">
      <c r="A35" s="73" t="inlineStr">
        <is>
          <t>6561.jpg</t>
        </is>
      </c>
      <c r="B35" s="45" t="n"/>
      <c r="C35" s="45" t="n"/>
      <c r="D35" s="45" t="n">
        <v>0.864681126578181</v>
      </c>
      <c r="E35" s="45" t="n"/>
      <c r="F35" s="45" t="n">
        <v>0.849434204674606</v>
      </c>
      <c r="G35" s="45" t="n">
        <v>0.774942987457241</v>
      </c>
      <c r="H35" s="45" t="n">
        <v>0.874032125939381</v>
      </c>
      <c r="I35" s="45" t="n">
        <v>0.644128113879004</v>
      </c>
      <c r="J35" s="45" t="n">
        <v>0.731141199226306</v>
      </c>
      <c r="K35" s="45" t="n">
        <v>0.759646282532441</v>
      </c>
      <c r="L35" s="45" t="n"/>
      <c r="M35" s="45" t="n"/>
      <c r="N35" s="45" t="n">
        <v>0.949295107214785</v>
      </c>
      <c r="O35" s="45" t="n"/>
      <c r="P35" s="45" t="n">
        <v>0.938908157413223</v>
      </c>
      <c r="Q35" s="45" t="n">
        <v>0.82919017843526</v>
      </c>
      <c r="R35" s="45" t="n">
        <v>0.966225687061973</v>
      </c>
      <c r="S35" s="45" t="n">
        <v>0.94025974025974</v>
      </c>
      <c r="T35" s="45" t="n">
        <v>0.887323943661972</v>
      </c>
      <c r="U35" s="45" t="n">
        <v>0.855353468395686</v>
      </c>
      <c r="V35" s="45" t="n"/>
      <c r="W35" s="45" t="n"/>
      <c r="X35" s="45" t="n">
        <v>0.906550514764114</v>
      </c>
      <c r="Y35" s="45" t="n"/>
      <c r="Z35" s="45" t="n">
        <v>0.899129115777911</v>
      </c>
      <c r="AA35" s="45" t="n">
        <v>0.9221506105834461</v>
      </c>
      <c r="AB35" s="45" t="n">
        <v>0.901576828121326</v>
      </c>
      <c r="AC35" s="45" t="n">
        <v>0.671614100185529</v>
      </c>
      <c r="AD35" s="45" t="n">
        <v>0.805970149253731</v>
      </c>
      <c r="AE35" s="45" t="n">
        <v>0.87161553616662</v>
      </c>
      <c r="AF35" s="75">
        <f>IFERROR(AVERAGE(L35:U35),"")</f>
        <v/>
      </c>
      <c r="AG35" s="75">
        <f>IFERROR(AVERAGE(V35:AE35),"")</f>
        <v/>
      </c>
      <c r="AH35" s="75">
        <f>IFERROR(AVERAGE(B35:K35),"")</f>
        <v/>
      </c>
      <c r="AI35" s="45" t="n">
        <v>0.8924407958984381</v>
      </c>
      <c r="AJ35" s="47" t="n">
        <v>0.0362625122070313</v>
      </c>
    </row>
    <row r="36" ht="15" customHeight="1" s="30">
      <c r="A36" s="73" t="inlineStr">
        <is>
          <t>6562.jpg</t>
        </is>
      </c>
      <c r="B36" s="45" t="n"/>
      <c r="C36" s="45" t="n"/>
      <c r="D36" s="45" t="n">
        <v>0.8128304547056751</v>
      </c>
      <c r="E36" s="45" t="n"/>
      <c r="F36" s="45" t="n">
        <v>0.905881336156605</v>
      </c>
      <c r="G36" s="45" t="n">
        <v>0.613560512910592</v>
      </c>
      <c r="H36" s="45" t="n">
        <v>0.891357941533073</v>
      </c>
      <c r="I36" s="45" t="n">
        <v>0.712286158631415</v>
      </c>
      <c r="J36" s="45" t="n">
        <v>0.890492359932088</v>
      </c>
      <c r="K36" s="45" t="n">
        <v>0.7593114723025161</v>
      </c>
      <c r="L36" s="45" t="n"/>
      <c r="M36" s="45" t="n"/>
      <c r="N36" s="45" t="n">
        <v>0.9053788771103261</v>
      </c>
      <c r="O36" s="45" t="n"/>
      <c r="P36" s="45" t="n">
        <v>0.945343855693348</v>
      </c>
      <c r="Q36" s="45" t="n">
        <v>0.697902097902098</v>
      </c>
      <c r="R36" s="45" t="n">
        <v>0.948731735994609</v>
      </c>
      <c r="S36" s="45" t="n">
        <v>0.8707224334600761</v>
      </c>
      <c r="T36" s="45" t="n">
        <v>0.901977644024076</v>
      </c>
      <c r="U36" s="45" t="n">
        <v>0.9740141326646909</v>
      </c>
      <c r="V36" s="45" t="n"/>
      <c r="W36" s="45" t="n"/>
      <c r="X36" s="45" t="n">
        <v>0.88828967642527</v>
      </c>
      <c r="Y36" s="45" t="n"/>
      <c r="Z36" s="45" t="n">
        <v>0.9559487436727619</v>
      </c>
      <c r="AA36" s="45" t="n">
        <v>0.835446065534561</v>
      </c>
      <c r="AB36" s="45" t="n">
        <v>0.936465476367393</v>
      </c>
      <c r="AC36" s="45" t="n">
        <v>0.796521739130435</v>
      </c>
      <c r="AD36" s="45" t="n">
        <v>0.9859022556390979</v>
      </c>
      <c r="AE36" s="45" t="n">
        <v>0.775011487025707</v>
      </c>
      <c r="AF36" s="75">
        <f>IFERROR(AVERAGE(L36:U36),"")</f>
        <v/>
      </c>
      <c r="AG36" s="75">
        <f>IFERROR(AVERAGE(V36:AE36),"")</f>
        <v/>
      </c>
      <c r="AH36" s="75">
        <f>IFERROR(AVERAGE(B36:K36),"")</f>
        <v/>
      </c>
      <c r="AI36" s="45" t="n">
        <v>0.883533477783203</v>
      </c>
      <c r="AJ36" s="47" t="n">
        <v>0.067901611328125</v>
      </c>
    </row>
    <row r="37" ht="15" customHeight="1" s="30">
      <c r="A37" s="73" t="inlineStr">
        <is>
          <t>6567.jpg</t>
        </is>
      </c>
      <c r="B37" s="45" t="n"/>
      <c r="C37" s="45" t="n"/>
      <c r="D37" s="45" t="n">
        <v>0.9405566693085931</v>
      </c>
      <c r="E37" s="45" t="n"/>
      <c r="F37" s="45" t="n">
        <v>0.786944444444444</v>
      </c>
      <c r="G37" s="45" t="n"/>
      <c r="H37" s="45" t="n">
        <v>0.959202482462306</v>
      </c>
      <c r="I37" s="45" t="n"/>
      <c r="J37" s="45" t="n"/>
      <c r="K37" s="45" t="n">
        <v>0.912649782876049</v>
      </c>
      <c r="L37" s="45" t="n"/>
      <c r="M37" s="45" t="n"/>
      <c r="N37" s="45" t="n">
        <v>0.9644325461325181</v>
      </c>
      <c r="O37" s="45" t="n"/>
      <c r="P37" s="45" t="n">
        <v>0.972870879120879</v>
      </c>
      <c r="Q37" s="45" t="n"/>
      <c r="R37" s="45" t="n">
        <v>0.978749171210912</v>
      </c>
      <c r="S37" s="45" t="n"/>
      <c r="T37" s="45" t="n"/>
      <c r="U37" s="45" t="n">
        <v>0.980795097018679</v>
      </c>
      <c r="V37" s="45" t="n"/>
      <c r="W37" s="45" t="n"/>
      <c r="X37" s="45" t="n">
        <v>0.97435402076793</v>
      </c>
      <c r="Y37" s="45" t="n"/>
      <c r="Z37" s="45" t="n">
        <v>0.804600965634763</v>
      </c>
      <c r="AA37" s="45" t="n"/>
      <c r="AB37" s="45" t="n">
        <v>0.979604136053685</v>
      </c>
      <c r="AC37" s="45" t="n"/>
      <c r="AD37" s="45" t="n"/>
      <c r="AE37" s="45" t="n">
        <v>0.929256103101694</v>
      </c>
      <c r="AF37" s="75">
        <f>IFERROR(AVERAGE(L37:U37),"")</f>
        <v/>
      </c>
      <c r="AG37" s="75">
        <f>IFERROR(AVERAGE(V37:AE37),"")</f>
        <v/>
      </c>
      <c r="AH37" s="75">
        <f>IFERROR(AVERAGE(B37:K37),"")</f>
        <v/>
      </c>
      <c r="AI37" s="45" t="n">
        <v>0.959506988525391</v>
      </c>
      <c r="AJ37" s="47" t="n">
        <v>0.0191078186035156</v>
      </c>
    </row>
    <row r="38" ht="15" customHeight="1" s="30">
      <c r="A38" s="73" t="inlineStr">
        <is>
          <t>6568.jpg</t>
        </is>
      </c>
      <c r="B38" s="45" t="n"/>
      <c r="C38" s="45" t="n"/>
      <c r="D38" s="45" t="n">
        <v>0.917528833107191</v>
      </c>
      <c r="E38" s="45" t="n"/>
      <c r="F38" s="45" t="n">
        <v>0.923231561753989</v>
      </c>
      <c r="G38" s="45" t="n"/>
      <c r="H38" s="45" t="n">
        <v>0.932515101971892</v>
      </c>
      <c r="I38" s="45" t="n">
        <v>0.770440251572327</v>
      </c>
      <c r="J38" s="45" t="n">
        <v>0.829853862212944</v>
      </c>
      <c r="K38" s="45" t="n">
        <v>0.896002542222388</v>
      </c>
      <c r="L38" s="45" t="n"/>
      <c r="M38" s="45" t="n"/>
      <c r="N38" s="45" t="n">
        <v>0.943492478744277</v>
      </c>
      <c r="O38" s="45" t="n"/>
      <c r="P38" s="45" t="n">
        <v>0.947517730496454</v>
      </c>
      <c r="Q38" s="45" t="n"/>
      <c r="R38" s="45" t="n">
        <v>0.96307482540211</v>
      </c>
      <c r="S38" s="45" t="n">
        <v>0.921052631578947</v>
      </c>
      <c r="T38" s="45" t="n">
        <v>0.830721003134796</v>
      </c>
      <c r="U38" s="45" t="n">
        <v>0.985555818280885</v>
      </c>
      <c r="V38" s="45" t="n"/>
      <c r="W38" s="45" t="n"/>
      <c r="X38" s="45" t="n">
        <v>0.970881191672649</v>
      </c>
      <c r="Y38" s="45" t="n"/>
      <c r="Z38" s="45" t="n">
        <v>0.972987288135593</v>
      </c>
      <c r="AA38" s="45" t="n"/>
      <c r="AB38" s="45" t="n">
        <v>0.967092013405189</v>
      </c>
      <c r="AC38" s="45" t="n">
        <v>0.824915824915825</v>
      </c>
      <c r="AD38" s="45" t="n">
        <v>0.998743718592965</v>
      </c>
      <c r="AE38" s="45" t="n">
        <v>0.907925143008675</v>
      </c>
      <c r="AF38" s="75">
        <f>IFERROR(AVERAGE(L38:U38),"")</f>
        <v/>
      </c>
      <c r="AG38" s="75">
        <f>IFERROR(AVERAGE(V38:AE38),"")</f>
        <v/>
      </c>
      <c r="AH38" s="75">
        <f>IFERROR(AVERAGE(B38:K38),"")</f>
        <v/>
      </c>
      <c r="AI38" s="45" t="n">
        <v>0.943687438964844</v>
      </c>
      <c r="AJ38" s="47" t="n">
        <v>0.0259895324707031</v>
      </c>
    </row>
    <row r="39" ht="15" customHeight="1" s="30">
      <c r="A39" s="73" t="inlineStr">
        <is>
          <t>6583.jpg</t>
        </is>
      </c>
      <c r="B39" s="45" t="n">
        <v>0</v>
      </c>
      <c r="C39" s="45" t="n"/>
      <c r="D39" s="45" t="n"/>
      <c r="E39" s="45" t="n"/>
      <c r="F39" s="45" t="n"/>
      <c r="G39" s="45" t="n">
        <v>0.684842883548983</v>
      </c>
      <c r="H39" s="45" t="n">
        <v>0.941205625425934</v>
      </c>
      <c r="I39" s="45" t="n"/>
      <c r="J39" s="45" t="n"/>
      <c r="K39" s="45" t="n">
        <v>0.955881522209878</v>
      </c>
      <c r="L39" s="45" t="n">
        <v>0</v>
      </c>
      <c r="M39" s="45" t="n"/>
      <c r="N39" s="45" t="n"/>
      <c r="O39" s="45" t="n"/>
      <c r="P39" s="45" t="n"/>
      <c r="Q39" s="45" t="n">
        <v>0.994257191927866</v>
      </c>
      <c r="R39" s="45" t="n">
        <v>0.9832882422234021</v>
      </c>
      <c r="S39" s="45" t="n"/>
      <c r="T39" s="45" t="n"/>
      <c r="U39" s="45" t="n">
        <v>0.9773208578799431</v>
      </c>
      <c r="V39" s="45" t="n"/>
      <c r="W39" s="45" t="n"/>
      <c r="X39" s="45" t="n"/>
      <c r="Y39" s="45" t="n"/>
      <c r="Z39" s="45" t="n"/>
      <c r="AA39" s="45" t="n">
        <v>0.687562632223583</v>
      </c>
      <c r="AB39" s="45" t="n">
        <v>0.9565064094492161</v>
      </c>
      <c r="AC39" s="45" t="n"/>
      <c r="AD39" s="45" t="n"/>
      <c r="AE39" s="45" t="n">
        <v>0.9775655221552501</v>
      </c>
      <c r="AF39" s="75">
        <f>IFERROR(AVERAGE(L39:U39),"")</f>
        <v/>
      </c>
      <c r="AG39" s="75">
        <f>IFERROR(AVERAGE(V39:AE39),"")</f>
        <v/>
      </c>
      <c r="AH39" s="75">
        <f>IFERROR(AVERAGE(B39:K39),"")</f>
        <v/>
      </c>
      <c r="AI39" s="45" t="n">
        <v>0.941379547119141</v>
      </c>
      <c r="AJ39" s="47" t="n">
        <v>0.0127449035644531</v>
      </c>
    </row>
    <row r="40" ht="15" customHeight="1" s="30">
      <c r="A40" s="73" t="inlineStr">
        <is>
          <t>6590.jpg</t>
        </is>
      </c>
      <c r="B40" s="45" t="n"/>
      <c r="C40" s="45" t="n"/>
      <c r="D40" s="45" t="n"/>
      <c r="E40" s="45" t="n"/>
      <c r="F40" s="45" t="n"/>
      <c r="G40" s="45" t="n">
        <v>0.906274330818589</v>
      </c>
      <c r="H40" s="45" t="n"/>
      <c r="I40" s="45" t="n">
        <v>0</v>
      </c>
      <c r="J40" s="45" t="n"/>
      <c r="K40" s="45" t="n">
        <v>0.979548972406021</v>
      </c>
      <c r="L40" s="45" t="n"/>
      <c r="M40" s="45" t="n"/>
      <c r="N40" s="45" t="n"/>
      <c r="O40" s="45" t="n"/>
      <c r="P40" s="45" t="n"/>
      <c r="Q40" s="45" t="n">
        <v>0.982650209594783</v>
      </c>
      <c r="R40" s="45" t="n"/>
      <c r="S40" s="45" t="n">
        <v>0</v>
      </c>
      <c r="T40" s="45" t="n"/>
      <c r="U40" s="45" t="n">
        <v>0.988652708258651</v>
      </c>
      <c r="V40" s="45" t="n"/>
      <c r="W40" s="45" t="n"/>
      <c r="X40" s="45" t="n"/>
      <c r="Y40" s="45" t="n"/>
      <c r="Z40" s="45" t="n"/>
      <c r="AA40" s="45" t="n">
        <v>0.921011705001228</v>
      </c>
      <c r="AB40" s="45" t="n"/>
      <c r="AC40" s="45" t="n"/>
      <c r="AD40" s="45" t="n"/>
      <c r="AE40" s="45" t="n">
        <v>0.99068707232597</v>
      </c>
      <c r="AF40" s="75">
        <f>IFERROR(AVERAGE(L40:U40),"")</f>
        <v/>
      </c>
      <c r="AG40" s="75">
        <f>IFERROR(AVERAGE(V40:AE40),"")</f>
        <v/>
      </c>
      <c r="AH40" s="75">
        <f>IFERROR(AVERAGE(B40:K40),"")</f>
        <v/>
      </c>
      <c r="AI40" s="45" t="n">
        <v>0.980945587158203</v>
      </c>
      <c r="AJ40" s="47" t="n">
        <v>0.0024261474609375</v>
      </c>
    </row>
    <row r="41" ht="15" customHeight="1" s="30">
      <c r="A41" s="73" t="inlineStr">
        <is>
          <t>6593.jpg</t>
        </is>
      </c>
      <c r="B41" s="45" t="n"/>
      <c r="C41" s="45" t="n"/>
      <c r="D41" s="45" t="n"/>
      <c r="E41" s="45" t="n"/>
      <c r="F41" s="45" t="n"/>
      <c r="G41" s="45" t="n">
        <v>0.922746406301853</v>
      </c>
      <c r="H41" s="45" t="n">
        <v>0.595014303228443</v>
      </c>
      <c r="I41" s="45" t="n"/>
      <c r="J41" s="45" t="n"/>
      <c r="K41" s="45" t="n">
        <v>0.980908275343695</v>
      </c>
      <c r="L41" s="45" t="n"/>
      <c r="M41" s="45" t="n"/>
      <c r="N41" s="45" t="n"/>
      <c r="O41" s="45" t="n"/>
      <c r="P41" s="45" t="n"/>
      <c r="Q41" s="45" t="n">
        <v>0.956579995654378</v>
      </c>
      <c r="R41" s="45" t="n">
        <v>0.756363636363636</v>
      </c>
      <c r="S41" s="45" t="n"/>
      <c r="T41" s="45" t="n"/>
      <c r="U41" s="45" t="n">
        <v>0.995550786979162</v>
      </c>
      <c r="V41" s="45" t="n"/>
      <c r="W41" s="45" t="n"/>
      <c r="X41" s="45" t="n"/>
      <c r="Y41" s="45" t="n"/>
      <c r="Z41" s="45" t="n"/>
      <c r="AA41" s="45" t="n">
        <v>0.963084495488105</v>
      </c>
      <c r="AB41" s="45" t="n">
        <v>0.736097067745197</v>
      </c>
      <c r="AC41" s="45" t="n"/>
      <c r="AD41" s="45" t="n"/>
      <c r="AE41" s="45" t="n">
        <v>0.985227289331794</v>
      </c>
      <c r="AF41" s="75">
        <f>IFERROR(AVERAGE(L41:U41),"")</f>
        <v/>
      </c>
      <c r="AG41" s="75">
        <f>IFERROR(AVERAGE(V41:AE41),"")</f>
        <v/>
      </c>
      <c r="AH41" s="75">
        <f>IFERROR(AVERAGE(B41:K41),"")</f>
        <v/>
      </c>
      <c r="AI41" s="45" t="n">
        <v>0.9787139892578131</v>
      </c>
      <c r="AJ41" s="47" t="n">
        <v>0.00690078735351563</v>
      </c>
    </row>
    <row r="42" ht="15" customHeight="1" s="30">
      <c r="A42" s="73" t="inlineStr">
        <is>
          <t>6594.jpg</t>
        </is>
      </c>
      <c r="B42" s="45" t="n"/>
      <c r="C42" s="45" t="n"/>
      <c r="D42" s="45" t="n"/>
      <c r="E42" s="45" t="n"/>
      <c r="F42" s="45" t="n">
        <v>0</v>
      </c>
      <c r="G42" s="45" t="n"/>
      <c r="H42" s="45" t="n">
        <v>0</v>
      </c>
      <c r="I42" s="45" t="n"/>
      <c r="J42" s="45" t="n"/>
      <c r="K42" s="45" t="n">
        <v>0.959233037442025</v>
      </c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>
        <v>0.965953202084719</v>
      </c>
      <c r="V42" s="45" t="n"/>
      <c r="W42" s="45" t="n"/>
      <c r="X42" s="45" t="n"/>
      <c r="Y42" s="45" t="n"/>
      <c r="Z42" s="45" t="n">
        <v>0</v>
      </c>
      <c r="AA42" s="45" t="n"/>
      <c r="AB42" s="45" t="n">
        <v>0</v>
      </c>
      <c r="AC42" s="45" t="n"/>
      <c r="AD42" s="45" t="n"/>
      <c r="AE42" s="45" t="n">
        <v>0.992799523147228</v>
      </c>
      <c r="AF42" s="75">
        <f>IFERROR(AVERAGE(L42:U42),"")</f>
        <v/>
      </c>
      <c r="AG42" s="75">
        <f>IFERROR(AVERAGE(V42:AE42),"")</f>
        <v/>
      </c>
      <c r="AH42" s="75">
        <f>IFERROR(AVERAGE(B42:K42),"")</f>
        <v/>
      </c>
      <c r="AI42" s="45" t="n">
        <v>0.953056335449219</v>
      </c>
      <c r="AJ42" s="47" t="n">
        <v>0.0133514404296875</v>
      </c>
    </row>
    <row r="43" ht="15" customHeight="1" s="30">
      <c r="A43" s="73" t="inlineStr">
        <is>
          <t>6602.jpg</t>
        </is>
      </c>
      <c r="B43" s="45" t="n"/>
      <c r="C43" s="45" t="n"/>
      <c r="D43" s="45" t="n"/>
      <c r="E43" s="45" t="n">
        <v>0.978913478232204</v>
      </c>
      <c r="F43" s="45" t="n"/>
      <c r="G43" s="45" t="n"/>
      <c r="H43" s="45" t="n">
        <v>0.159704294766487</v>
      </c>
      <c r="I43" s="45" t="n"/>
      <c r="J43" s="45" t="n"/>
      <c r="K43" s="45" t="n">
        <v>0.941292498745317</v>
      </c>
      <c r="L43" s="45" t="n"/>
      <c r="M43" s="45" t="n"/>
      <c r="N43" s="45" t="n"/>
      <c r="O43" s="45" t="n">
        <v>0.980939901781585</v>
      </c>
      <c r="P43" s="45" t="n"/>
      <c r="Q43" s="45" t="n"/>
      <c r="R43" s="45" t="n">
        <v>0.252317389692251</v>
      </c>
      <c r="S43" s="45" t="n"/>
      <c r="T43" s="45" t="n"/>
      <c r="U43" s="45" t="n">
        <v>0.981871971560058</v>
      </c>
      <c r="V43" s="45" t="n"/>
      <c r="W43" s="45" t="n"/>
      <c r="X43" s="45" t="n"/>
      <c r="Y43" s="45" t="n">
        <v>0.997894147297676</v>
      </c>
      <c r="Z43" s="45" t="n"/>
      <c r="AA43" s="45" t="n"/>
      <c r="AB43" s="45" t="n">
        <v>0.303185564713745</v>
      </c>
      <c r="AC43" s="45" t="n"/>
      <c r="AD43" s="45" t="n"/>
      <c r="AE43" s="45" t="n">
        <v>0.9579403729659099</v>
      </c>
      <c r="AF43" s="75">
        <f>IFERROR(AVERAGE(L43:U43),"")</f>
        <v/>
      </c>
      <c r="AG43" s="75">
        <f>IFERROR(AVERAGE(V43:AE43),"")</f>
        <v/>
      </c>
      <c r="AH43" s="75">
        <f>IFERROR(AVERAGE(B43:K43),"")</f>
        <v/>
      </c>
      <c r="AI43" s="45" t="n">
        <v>0.960334777832031</v>
      </c>
      <c r="AJ43" s="47" t="n">
        <v>0.006317138671875</v>
      </c>
    </row>
    <row r="44" ht="15" customHeight="1" s="30">
      <c r="A44" s="73" t="inlineStr">
        <is>
          <t>6619.jpg</t>
        </is>
      </c>
      <c r="B44" s="45" t="n"/>
      <c r="C44" s="45" t="n"/>
      <c r="D44" s="45" t="n"/>
      <c r="E44" s="45" t="n"/>
      <c r="F44" s="45" t="n">
        <v>0.804495389344262</v>
      </c>
      <c r="G44" s="45" t="n">
        <v>0.718407386035776</v>
      </c>
      <c r="H44" s="45" t="n">
        <v>0.858225749141301</v>
      </c>
      <c r="I44" s="45" t="n"/>
      <c r="J44" s="45" t="n"/>
      <c r="K44" s="45" t="n">
        <v>0.945782784389212</v>
      </c>
      <c r="L44" s="45" t="n"/>
      <c r="M44" s="45" t="n"/>
      <c r="N44" s="45" t="n"/>
      <c r="O44" s="45" t="n"/>
      <c r="P44" s="45" t="n">
        <v>0.812455539028649</v>
      </c>
      <c r="Q44" s="45" t="n">
        <v>0.737996443390634</v>
      </c>
      <c r="R44" s="45" t="n">
        <v>0.919893360416402</v>
      </c>
      <c r="S44" s="45" t="n"/>
      <c r="T44" s="45" t="n"/>
      <c r="U44" s="45" t="n">
        <v>0.993133291632045</v>
      </c>
      <c r="V44" s="45" t="n"/>
      <c r="W44" s="45" t="n"/>
      <c r="X44" s="45" t="n"/>
      <c r="Y44" s="45" t="n"/>
      <c r="Z44" s="45" t="n">
        <v>0.987967914438503</v>
      </c>
      <c r="AA44" s="45" t="n">
        <v>0.964368706429125</v>
      </c>
      <c r="AB44" s="45" t="n">
        <v>0.927547363031234</v>
      </c>
      <c r="AC44" s="45" t="n"/>
      <c r="AD44" s="45" t="n"/>
      <c r="AE44" s="45" t="n">
        <v>0.952008269344359</v>
      </c>
      <c r="AF44" s="75">
        <f>IFERROR(AVERAGE(L44:U44),"")</f>
        <v/>
      </c>
      <c r="AG44" s="75">
        <f>IFERROR(AVERAGE(V44:AE44),"")</f>
        <v/>
      </c>
      <c r="AH44" s="75">
        <f>IFERROR(AVERAGE(B44:K44),"")</f>
        <v/>
      </c>
      <c r="AI44" s="45" t="n">
        <v>0.952781677246094</v>
      </c>
      <c r="AJ44" s="47" t="n">
        <v>0.0122413635253906</v>
      </c>
    </row>
    <row r="45" ht="15" customHeight="1" s="30">
      <c r="A45" s="73" t="inlineStr">
        <is>
          <t>6624.jpg</t>
        </is>
      </c>
      <c r="B45" s="45" t="n">
        <v>0</v>
      </c>
      <c r="C45" s="45" t="n"/>
      <c r="D45" s="45" t="n"/>
      <c r="E45" s="45" t="n">
        <v>0</v>
      </c>
      <c r="F45" s="45" t="n">
        <v>0.932832627525048</v>
      </c>
      <c r="G45" s="45" t="n">
        <v>0</v>
      </c>
      <c r="H45" s="45" t="n">
        <v>0.866287190948457</v>
      </c>
      <c r="I45" s="45" t="n"/>
      <c r="J45" s="45" t="n"/>
      <c r="K45" s="45" t="n">
        <v>0.891652709413649</v>
      </c>
      <c r="L45" s="45" t="n"/>
      <c r="M45" s="45" t="n"/>
      <c r="N45" s="45" t="n"/>
      <c r="O45" s="45" t="n">
        <v>0</v>
      </c>
      <c r="P45" s="45" t="n">
        <v>0.967080203760077</v>
      </c>
      <c r="Q45" s="45" t="n">
        <v>0</v>
      </c>
      <c r="R45" s="45" t="n">
        <v>0.8924986508364809</v>
      </c>
      <c r="S45" s="45" t="n"/>
      <c r="T45" s="45" t="n"/>
      <c r="U45" s="45" t="n">
        <v>0.989392955689012</v>
      </c>
      <c r="V45" s="45" t="n">
        <v>0</v>
      </c>
      <c r="W45" s="45" t="n"/>
      <c r="X45" s="45" t="n"/>
      <c r="Y45" s="45" t="n"/>
      <c r="Z45" s="45" t="n">
        <v>0.963425227449367</v>
      </c>
      <c r="AA45" s="45" t="n"/>
      <c r="AB45" s="45" t="n">
        <v>0.967209918902059</v>
      </c>
      <c r="AC45" s="45" t="n"/>
      <c r="AD45" s="45" t="n"/>
      <c r="AE45" s="45" t="n">
        <v>0.9002584551764879</v>
      </c>
      <c r="AF45" s="75">
        <f>IFERROR(AVERAGE(L45:U45),"")</f>
        <v/>
      </c>
      <c r="AG45" s="75">
        <f>IFERROR(AVERAGE(V45:AE45),"")</f>
        <v/>
      </c>
      <c r="AH45" s="75">
        <f>IFERROR(AVERAGE(B45:K45),"")</f>
        <v/>
      </c>
      <c r="AI45" s="45" t="n">
        <v>0.800853729248047</v>
      </c>
      <c r="AJ45" s="47" t="n">
        <v>0.0228309631347656</v>
      </c>
    </row>
    <row r="46" ht="15" customHeight="1" s="30">
      <c r="A46" s="73" t="inlineStr">
        <is>
          <t>6632.jpg</t>
        </is>
      </c>
      <c r="B46" s="45" t="n">
        <v>0.0124239191817783</v>
      </c>
      <c r="C46" s="45" t="n"/>
      <c r="D46" s="45" t="n"/>
      <c r="E46" s="45" t="n"/>
      <c r="F46" s="45" t="n">
        <v>0.790925551176909</v>
      </c>
      <c r="G46" s="45" t="n">
        <v>0</v>
      </c>
      <c r="H46" s="45" t="n">
        <v>0.862885708334573</v>
      </c>
      <c r="I46" s="45" t="n"/>
      <c r="J46" s="45" t="n"/>
      <c r="K46" s="45" t="n">
        <v>0.928580220952537</v>
      </c>
      <c r="L46" s="45" t="n">
        <v>0.529411764705882</v>
      </c>
      <c r="M46" s="45" t="n"/>
      <c r="N46" s="45" t="n"/>
      <c r="O46" s="45" t="n"/>
      <c r="P46" s="45" t="n">
        <v>0.911426584298163</v>
      </c>
      <c r="Q46" s="45" t="n">
        <v>0</v>
      </c>
      <c r="R46" s="45" t="n">
        <v>0.875415081808851</v>
      </c>
      <c r="S46" s="45" t="n"/>
      <c r="T46" s="45" t="n"/>
      <c r="U46" s="45" t="n">
        <v>0.977998293017578</v>
      </c>
      <c r="V46" s="45" t="n">
        <v>0.0125626546538925</v>
      </c>
      <c r="W46" s="45" t="n"/>
      <c r="X46" s="45" t="n"/>
      <c r="Y46" s="45" t="n"/>
      <c r="Z46" s="45" t="n">
        <v>0.856780247673256</v>
      </c>
      <c r="AA46" s="45" t="n"/>
      <c r="AB46" s="45" t="n">
        <v>0.983683853459973</v>
      </c>
      <c r="AC46" s="45" t="n"/>
      <c r="AD46" s="45" t="n"/>
      <c r="AE46" s="45" t="n">
        <v>0.948392098522271</v>
      </c>
      <c r="AF46" s="75">
        <f>IFERROR(AVERAGE(L46:U46),"")</f>
        <v/>
      </c>
      <c r="AG46" s="75">
        <f>IFERROR(AVERAGE(V46:AE46),"")</f>
        <v/>
      </c>
      <c r="AH46" s="75">
        <f>IFERROR(AVERAGE(B46:K46),"")</f>
        <v/>
      </c>
      <c r="AI46" s="45" t="n">
        <v>0.8870086669921881</v>
      </c>
      <c r="AJ46" s="47" t="n">
        <v>0.0236091613769531</v>
      </c>
    </row>
    <row r="47" ht="15" customHeight="1" s="30">
      <c r="A47" s="73" t="inlineStr">
        <is>
          <t>6638.jpg</t>
        </is>
      </c>
      <c r="B47" s="45" t="n"/>
      <c r="C47" s="45" t="n"/>
      <c r="D47" s="45" t="n">
        <v>0.776266377367938</v>
      </c>
      <c r="E47" s="45" t="n"/>
      <c r="F47" s="45" t="n">
        <v>0.625</v>
      </c>
      <c r="G47" s="45" t="n"/>
      <c r="H47" s="45" t="n">
        <v>0.744016526486646</v>
      </c>
      <c r="I47" s="45" t="n"/>
      <c r="J47" s="45" t="n"/>
      <c r="K47" s="45" t="n">
        <v>0.944764448521311</v>
      </c>
      <c r="L47" s="45" t="n"/>
      <c r="M47" s="45" t="n"/>
      <c r="N47" s="45" t="n">
        <v>0.8731812634938519</v>
      </c>
      <c r="O47" s="45" t="n"/>
      <c r="P47" s="45" t="n">
        <v>0.682571239231279</v>
      </c>
      <c r="Q47" s="45" t="n"/>
      <c r="R47" s="45" t="n">
        <v>0.841966402832048</v>
      </c>
      <c r="S47" s="45" t="n"/>
      <c r="T47" s="45" t="n"/>
      <c r="U47" s="45" t="n">
        <v>0.994306996289846</v>
      </c>
      <c r="V47" s="45" t="n"/>
      <c r="W47" s="45" t="n"/>
      <c r="X47" s="45" t="n">
        <v>0.874905944319037</v>
      </c>
      <c r="Y47" s="45" t="n"/>
      <c r="Z47" s="45" t="n">
        <v>0.88109495295124</v>
      </c>
      <c r="AA47" s="45" t="n"/>
      <c r="AB47" s="45" t="n">
        <v>0.864782355160704</v>
      </c>
      <c r="AC47" s="45" t="n"/>
      <c r="AD47" s="45" t="n"/>
      <c r="AE47" s="45" t="n">
        <v>0.949902798499028</v>
      </c>
      <c r="AF47" s="75">
        <f>IFERROR(AVERAGE(L47:U47),"")</f>
        <v/>
      </c>
      <c r="AG47" s="75">
        <f>IFERROR(AVERAGE(V47:AE47),"")</f>
        <v/>
      </c>
      <c r="AH47" s="75">
        <f>IFERROR(AVERAGE(B47:K47),"")</f>
        <v/>
      </c>
      <c r="AI47" s="45" t="n">
        <v>0.9370880126953131</v>
      </c>
      <c r="AJ47" s="47" t="n">
        <v>0.0332908630371094</v>
      </c>
    </row>
    <row r="48" ht="15" customHeight="1" s="30">
      <c r="A48" s="73" t="inlineStr">
        <is>
          <t>6659.jpg</t>
        </is>
      </c>
      <c r="B48" s="45" t="n"/>
      <c r="C48" s="45" t="n"/>
      <c r="D48" s="45" t="n">
        <v>0.913892703769102</v>
      </c>
      <c r="E48" s="45" t="n"/>
      <c r="F48" s="45" t="n">
        <v>0.747220809416552</v>
      </c>
      <c r="G48" s="45" t="n"/>
      <c r="H48" s="45" t="n">
        <v>0.789012886121216</v>
      </c>
      <c r="I48" s="45" t="n">
        <v>0.309803921568628</v>
      </c>
      <c r="J48" s="45" t="n"/>
      <c r="K48" s="45" t="n">
        <v>0.908008284432171</v>
      </c>
      <c r="L48" s="45" t="n"/>
      <c r="M48" s="45" t="n"/>
      <c r="N48" s="45" t="n">
        <v>0.975861266294227</v>
      </c>
      <c r="O48" s="45" t="n"/>
      <c r="P48" s="45" t="n">
        <v>0.850549995864693</v>
      </c>
      <c r="Q48" s="45" t="n"/>
      <c r="R48" s="45" t="n">
        <v>0.854671742469779</v>
      </c>
      <c r="S48" s="45" t="n">
        <v>0.321138211382114</v>
      </c>
      <c r="T48" s="45" t="n"/>
      <c r="U48" s="45" t="n">
        <v>0.966776924441741</v>
      </c>
      <c r="V48" s="45" t="n"/>
      <c r="W48" s="45" t="n"/>
      <c r="X48" s="45" t="n">
        <v>0.935029886698189</v>
      </c>
      <c r="Y48" s="45" t="n"/>
      <c r="Z48" s="45" t="n">
        <v>0.860153897624624</v>
      </c>
      <c r="AA48" s="45" t="n"/>
      <c r="AB48" s="45" t="n">
        <v>0.9112725201167839</v>
      </c>
      <c r="AC48" s="45" t="n">
        <v>0.897727272727273</v>
      </c>
      <c r="AD48" s="45" t="n"/>
      <c r="AE48" s="45" t="n">
        <v>0.937253890148234</v>
      </c>
      <c r="AF48" s="75">
        <f>IFERROR(AVERAGE(L48:U48),"")</f>
        <v/>
      </c>
      <c r="AG48" s="75">
        <f>IFERROR(AVERAGE(V48:AE48),"")</f>
        <v/>
      </c>
      <c r="AH48" s="75">
        <f>IFERROR(AVERAGE(B48:K48),"")</f>
        <v/>
      </c>
      <c r="AI48" s="45" t="n">
        <v>0.929115295410156</v>
      </c>
      <c r="AJ48" s="47" t="n">
        <v>0.0119476318359375</v>
      </c>
    </row>
    <row r="49" ht="15" customHeight="1" s="30">
      <c r="A49" s="73" t="inlineStr">
        <is>
          <t>6663.jpg</t>
        </is>
      </c>
      <c r="B49" s="45" t="n"/>
      <c r="C49" s="45" t="n"/>
      <c r="D49" s="45" t="n">
        <v>0.822798521728049</v>
      </c>
      <c r="E49" s="45" t="n"/>
      <c r="F49" s="45" t="n">
        <v>0.742534837425348</v>
      </c>
      <c r="G49" s="45" t="n"/>
      <c r="H49" s="45" t="n">
        <v>0.8310115613276881</v>
      </c>
      <c r="I49" s="45" t="n"/>
      <c r="J49" s="45" t="n"/>
      <c r="K49" s="45" t="n">
        <v>0.892824936519614</v>
      </c>
      <c r="L49" s="45" t="n"/>
      <c r="M49" s="45" t="n"/>
      <c r="N49" s="45" t="n">
        <v>0.947743119266055</v>
      </c>
      <c r="O49" s="45" t="n"/>
      <c r="P49" s="45" t="n">
        <v>0.760707002039429</v>
      </c>
      <c r="Q49" s="45" t="n"/>
      <c r="R49" s="45" t="n">
        <v>0.866710139456133</v>
      </c>
      <c r="S49" s="45" t="n"/>
      <c r="T49" s="45" t="n"/>
      <c r="U49" s="45" t="n">
        <v>0.9790579663001761</v>
      </c>
      <c r="V49" s="45" t="n"/>
      <c r="W49" s="45" t="n"/>
      <c r="X49" s="45" t="n">
        <v>0.861900947804032</v>
      </c>
      <c r="Y49" s="45" t="n"/>
      <c r="Z49" s="45" t="n">
        <v>0.968831168831169</v>
      </c>
      <c r="AA49" s="45" t="n"/>
      <c r="AB49" s="45" t="n">
        <v>0.952776205747343</v>
      </c>
      <c r="AC49" s="45" t="n"/>
      <c r="AD49" s="45" t="n"/>
      <c r="AE49" s="45" t="n">
        <v>0.91020763652419</v>
      </c>
      <c r="AF49" s="75">
        <f>IFERROR(AVERAGE(L49:U49),"")</f>
        <v/>
      </c>
      <c r="AG49" s="75">
        <f>IFERROR(AVERAGE(V49:AE49),"")</f>
        <v/>
      </c>
      <c r="AH49" s="75">
        <f>IFERROR(AVERAGE(B49:K49),"")</f>
        <v/>
      </c>
      <c r="AI49" s="45" t="n">
        <v>0.920875549316406</v>
      </c>
      <c r="AJ49" s="47" t="n">
        <v>0.016998291015625</v>
      </c>
    </row>
    <row r="50" ht="15" customHeight="1" s="30">
      <c r="A50" s="73" t="inlineStr">
        <is>
          <t>6671.jpg</t>
        </is>
      </c>
      <c r="B50" s="45" t="n"/>
      <c r="C50" s="45" t="n"/>
      <c r="D50" s="45" t="n"/>
      <c r="E50" s="45" t="n"/>
      <c r="F50" s="45" t="n">
        <v>0.0119302949061662</v>
      </c>
      <c r="G50" s="45" t="n"/>
      <c r="H50" s="45" t="n">
        <v>0.857525857998081</v>
      </c>
      <c r="I50" s="45" t="n"/>
      <c r="J50" s="45" t="n"/>
      <c r="K50" s="45" t="n">
        <v>0.903071127661716</v>
      </c>
      <c r="L50" s="45" t="n"/>
      <c r="M50" s="45" t="n"/>
      <c r="N50" s="45" t="n"/>
      <c r="O50" s="45" t="n"/>
      <c r="P50" s="45" t="n">
        <v>0.0135650053345527</v>
      </c>
      <c r="Q50" s="45" t="n"/>
      <c r="R50" s="45" t="n">
        <v>0.960181481702585</v>
      </c>
      <c r="S50" s="45" t="n"/>
      <c r="T50" s="45" t="n"/>
      <c r="U50" s="45" t="n">
        <v>0.964889776480528</v>
      </c>
      <c r="V50" s="45" t="n"/>
      <c r="W50" s="45" t="n"/>
      <c r="X50" s="45" t="n"/>
      <c r="Y50" s="45" t="n"/>
      <c r="Z50" s="45" t="n">
        <v>0.090080971659919</v>
      </c>
      <c r="AA50" s="45" t="n"/>
      <c r="AB50" s="45" t="n">
        <v>0.889145113524186</v>
      </c>
      <c r="AC50" s="45" t="n"/>
      <c r="AD50" s="45" t="n"/>
      <c r="AE50" s="45" t="n">
        <v>0.933755045305543</v>
      </c>
      <c r="AF50" s="75">
        <f>IFERROR(AVERAGE(L50:U50),"")</f>
        <v/>
      </c>
      <c r="AG50" s="75">
        <f>IFERROR(AVERAGE(V50:AE50),"")</f>
        <v/>
      </c>
      <c r="AH50" s="75">
        <f>IFERROR(AVERAGE(B50:K50),"")</f>
        <v/>
      </c>
      <c r="AI50" s="45" t="n">
        <v>0.909027099609375</v>
      </c>
      <c r="AJ50" s="47" t="n">
        <v>0.031036376953125</v>
      </c>
    </row>
    <row r="51" ht="15" customHeight="1" s="30">
      <c r="A51" s="73" t="inlineStr">
        <is>
          <t>6672.jpg</t>
        </is>
      </c>
      <c r="B51" s="45" t="n"/>
      <c r="C51" s="45" t="n"/>
      <c r="D51" s="45" t="n"/>
      <c r="E51" s="45" t="n"/>
      <c r="F51" s="45" t="n">
        <v>0.0457942134508527</v>
      </c>
      <c r="G51" s="45" t="n"/>
      <c r="H51" s="45" t="n">
        <v>0.8539470231038629</v>
      </c>
      <c r="I51" s="45" t="n"/>
      <c r="J51" s="45" t="n"/>
      <c r="K51" s="45" t="n">
        <v>0.8964263859992661</v>
      </c>
      <c r="L51" s="45" t="n"/>
      <c r="M51" s="45" t="n"/>
      <c r="N51" s="45" t="n"/>
      <c r="O51" s="45" t="n"/>
      <c r="P51" s="45" t="n">
        <v>0.059452736318408</v>
      </c>
      <c r="Q51" s="45" t="n"/>
      <c r="R51" s="45" t="n">
        <v>0.886560938028487</v>
      </c>
      <c r="S51" s="45" t="n"/>
      <c r="T51" s="45" t="n"/>
      <c r="U51" s="45" t="n">
        <v>0.992271480340028</v>
      </c>
      <c r="V51" s="45" t="n"/>
      <c r="W51" s="45" t="n"/>
      <c r="X51" s="45" t="n"/>
      <c r="Y51" s="45" t="n"/>
      <c r="Z51" s="45" t="n">
        <v>0.166203059805285</v>
      </c>
      <c r="AA51" s="45" t="n"/>
      <c r="AB51" s="45" t="n">
        <v>0.958700356609467</v>
      </c>
      <c r="AC51" s="45" t="n"/>
      <c r="AD51" s="45" t="n"/>
      <c r="AE51" s="45" t="n">
        <v>0.902729250241868</v>
      </c>
      <c r="AF51" s="75">
        <f>IFERROR(AVERAGE(L51:U51),"")</f>
        <v/>
      </c>
      <c r="AG51" s="75">
        <f>IFERROR(AVERAGE(V51:AE51),"")</f>
        <v/>
      </c>
      <c r="AH51" s="75">
        <f>IFERROR(AVERAGE(B51:K51),"")</f>
        <v/>
      </c>
      <c r="AI51" s="45" t="n">
        <v>0.919704437255859</v>
      </c>
      <c r="AJ51" s="47" t="n">
        <v>0.0154609680175781</v>
      </c>
    </row>
    <row r="52" ht="15" customHeight="1" s="30">
      <c r="A52" s="73" t="inlineStr">
        <is>
          <t>6677.jpg</t>
        </is>
      </c>
      <c r="B52" s="45" t="n"/>
      <c r="C52" s="45" t="n"/>
      <c r="D52" s="45" t="n"/>
      <c r="E52" s="45" t="n"/>
      <c r="F52" s="45" t="n"/>
      <c r="G52" s="45" t="n"/>
      <c r="H52" s="45" t="n">
        <v>0.729469335078018</v>
      </c>
      <c r="I52" s="45" t="n"/>
      <c r="J52" s="45" t="n"/>
      <c r="K52" s="45" t="n">
        <v>0.83071509009009</v>
      </c>
      <c r="L52" s="45" t="n"/>
      <c r="M52" s="45" t="n"/>
      <c r="N52" s="45" t="n"/>
      <c r="O52" s="45" t="n"/>
      <c r="P52" s="45" t="n"/>
      <c r="Q52" s="45" t="n"/>
      <c r="R52" s="45" t="n">
        <v>0.934187269012694</v>
      </c>
      <c r="S52" s="45" t="n"/>
      <c r="T52" s="45" t="n"/>
      <c r="U52" s="45" t="n">
        <v>0.873846500112537</v>
      </c>
      <c r="V52" s="45" t="n"/>
      <c r="W52" s="45" t="n"/>
      <c r="X52" s="45" t="n"/>
      <c r="Y52" s="45" t="n"/>
      <c r="Z52" s="45" t="n"/>
      <c r="AA52" s="45" t="n"/>
      <c r="AB52" s="45" t="n">
        <v>0.768988029439831</v>
      </c>
      <c r="AC52" s="45" t="n"/>
      <c r="AD52" s="45" t="n"/>
      <c r="AE52" s="45" t="n">
        <v>0.943915905848331</v>
      </c>
      <c r="AF52" s="75">
        <f>IFERROR(AVERAGE(L52:U52),"")</f>
        <v/>
      </c>
      <c r="AG52" s="75">
        <f>IFERROR(AVERAGE(V52:AE52),"")</f>
        <v/>
      </c>
      <c r="AH52" s="75">
        <f>IFERROR(AVERAGE(B52:K52),"")</f>
        <v/>
      </c>
      <c r="AI52" s="45" t="n">
        <v>0.873287200927734</v>
      </c>
      <c r="AJ52" s="47" t="n">
        <v>0.023590087890625</v>
      </c>
    </row>
    <row r="53" ht="15" customHeight="1" s="30">
      <c r="A53" s="73" t="inlineStr">
        <is>
          <t>6679.jpg</t>
        </is>
      </c>
      <c r="B53" s="45" t="n"/>
      <c r="C53" s="45" t="n"/>
      <c r="D53" s="45" t="n"/>
      <c r="E53" s="45" t="n"/>
      <c r="F53" s="45" t="n"/>
      <c r="G53" s="45" t="n"/>
      <c r="H53" s="45" t="n">
        <v>0.901069819518179</v>
      </c>
      <c r="I53" s="45" t="n"/>
      <c r="J53" s="45" t="n"/>
      <c r="K53" s="45" t="n">
        <v>0.8082816980058199</v>
      </c>
      <c r="L53" s="45" t="n"/>
      <c r="M53" s="45" t="n"/>
      <c r="N53" s="45" t="n"/>
      <c r="O53" s="45" t="n"/>
      <c r="P53" s="45" t="n"/>
      <c r="Q53" s="45" t="n"/>
      <c r="R53" s="45" t="n">
        <v>0.977594373892069</v>
      </c>
      <c r="S53" s="45" t="n"/>
      <c r="T53" s="45" t="n"/>
      <c r="U53" s="45" t="n">
        <v>0.845166578708019</v>
      </c>
      <c r="V53" s="45" t="n"/>
      <c r="W53" s="45" t="n"/>
      <c r="X53" s="45" t="n"/>
      <c r="Y53" s="45" t="n"/>
      <c r="Z53" s="45" t="n"/>
      <c r="AA53" s="45" t="n"/>
      <c r="AB53" s="45" t="n">
        <v>0.920070892501586</v>
      </c>
      <c r="AC53" s="45" t="n"/>
      <c r="AD53" s="45" t="n"/>
      <c r="AE53" s="45" t="n">
        <v>0.94877224827308</v>
      </c>
      <c r="AF53" s="75">
        <f>IFERROR(AVERAGE(L53:U53),"")</f>
        <v/>
      </c>
      <c r="AG53" s="75">
        <f>IFERROR(AVERAGE(V53:AE53),"")</f>
        <v/>
      </c>
      <c r="AH53" s="75">
        <f>IFERROR(AVERAGE(B53:K53),"")</f>
        <v/>
      </c>
      <c r="AI53" s="45" t="n">
        <v>0.9287567138671881</v>
      </c>
      <c r="AJ53" s="47" t="n">
        <v>0.003936767578125</v>
      </c>
    </row>
    <row r="54" ht="15" customHeight="1" s="30">
      <c r="A54" s="73" t="inlineStr">
        <is>
          <t>6680.jpg</t>
        </is>
      </c>
      <c r="B54" s="45" t="n"/>
      <c r="C54" s="45" t="n"/>
      <c r="D54" s="45" t="n"/>
      <c r="E54" s="45" t="n"/>
      <c r="F54" s="45" t="n"/>
      <c r="G54" s="45" t="n"/>
      <c r="H54" s="45" t="n">
        <v>0.836340445269017</v>
      </c>
      <c r="I54" s="45" t="n"/>
      <c r="J54" s="45" t="n"/>
      <c r="K54" s="45" t="n">
        <v>0.544341941140874</v>
      </c>
      <c r="L54" s="45" t="n"/>
      <c r="M54" s="45" t="n"/>
      <c r="N54" s="45" t="n"/>
      <c r="O54" s="45" t="n"/>
      <c r="P54" s="45" t="n"/>
      <c r="Q54" s="45" t="n"/>
      <c r="R54" s="45" t="n">
        <v>0.955098732997161</v>
      </c>
      <c r="S54" s="45" t="n"/>
      <c r="T54" s="45" t="n"/>
      <c r="U54" s="45" t="n">
        <v>0.629410672721301</v>
      </c>
      <c r="V54" s="45" t="n"/>
      <c r="W54" s="45" t="n"/>
      <c r="X54" s="45" t="n"/>
      <c r="Y54" s="45" t="n"/>
      <c r="Z54" s="45" t="n"/>
      <c r="AA54" s="45" t="n"/>
      <c r="AB54" s="45" t="n">
        <v>0.870569661505482</v>
      </c>
      <c r="AC54" s="45" t="n"/>
      <c r="AD54" s="45" t="n"/>
      <c r="AE54" s="45" t="n">
        <v>0.801094127696698</v>
      </c>
      <c r="AF54" s="75">
        <f>IFERROR(AVERAGE(L54:U54),"")</f>
        <v/>
      </c>
      <c r="AG54" s="75">
        <f>IFERROR(AVERAGE(V54:AE54),"")</f>
        <v/>
      </c>
      <c r="AH54" s="75">
        <f>IFERROR(AVERAGE(B54:K54),"")</f>
        <v/>
      </c>
      <c r="AI54" s="45" t="n">
        <v>0.855987548828125</v>
      </c>
      <c r="AJ54" s="47" t="n">
        <v>0.0126762390136719</v>
      </c>
    </row>
    <row r="55" ht="15" customHeight="1" s="30">
      <c r="A55" s="73" t="inlineStr">
        <is>
          <t>6688.jpg</t>
        </is>
      </c>
      <c r="B55" s="45" t="n"/>
      <c r="C55" s="45" t="n"/>
      <c r="D55" s="45" t="n"/>
      <c r="E55" s="45" t="n"/>
      <c r="F55" s="45" t="n"/>
      <c r="G55" s="45" t="n"/>
      <c r="H55" s="45" t="n">
        <v>0.8197295878183249</v>
      </c>
      <c r="I55" s="45" t="n"/>
      <c r="J55" s="45" t="n"/>
      <c r="K55" s="45" t="n">
        <v>0.916847135198147</v>
      </c>
      <c r="L55" s="45" t="n"/>
      <c r="M55" s="45" t="n"/>
      <c r="N55" s="45" t="n"/>
      <c r="O55" s="45" t="n"/>
      <c r="P55" s="45" t="n"/>
      <c r="Q55" s="45" t="n"/>
      <c r="R55" s="45" t="n">
        <v>0.880676369380042</v>
      </c>
      <c r="S55" s="45" t="n"/>
      <c r="T55" s="45" t="n"/>
      <c r="U55" s="45" t="n">
        <v>0.9754415601077711</v>
      </c>
      <c r="V55" s="45" t="n"/>
      <c r="W55" s="45" t="n"/>
      <c r="X55" s="45" t="n"/>
      <c r="Y55" s="45" t="n"/>
      <c r="Z55" s="45" t="n"/>
      <c r="AA55" s="45" t="n"/>
      <c r="AB55" s="45" t="n">
        <v>0.9221488799303</v>
      </c>
      <c r="AC55" s="45" t="n"/>
      <c r="AD55" s="45" t="n"/>
      <c r="AE55" s="45" t="n">
        <v>0.938510993956539</v>
      </c>
      <c r="AF55" s="75">
        <f>IFERROR(AVERAGE(L55:U55),"")</f>
        <v/>
      </c>
      <c r="AG55" s="75">
        <f>IFERROR(AVERAGE(V55:AE55),"")</f>
        <v/>
      </c>
      <c r="AH55" s="75">
        <f>IFERROR(AVERAGE(B55:K55),"")</f>
        <v/>
      </c>
      <c r="AI55" s="45" t="n">
        <v>0.934284210205078</v>
      </c>
      <c r="AJ55" s="47" t="n">
        <v>0.0159149169921875</v>
      </c>
    </row>
    <row r="56" ht="15" customHeight="1" s="30">
      <c r="A56" s="73" t="inlineStr">
        <is>
          <t>6691.jpg</t>
        </is>
      </c>
      <c r="B56" s="45" t="n"/>
      <c r="C56" s="45" t="n"/>
      <c r="D56" s="45" t="n">
        <v>0.862589227774173</v>
      </c>
      <c r="E56" s="45" t="n">
        <v>0.218463175630737</v>
      </c>
      <c r="F56" s="45" t="n">
        <v>0</v>
      </c>
      <c r="G56" s="45" t="n">
        <v>0.886305786526387</v>
      </c>
      <c r="H56" s="45" t="n">
        <v>0.400968911609107</v>
      </c>
      <c r="I56" s="45" t="n">
        <v>0.563134978229318</v>
      </c>
      <c r="J56" s="45" t="n">
        <v>0</v>
      </c>
      <c r="K56" s="45" t="n">
        <v>0.644579797120272</v>
      </c>
      <c r="L56" s="45" t="n"/>
      <c r="M56" s="45" t="n"/>
      <c r="N56" s="45" t="n">
        <v>0.930575812379675</v>
      </c>
      <c r="O56" s="45" t="n">
        <v>0.250929462694169</v>
      </c>
      <c r="P56" s="45" t="n">
        <v>0</v>
      </c>
      <c r="Q56" s="45" t="n">
        <v>0.923203178263907</v>
      </c>
      <c r="R56" s="45" t="n">
        <v>0.842239980022475</v>
      </c>
      <c r="S56" s="45" t="n">
        <v>0.901277584204414</v>
      </c>
      <c r="T56" s="45" t="n"/>
      <c r="U56" s="45" t="n">
        <v>0.805817224920566</v>
      </c>
      <c r="V56" s="45" t="n"/>
      <c r="W56" s="45" t="n"/>
      <c r="X56" s="45" t="n">
        <v>0.921916541440296</v>
      </c>
      <c r="Y56" s="45" t="n">
        <v>0.62804333970682</v>
      </c>
      <c r="Z56" s="45" t="n">
        <v>0</v>
      </c>
      <c r="AA56" s="45" t="n">
        <v>0.95685210548814</v>
      </c>
      <c r="AB56" s="45" t="n">
        <v>0.433529355056396</v>
      </c>
      <c r="AC56" s="45" t="n">
        <v>0.60015467904099</v>
      </c>
      <c r="AD56" s="45" t="n">
        <v>0</v>
      </c>
      <c r="AE56" s="45" t="n">
        <v>0.763112896170517</v>
      </c>
      <c r="AF56" s="75">
        <f>IFERROR(AVERAGE(L56:U56),"")</f>
        <v/>
      </c>
      <c r="AG56" s="75">
        <f>IFERROR(AVERAGE(V56:AE56),"")</f>
        <v/>
      </c>
      <c r="AH56" s="75">
        <f>IFERROR(AVERAGE(B56:K56),"")</f>
        <v/>
      </c>
      <c r="AI56" s="45" t="n">
        <v>0.772087097167969</v>
      </c>
      <c r="AJ56" s="47" t="n">
        <v>0.0591888427734375</v>
      </c>
    </row>
    <row r="57" ht="15" customHeight="1" s="30">
      <c r="A57" s="73" t="inlineStr">
        <is>
          <t>6695.jpg</t>
        </is>
      </c>
      <c r="B57" s="45" t="n"/>
      <c r="C57" s="45" t="n">
        <v>0.206415340595352</v>
      </c>
      <c r="D57" s="45" t="n">
        <v>0</v>
      </c>
      <c r="E57" s="45" t="n">
        <v>0.26289413238672</v>
      </c>
      <c r="F57" s="45" t="n">
        <v>0</v>
      </c>
      <c r="G57" s="45" t="n">
        <v>0.84683892589681</v>
      </c>
      <c r="H57" s="45" t="n">
        <v>0.7489152605229</v>
      </c>
      <c r="I57" s="45" t="n">
        <v>0.447761194029851</v>
      </c>
      <c r="J57" s="45" t="n"/>
      <c r="K57" s="45" t="n">
        <v>0.593202556633858</v>
      </c>
      <c r="L57" s="45" t="n"/>
      <c r="M57" s="45" t="n">
        <v>0.207823713736986</v>
      </c>
      <c r="N57" s="45" t="n"/>
      <c r="O57" s="45" t="n">
        <v>0.8902419861722189</v>
      </c>
      <c r="P57" s="45" t="n">
        <v>0</v>
      </c>
      <c r="Q57" s="45" t="n">
        <v>0.894488997661867</v>
      </c>
      <c r="R57" s="45" t="n">
        <v>0.928141373287986</v>
      </c>
      <c r="S57" s="45" t="n">
        <v>0.511073253833049</v>
      </c>
      <c r="T57" s="45" t="n"/>
      <c r="U57" s="45" t="n">
        <v>0.815621144538294</v>
      </c>
      <c r="V57" s="45" t="n"/>
      <c r="W57" s="45" t="n">
        <v>0.968212856133741</v>
      </c>
      <c r="X57" s="45" t="n">
        <v>0</v>
      </c>
      <c r="Y57" s="45" t="n">
        <v>0.271700556301554</v>
      </c>
      <c r="Z57" s="45" t="n"/>
      <c r="AA57" s="45" t="n">
        <v>0.940817522610005</v>
      </c>
      <c r="AB57" s="45" t="n">
        <v>0.795012105584316</v>
      </c>
      <c r="AC57" s="45" t="n">
        <v>0.783289817232376</v>
      </c>
      <c r="AD57" s="45" t="n"/>
      <c r="AE57" s="45" t="n">
        <v>0.685069748903946</v>
      </c>
      <c r="AF57" s="75">
        <f>IFERROR(AVERAGE(L57:U57),"")</f>
        <v/>
      </c>
      <c r="AG57" s="75">
        <f>IFERROR(AVERAGE(V57:AE57),"")</f>
        <v/>
      </c>
      <c r="AH57" s="75">
        <f>IFERROR(AVERAGE(B57:K57),"")</f>
        <v/>
      </c>
      <c r="AI57" s="45" t="n">
        <v>0.6903533935546881</v>
      </c>
      <c r="AJ57" s="47" t="n">
        <v>0.0651359558105469</v>
      </c>
    </row>
    <row r="58" ht="15" customHeight="1" s="30">
      <c r="A58" s="73" t="inlineStr">
        <is>
          <t>6700.jpg</t>
        </is>
      </c>
      <c r="B58" s="45" t="n">
        <v>0</v>
      </c>
      <c r="C58" s="45" t="n">
        <v>0.293129688982793</v>
      </c>
      <c r="D58" s="45" t="n">
        <v>0.164586899720696</v>
      </c>
      <c r="E58" s="45" t="n">
        <v>0.717710975910918</v>
      </c>
      <c r="F58" s="45" t="n"/>
      <c r="G58" s="45" t="n">
        <v>0</v>
      </c>
      <c r="H58" s="45" t="n">
        <v>0.645227930037185</v>
      </c>
      <c r="I58" s="45" t="n">
        <v>0.549246813441483</v>
      </c>
      <c r="J58" s="45" t="n">
        <v>0.798169136878814</v>
      </c>
      <c r="K58" s="45" t="n">
        <v>0.597298230044865</v>
      </c>
      <c r="L58" s="45" t="n">
        <v>0</v>
      </c>
      <c r="M58" s="45" t="n">
        <v>0.296543853928921</v>
      </c>
      <c r="N58" s="45" t="n">
        <v>0.9212052445789209</v>
      </c>
      <c r="O58" s="45" t="n">
        <v>0.831962733565815</v>
      </c>
      <c r="P58" s="45" t="n"/>
      <c r="Q58" s="45" t="n"/>
      <c r="R58" s="45" t="n">
        <v>0.8097258229240319</v>
      </c>
      <c r="S58" s="45" t="n">
        <v>0.717638152914459</v>
      </c>
      <c r="T58" s="45" t="n">
        <v>0.8159536541889481</v>
      </c>
      <c r="U58" s="45" t="n">
        <v>0.847914333706607</v>
      </c>
      <c r="V58" s="45" t="n"/>
      <c r="W58" s="45" t="n">
        <v>0.962207593746327</v>
      </c>
      <c r="X58" s="45" t="n">
        <v>0.166937013090859</v>
      </c>
      <c r="Y58" s="45" t="n">
        <v>0.839389802026992</v>
      </c>
      <c r="Z58" s="45" t="n"/>
      <c r="AA58" s="45" t="n">
        <v>0</v>
      </c>
      <c r="AB58" s="45" t="n">
        <v>0.760540724015289</v>
      </c>
      <c r="AC58" s="45" t="n">
        <v>0.700665188470067</v>
      </c>
      <c r="AD58" s="45" t="n">
        <v>0.973418394471026</v>
      </c>
      <c r="AE58" s="45" t="n">
        <v>0.668967421314191</v>
      </c>
      <c r="AF58" s="75">
        <f>IFERROR(AVERAGE(L58:U58),"")</f>
        <v/>
      </c>
      <c r="AG58" s="75">
        <f>IFERROR(AVERAGE(V58:AE58),"")</f>
        <v/>
      </c>
      <c r="AH58" s="75">
        <f>IFERROR(AVERAGE(B58:K58),"")</f>
        <v/>
      </c>
      <c r="AI58" s="45" t="n">
        <v>0.604328155517578</v>
      </c>
      <c r="AJ58" s="47" t="n">
        <v>0.0859489440917969</v>
      </c>
    </row>
    <row r="59" ht="15" customHeight="1" s="30">
      <c r="A59" s="73" t="inlineStr">
        <is>
          <t>6717.jpg</t>
        </is>
      </c>
      <c r="B59" s="45" t="n"/>
      <c r="C59" s="45" t="n">
        <v>0.239438118548473</v>
      </c>
      <c r="D59" s="45" t="n">
        <v>0</v>
      </c>
      <c r="E59" s="45" t="n">
        <v>0.304883011190234</v>
      </c>
      <c r="F59" s="45" t="n"/>
      <c r="G59" s="45" t="n">
        <v>0</v>
      </c>
      <c r="H59" s="45" t="n">
        <v>0.792530671157084</v>
      </c>
      <c r="I59" s="45" t="n">
        <v>0.543215837759536</v>
      </c>
      <c r="J59" s="45" t="n">
        <v>0.792731402612152</v>
      </c>
      <c r="K59" s="45" t="n">
        <v>0.366138199222255</v>
      </c>
      <c r="L59" s="45" t="n"/>
      <c r="M59" s="45" t="n">
        <v>0.241246208988145</v>
      </c>
      <c r="N59" s="45" t="n"/>
      <c r="O59" s="45" t="n">
        <v>0.934809731752963</v>
      </c>
      <c r="P59" s="45" t="n"/>
      <c r="Q59" s="45" t="n">
        <v>0</v>
      </c>
      <c r="R59" s="45" t="n">
        <v>0.880530796060456</v>
      </c>
      <c r="S59" s="45" t="n">
        <v>0.782336578581363</v>
      </c>
      <c r="T59" s="45" t="n">
        <v>0.823355942199941</v>
      </c>
      <c r="U59" s="45" t="n">
        <v>0.783817380494971</v>
      </c>
      <c r="V59" s="45" t="n"/>
      <c r="W59" s="45" t="n">
        <v>0.969648463953703</v>
      </c>
      <c r="X59" s="45" t="n">
        <v>0</v>
      </c>
      <c r="Y59" s="45" t="n">
        <v>0.311506080449018</v>
      </c>
      <c r="Z59" s="45" t="n"/>
      <c r="AA59" s="45" t="n"/>
      <c r="AB59" s="45" t="n">
        <v>0.888018867924528</v>
      </c>
      <c r="AC59" s="45" t="n">
        <v>0.639931740614334</v>
      </c>
      <c r="AD59" s="45" t="n">
        <v>0.955183031132398</v>
      </c>
      <c r="AE59" s="45" t="n">
        <v>0.407265325295545</v>
      </c>
      <c r="AF59" s="75">
        <f>IFERROR(AVERAGE(L59:U59),"")</f>
        <v/>
      </c>
      <c r="AG59" s="75">
        <f>IFERROR(AVERAGE(V59:AE59),"")</f>
        <v/>
      </c>
      <c r="AH59" s="75">
        <f>IFERROR(AVERAGE(B59:K59),"")</f>
        <v/>
      </c>
      <c r="AI59" s="45" t="n">
        <v>0.485782623291016</v>
      </c>
      <c r="AJ59" s="47" t="n">
        <v>0.197380065917969</v>
      </c>
    </row>
    <row r="60" ht="15" customHeight="1" s="30">
      <c r="A60" s="73" t="inlineStr">
        <is>
          <t>6718.jpg</t>
        </is>
      </c>
      <c r="B60" s="45" t="n"/>
      <c r="C60" s="45" t="n"/>
      <c r="D60" s="45" t="n">
        <v>0.847471586229616</v>
      </c>
      <c r="E60" s="45" t="n"/>
      <c r="F60" s="45" t="n">
        <v>0</v>
      </c>
      <c r="G60" s="45" t="n">
        <v>0.954866987277044</v>
      </c>
      <c r="H60" s="45" t="n">
        <v>0.698439667128988</v>
      </c>
      <c r="I60" s="45" t="n">
        <v>0</v>
      </c>
      <c r="J60" s="45" t="n"/>
      <c r="K60" s="45" t="n">
        <v>0.8107920266422129</v>
      </c>
      <c r="L60" s="45" t="n"/>
      <c r="M60" s="45" t="n"/>
      <c r="N60" s="45" t="n">
        <v>0.908368644067797</v>
      </c>
      <c r="O60" s="45" t="n"/>
      <c r="P60" s="45" t="n"/>
      <c r="Q60" s="45" t="n">
        <v>0.990965720278483</v>
      </c>
      <c r="R60" s="45" t="n">
        <v>0.909897158688811</v>
      </c>
      <c r="S60" s="45" t="n"/>
      <c r="T60" s="45" t="n"/>
      <c r="U60" s="45" t="n">
        <v>0.891627655170218</v>
      </c>
      <c r="V60" s="45" t="n"/>
      <c r="W60" s="45" t="n"/>
      <c r="X60" s="45" t="n">
        <v>0.926693083573487</v>
      </c>
      <c r="Y60" s="45" t="n"/>
      <c r="Z60" s="45" t="n">
        <v>0</v>
      </c>
      <c r="AA60" s="45" t="n">
        <v>0.963252272169</v>
      </c>
      <c r="AB60" s="45" t="n">
        <v>0.750335253799543</v>
      </c>
      <c r="AC60" s="45" t="n">
        <v>0</v>
      </c>
      <c r="AD60" s="45" t="n"/>
      <c r="AE60" s="45" t="n">
        <v>0.89942817981282</v>
      </c>
      <c r="AF60" s="75">
        <f>IFERROR(AVERAGE(L60:U60),"")</f>
        <v/>
      </c>
      <c r="AG60" s="75">
        <f>IFERROR(AVERAGE(V60:AE60),"")</f>
        <v/>
      </c>
      <c r="AH60" s="75">
        <f>IFERROR(AVERAGE(B60:K60),"")</f>
        <v/>
      </c>
      <c r="AI60" s="45" t="n">
        <v>0.8697357177734381</v>
      </c>
      <c r="AJ60" s="47" t="n">
        <v>0.0637855529785156</v>
      </c>
    </row>
    <row r="61" ht="15" customHeight="1" s="30">
      <c r="A61" s="73" t="inlineStr">
        <is>
          <t>6733.jpg</t>
        </is>
      </c>
      <c r="B61" s="45" t="n"/>
      <c r="C61" s="45" t="n"/>
      <c r="D61" s="45" t="n">
        <v>0.85493262352354</v>
      </c>
      <c r="E61" s="45" t="n"/>
      <c r="F61" s="45" t="n"/>
      <c r="G61" s="45" t="n">
        <v>0.966024754792567</v>
      </c>
      <c r="H61" s="45" t="n">
        <v>0.658337971839116</v>
      </c>
      <c r="I61" s="45" t="n"/>
      <c r="J61" s="45" t="n">
        <v>0.641361256544503</v>
      </c>
      <c r="K61" s="45" t="n">
        <v>0.844174695215962</v>
      </c>
      <c r="L61" s="45" t="n"/>
      <c r="M61" s="45" t="n"/>
      <c r="N61" s="45" t="n">
        <v>0.868808114961961</v>
      </c>
      <c r="O61" s="45" t="n"/>
      <c r="P61" s="45" t="n"/>
      <c r="Q61" s="45" t="n">
        <v>0.995211232855204</v>
      </c>
      <c r="R61" s="45" t="n">
        <v>0.815495799177711</v>
      </c>
      <c r="S61" s="45" t="n"/>
      <c r="T61" s="45" t="n">
        <v>0.935114503816794</v>
      </c>
      <c r="U61" s="45" t="n">
        <v>0.9219674070180049</v>
      </c>
      <c r="V61" s="45" t="n"/>
      <c r="W61" s="45" t="n"/>
      <c r="X61" s="45" t="n">
        <v>0.981661891117479</v>
      </c>
      <c r="Y61" s="45" t="n"/>
      <c r="Z61" s="45" t="n"/>
      <c r="AA61" s="45" t="n">
        <v>0.9705361244176131</v>
      </c>
      <c r="AB61" s="45" t="n">
        <v>0.773557482680103</v>
      </c>
      <c r="AC61" s="45" t="n"/>
      <c r="AD61" s="45" t="n">
        <v>0.671232876712329</v>
      </c>
      <c r="AE61" s="45" t="n">
        <v>0.9091306707272619</v>
      </c>
      <c r="AF61" s="75">
        <f>IFERROR(AVERAGE(L61:U61),"")</f>
        <v/>
      </c>
      <c r="AG61" s="75">
        <f>IFERROR(AVERAGE(V61:AE61),"")</f>
        <v/>
      </c>
      <c r="AH61" s="75">
        <f>IFERROR(AVERAGE(B61:K61),"")</f>
        <v/>
      </c>
      <c r="AI61" s="45" t="n">
        <v>0.909984588623047</v>
      </c>
      <c r="AJ61" s="47" t="n">
        <v>0.0214958190917969</v>
      </c>
    </row>
    <row r="62" ht="15" customHeight="1" s="30">
      <c r="A62" s="73" t="inlineStr">
        <is>
          <t>6744.jpg</t>
        </is>
      </c>
      <c r="B62" s="45" t="n"/>
      <c r="C62" s="45" t="n"/>
      <c r="D62" s="45" t="n">
        <v>0.857314870559904</v>
      </c>
      <c r="E62" s="45" t="n"/>
      <c r="F62" s="45" t="n"/>
      <c r="G62" s="45" t="n">
        <v>0.878425608026151</v>
      </c>
      <c r="H62" s="45" t="n">
        <v>0.504160408172997</v>
      </c>
      <c r="I62" s="45" t="n"/>
      <c r="J62" s="45" t="n">
        <v>0</v>
      </c>
      <c r="K62" s="45" t="n">
        <v>0.869968502075526</v>
      </c>
      <c r="L62" s="45" t="n"/>
      <c r="M62" s="45" t="n"/>
      <c r="N62" s="45" t="n">
        <v>0.931327665140615</v>
      </c>
      <c r="O62" s="45" t="n"/>
      <c r="P62" s="45" t="n"/>
      <c r="Q62" s="45" t="n">
        <v>0.951996345973887</v>
      </c>
      <c r="R62" s="45" t="n">
        <v>0.691882341393188</v>
      </c>
      <c r="S62" s="45" t="n"/>
      <c r="T62" s="45" t="n">
        <v>0</v>
      </c>
      <c r="U62" s="45" t="n">
        <v>0.934776761699839</v>
      </c>
      <c r="V62" s="45" t="n"/>
      <c r="W62" s="45" t="n"/>
      <c r="X62" s="45" t="n">
        <v>0.915167095115681</v>
      </c>
      <c r="Y62" s="45" t="n"/>
      <c r="Z62" s="45" t="n"/>
      <c r="AA62" s="45" t="n">
        <v>0.919137814204124</v>
      </c>
      <c r="AB62" s="45" t="n">
        <v>0.650126053003751</v>
      </c>
      <c r="AC62" s="45" t="n"/>
      <c r="AD62" s="45" t="n"/>
      <c r="AE62" s="45" t="n">
        <v>0.926189401061522</v>
      </c>
      <c r="AF62" s="75">
        <f>IFERROR(AVERAGE(L62:U62),"")</f>
        <v/>
      </c>
      <c r="AG62" s="75">
        <f>IFERROR(AVERAGE(V62:AE62),"")</f>
        <v/>
      </c>
      <c r="AH62" s="75">
        <f>IFERROR(AVERAGE(B62:K62),"")</f>
        <v/>
      </c>
      <c r="AI62" s="45" t="n">
        <v>0.889369964599609</v>
      </c>
      <c r="AJ62" s="47" t="n">
        <v>0.0232810974121094</v>
      </c>
    </row>
    <row r="63" ht="15" customHeight="1" s="30">
      <c r="A63" s="73" t="inlineStr">
        <is>
          <t>6751.jpg</t>
        </is>
      </c>
      <c r="B63" s="45" t="n"/>
      <c r="C63" s="45" t="n"/>
      <c r="D63" s="45" t="n">
        <v>0.695253164556962</v>
      </c>
      <c r="E63" s="45" t="n"/>
      <c r="F63" s="45" t="n">
        <v>0</v>
      </c>
      <c r="G63" s="45" t="n">
        <v>0.8662528679121601</v>
      </c>
      <c r="H63" s="45" t="n">
        <v>0.615091653319096</v>
      </c>
      <c r="I63" s="45" t="n"/>
      <c r="J63" s="45" t="n"/>
      <c r="K63" s="45" t="n">
        <v>0.843068369279648</v>
      </c>
      <c r="L63" s="45" t="n"/>
      <c r="M63" s="45" t="n"/>
      <c r="N63" s="45" t="n">
        <v>0.718208564890487</v>
      </c>
      <c r="O63" s="45" t="n"/>
      <c r="P63" s="45" t="n"/>
      <c r="Q63" s="45" t="n">
        <v>0.943516628178096</v>
      </c>
      <c r="R63" s="45" t="n">
        <v>0.838863134389942</v>
      </c>
      <c r="S63" s="45" t="n"/>
      <c r="T63" s="45" t="n"/>
      <c r="U63" s="45" t="n">
        <v>0.891534348802274</v>
      </c>
      <c r="V63" s="45" t="n"/>
      <c r="W63" s="45" t="n"/>
      <c r="X63" s="45" t="n">
        <v>0.956048738033072</v>
      </c>
      <c r="Y63" s="45" t="n"/>
      <c r="Z63" s="45" t="n">
        <v>0</v>
      </c>
      <c r="AA63" s="45" t="n">
        <v>0.913631993431927</v>
      </c>
      <c r="AB63" s="45" t="n">
        <v>0.697503582167868</v>
      </c>
      <c r="AC63" s="45" t="n"/>
      <c r="AD63" s="45" t="n"/>
      <c r="AE63" s="45" t="n">
        <v>0.939424369819414</v>
      </c>
      <c r="AF63" s="75">
        <f>IFERROR(AVERAGE(L63:U63),"")</f>
        <v/>
      </c>
      <c r="AG63" s="75">
        <f>IFERROR(AVERAGE(V63:AE63),"")</f>
        <v/>
      </c>
      <c r="AH63" s="75">
        <f>IFERROR(AVERAGE(B63:K63),"")</f>
        <v/>
      </c>
      <c r="AI63" s="45" t="n">
        <v>0.883945465087891</v>
      </c>
      <c r="AJ63" s="47" t="n">
        <v>0.0168952941894531</v>
      </c>
    </row>
    <row r="64" ht="15" customHeight="1" s="30">
      <c r="A64" s="73" t="inlineStr">
        <is>
          <t>6761.jpg</t>
        </is>
      </c>
      <c r="B64" s="45" t="n"/>
      <c r="C64" s="45" t="n"/>
      <c r="D64" s="45" t="n">
        <v>0.702058284083962</v>
      </c>
      <c r="E64" s="45" t="n"/>
      <c r="F64" s="45" t="n"/>
      <c r="G64" s="45" t="n">
        <v>0.927581914322587</v>
      </c>
      <c r="H64" s="45" t="n">
        <v>0.77123629233339</v>
      </c>
      <c r="I64" s="45" t="n"/>
      <c r="J64" s="45" t="n">
        <v>0.358543417366947</v>
      </c>
      <c r="K64" s="45" t="n">
        <v>0.865295700779794</v>
      </c>
      <c r="L64" s="45" t="n"/>
      <c r="M64" s="45" t="n"/>
      <c r="N64" s="45" t="n">
        <v>0.781888334089878</v>
      </c>
      <c r="O64" s="45" t="n"/>
      <c r="P64" s="45" t="n"/>
      <c r="Q64" s="45" t="n">
        <v>0.948665537581031</v>
      </c>
      <c r="R64" s="45" t="n">
        <v>0.946199195141147</v>
      </c>
      <c r="S64" s="45" t="n"/>
      <c r="T64" s="45" t="n">
        <v>0.483018867924528</v>
      </c>
      <c r="U64" s="45" t="n">
        <v>0.9398241838253401</v>
      </c>
      <c r="V64" s="45" t="n"/>
      <c r="W64" s="45" t="n"/>
      <c r="X64" s="45" t="n">
        <v>0.873035985808414</v>
      </c>
      <c r="Y64" s="45" t="n"/>
      <c r="Z64" s="45" t="n"/>
      <c r="AA64" s="45" t="n">
        <v>0.976601014837794</v>
      </c>
      <c r="AB64" s="45" t="n">
        <v>0.80660801316539</v>
      </c>
      <c r="AC64" s="45" t="n"/>
      <c r="AD64" s="45" t="n">
        <v>0.581818181818182</v>
      </c>
      <c r="AE64" s="45" t="n">
        <v>0.916048300405982</v>
      </c>
      <c r="AF64" s="75">
        <f>IFERROR(AVERAGE(L64:U64),"")</f>
        <v/>
      </c>
      <c r="AG64" s="75">
        <f>IFERROR(AVERAGE(V64:AE64),"")</f>
        <v/>
      </c>
      <c r="AH64" s="75">
        <f>IFERROR(AVERAGE(B64:K64),"")</f>
        <v/>
      </c>
      <c r="AI64" s="45" t="n">
        <v>0.9013519287109381</v>
      </c>
      <c r="AJ64" s="47" t="n">
        <v>0.0424346923828125</v>
      </c>
    </row>
    <row r="65" ht="15" customHeight="1" s="30">
      <c r="A65" s="73" t="inlineStr">
        <is>
          <t>6765.jpg</t>
        </is>
      </c>
      <c r="B65" s="45" t="n"/>
      <c r="C65" s="45" t="n"/>
      <c r="D65" s="45" t="n">
        <v>0.727844688117922</v>
      </c>
      <c r="E65" s="45" t="n"/>
      <c r="F65" s="45" t="n">
        <v>0.321729957805907</v>
      </c>
      <c r="G65" s="45" t="n">
        <v>0.97794975894443</v>
      </c>
      <c r="H65" s="45" t="n">
        <v>0.885420832398584</v>
      </c>
      <c r="I65" s="45" t="n"/>
      <c r="J65" s="45" t="n">
        <v>0.669338677354709</v>
      </c>
      <c r="K65" s="45" t="n">
        <v>0.747279059643013</v>
      </c>
      <c r="L65" s="45" t="n"/>
      <c r="M65" s="45" t="n"/>
      <c r="N65" s="45" t="n">
        <v>0.877356446370531</v>
      </c>
      <c r="O65" s="45" t="n"/>
      <c r="P65" s="45" t="n">
        <v>0.639412997903564</v>
      </c>
      <c r="Q65" s="45" t="n">
        <v>0.985237164001687</v>
      </c>
      <c r="R65" s="45" t="n">
        <v>0.921293806010291</v>
      </c>
      <c r="S65" s="45" t="n"/>
      <c r="T65" s="45" t="n">
        <v>0.76605504587156</v>
      </c>
      <c r="U65" s="45" t="n">
        <v>0.945702603955228</v>
      </c>
      <c r="V65" s="45" t="n"/>
      <c r="W65" s="45" t="n"/>
      <c r="X65" s="45" t="n">
        <v>0.810286171703022</v>
      </c>
      <c r="Y65" s="45" t="n"/>
      <c r="Z65" s="45" t="n">
        <v>0.393041237113402</v>
      </c>
      <c r="AA65" s="45" t="n">
        <v>0.992493401145947</v>
      </c>
      <c r="AB65" s="45" t="n">
        <v>0.957876076312679</v>
      </c>
      <c r="AC65" s="45" t="n"/>
      <c r="AD65" s="45" t="n">
        <v>0.841309823677582</v>
      </c>
      <c r="AE65" s="45" t="n">
        <v>0.780778300475216</v>
      </c>
      <c r="AF65" s="75">
        <f>IFERROR(AVERAGE(L65:U65),"")</f>
        <v/>
      </c>
      <c r="AG65" s="75">
        <f>IFERROR(AVERAGE(V65:AE65),"")</f>
        <v/>
      </c>
      <c r="AH65" s="75">
        <f>IFERROR(AVERAGE(B65:K65),"")</f>
        <v/>
      </c>
      <c r="AI65" s="45" t="n">
        <v>0.907032012939453</v>
      </c>
      <c r="AJ65" s="47" t="n">
        <v>0.0414886474609375</v>
      </c>
    </row>
    <row r="66" ht="15" customHeight="1" s="30">
      <c r="A66" s="73" t="inlineStr">
        <is>
          <t>6768.jpg</t>
        </is>
      </c>
      <c r="B66" s="45" t="n"/>
      <c r="C66" s="45" t="n"/>
      <c r="D66" s="45" t="n">
        <v>0.819795330988168</v>
      </c>
      <c r="E66" s="45" t="n"/>
      <c r="F66" s="45" t="n">
        <v>0.474820143884892</v>
      </c>
      <c r="G66" s="45" t="n">
        <v>0.979257582369627</v>
      </c>
      <c r="H66" s="45" t="n">
        <v>0.882341885929073</v>
      </c>
      <c r="I66" s="45" t="n">
        <v>0</v>
      </c>
      <c r="J66" s="45" t="n">
        <v>0.464387464387464</v>
      </c>
      <c r="K66" s="45" t="n">
        <v>0.753415528157281</v>
      </c>
      <c r="L66" s="45" t="n"/>
      <c r="M66" s="45" t="n"/>
      <c r="N66" s="45" t="n">
        <v>0.920962816597809</v>
      </c>
      <c r="O66" s="45" t="n"/>
      <c r="P66" s="45" t="n">
        <v>0.893617021276596</v>
      </c>
      <c r="Q66" s="45" t="n">
        <v>0.986875017179297</v>
      </c>
      <c r="R66" s="45" t="n">
        <v>0.899894160492695</v>
      </c>
      <c r="S66" s="45" t="n"/>
      <c r="T66" s="45" t="n">
        <v>0.490963855421687</v>
      </c>
      <c r="U66" s="45" t="n">
        <v>0.95691552395463</v>
      </c>
      <c r="V66" s="45" t="n"/>
      <c r="W66" s="45" t="n"/>
      <c r="X66" s="45" t="n">
        <v>0.881836945304438</v>
      </c>
      <c r="Y66" s="45" t="n"/>
      <c r="Z66" s="45" t="n">
        <v>0.503267973856209</v>
      </c>
      <c r="AA66" s="45" t="n">
        <v>0.992179403921352</v>
      </c>
      <c r="AB66" s="45" t="n">
        <v>0.978372354305596</v>
      </c>
      <c r="AC66" s="45" t="n">
        <v>0</v>
      </c>
      <c r="AD66" s="45" t="n">
        <v>0.895604395604396</v>
      </c>
      <c r="AE66" s="45" t="n">
        <v>0.779870309050773</v>
      </c>
      <c r="AF66" s="75">
        <f>IFERROR(AVERAGE(L66:U66),"")</f>
        <v/>
      </c>
      <c r="AG66" s="75">
        <f>IFERROR(AVERAGE(V66:AE66),"")</f>
        <v/>
      </c>
      <c r="AH66" s="75">
        <f>IFERROR(AVERAGE(B66:K66),"")</f>
        <v/>
      </c>
      <c r="AI66" s="45" t="n">
        <v>0.923404693603516</v>
      </c>
      <c r="AJ66" s="47" t="n">
        <v>0.0148887634277344</v>
      </c>
    </row>
    <row r="67" ht="15" customHeight="1" s="30">
      <c r="A67" s="73" t="inlineStr">
        <is>
          <t>6771.jpg</t>
        </is>
      </c>
      <c r="B67" s="45" t="n"/>
      <c r="C67" s="45" t="n"/>
      <c r="D67" s="45" t="n">
        <v>0.650677200902935</v>
      </c>
      <c r="E67" s="45" t="n"/>
      <c r="F67" s="45" t="n">
        <v>0.322185970636215</v>
      </c>
      <c r="G67" s="45" t="n">
        <v>0.982099044642735</v>
      </c>
      <c r="H67" s="45" t="n">
        <v>0.924126032444923</v>
      </c>
      <c r="I67" s="45" t="n"/>
      <c r="J67" s="45" t="n">
        <v>0.62202380952381</v>
      </c>
      <c r="K67" s="45" t="n">
        <v>0.75974856501123</v>
      </c>
      <c r="L67" s="45" t="n"/>
      <c r="M67" s="45" t="n"/>
      <c r="N67" s="45" t="n">
        <v>0.699635922330097</v>
      </c>
      <c r="O67" s="45" t="n"/>
      <c r="P67" s="45" t="n">
        <v>0.868131868131868</v>
      </c>
      <c r="Q67" s="45" t="n">
        <v>0.992299915520656</v>
      </c>
      <c r="R67" s="45" t="n">
        <v>0.942258554951484</v>
      </c>
      <c r="S67" s="45" t="n"/>
      <c r="T67" s="45" t="n">
        <v>0.657232704402516</v>
      </c>
      <c r="U67" s="45" t="n">
        <v>0.9617541365557</v>
      </c>
      <c r="V67" s="45" t="n"/>
      <c r="W67" s="45" t="n"/>
      <c r="X67" s="45" t="n">
        <v>0.9028974158183239</v>
      </c>
      <c r="Y67" s="45" t="n"/>
      <c r="Z67" s="45" t="n">
        <v>0.338765008576329</v>
      </c>
      <c r="AA67" s="45" t="n">
        <v>0.989641027057637</v>
      </c>
      <c r="AB67" s="45" t="n">
        <v>0.979601125455147</v>
      </c>
      <c r="AC67" s="45" t="n"/>
      <c r="AD67" s="45" t="n">
        <v>0.920704845814978</v>
      </c>
      <c r="AE67" s="45" t="n">
        <v>0.783417772416566</v>
      </c>
      <c r="AF67" s="75">
        <f>IFERROR(AVERAGE(L67:U67),"")</f>
        <v/>
      </c>
      <c r="AG67" s="75">
        <f>IFERROR(AVERAGE(V67:AE67),"")</f>
        <v/>
      </c>
      <c r="AH67" s="75">
        <f>IFERROR(AVERAGE(B67:K67),"")</f>
        <v/>
      </c>
      <c r="AI67" s="45" t="n">
        <v>0.931396484375</v>
      </c>
      <c r="AJ67" s="47" t="n">
        <v>0.0228080749511719</v>
      </c>
    </row>
    <row r="68" ht="15" customHeight="1" s="30">
      <c r="A68" s="73" t="inlineStr">
        <is>
          <t>6774.jpg</t>
        </is>
      </c>
      <c r="B68" s="45" t="n"/>
      <c r="C68" s="45" t="n"/>
      <c r="D68" s="45" t="n">
        <v>0.78277299973938</v>
      </c>
      <c r="E68" s="45" t="n"/>
      <c r="F68" s="45" t="n">
        <v>0.432479627473807</v>
      </c>
      <c r="G68" s="45" t="n">
        <v>0.988621268030862</v>
      </c>
      <c r="H68" s="45" t="n">
        <v>0.956544029686775</v>
      </c>
      <c r="I68" s="45" t="n"/>
      <c r="J68" s="45" t="n">
        <v>0.633093525179856</v>
      </c>
      <c r="K68" s="45" t="n">
        <v>0.856943949745815</v>
      </c>
      <c r="L68" s="45" t="n"/>
      <c r="M68" s="45" t="n"/>
      <c r="N68" s="45" t="n">
        <v>0.822200930741856</v>
      </c>
      <c r="O68" s="45" t="n"/>
      <c r="P68" s="45" t="n">
        <v>0.817381738173817</v>
      </c>
      <c r="Q68" s="45" t="n">
        <v>0.99296486475559</v>
      </c>
      <c r="R68" s="45" t="n">
        <v>0.973973351894203</v>
      </c>
      <c r="S68" s="45" t="n"/>
      <c r="T68" s="45" t="n">
        <v>0.709677419354839</v>
      </c>
      <c r="U68" s="45" t="n">
        <v>0.972441668197685</v>
      </c>
      <c r="V68" s="45" t="n"/>
      <c r="W68" s="45" t="n"/>
      <c r="X68" s="45" t="n">
        <v>0.942274509803922</v>
      </c>
      <c r="Y68" s="45" t="n"/>
      <c r="Z68" s="45" t="n">
        <v>0.478737113402062</v>
      </c>
      <c r="AA68" s="45" t="n">
        <v>0.995594773184871</v>
      </c>
      <c r="AB68" s="45" t="n">
        <v>0.981635516360174</v>
      </c>
      <c r="AC68" s="45" t="n"/>
      <c r="AD68" s="45" t="n">
        <v>0.854368932038835</v>
      </c>
      <c r="AE68" s="45" t="n">
        <v>0.878272989745462</v>
      </c>
      <c r="AF68" s="75">
        <f>IFERROR(AVERAGE(L68:U68),"")</f>
        <v/>
      </c>
      <c r="AG68" s="75">
        <f>IFERROR(AVERAGE(V68:AE68),"")</f>
        <v/>
      </c>
      <c r="AH68" s="75">
        <f>IFERROR(AVERAGE(B68:K68),"")</f>
        <v/>
      </c>
      <c r="AI68" s="45" t="n">
        <v>0.9577789306640631</v>
      </c>
      <c r="AJ68" s="47" t="n">
        <v>0.01666259765625</v>
      </c>
    </row>
    <row r="69" ht="15" customHeight="1" s="30">
      <c r="A69" s="73" t="inlineStr">
        <is>
          <t>6775.jpg</t>
        </is>
      </c>
      <c r="B69" s="45" t="n"/>
      <c r="C69" s="45" t="n"/>
      <c r="D69" s="45" t="n">
        <v>0.797876281022348</v>
      </c>
      <c r="E69" s="45" t="n"/>
      <c r="F69" s="45" t="n">
        <v>0.613035819142689</v>
      </c>
      <c r="G69" s="45" t="n">
        <v>0.985791781625282</v>
      </c>
      <c r="H69" s="45" t="n">
        <v>0.95865110028557</v>
      </c>
      <c r="I69" s="45" t="n"/>
      <c r="J69" s="45" t="n">
        <v>0.602446483180428</v>
      </c>
      <c r="K69" s="45" t="n">
        <v>0.867246872328852</v>
      </c>
      <c r="L69" s="45" t="n"/>
      <c r="M69" s="45" t="n"/>
      <c r="N69" s="45" t="n">
        <v>0.832731958762887</v>
      </c>
      <c r="O69" s="45" t="n"/>
      <c r="P69" s="45" t="n">
        <v>0.840579710144928</v>
      </c>
      <c r="Q69" s="45" t="n">
        <v>0.993538593804573</v>
      </c>
      <c r="R69" s="45" t="n">
        <v>0.973599358536918</v>
      </c>
      <c r="S69" s="45" t="n"/>
      <c r="T69" s="45" t="n">
        <v>0.654485049833887</v>
      </c>
      <c r="U69" s="45" t="n">
        <v>0.9782448636140521</v>
      </c>
      <c r="V69" s="45" t="n"/>
      <c r="W69" s="45" t="n"/>
      <c r="X69" s="45" t="n">
        <v>0.950154389060432</v>
      </c>
      <c r="Y69" s="45" t="n"/>
      <c r="Z69" s="45" t="n">
        <v>0.693687707641196</v>
      </c>
      <c r="AA69" s="45" t="n">
        <v>0.992152496445148</v>
      </c>
      <c r="AB69" s="45" t="n">
        <v>0.984236623119045</v>
      </c>
      <c r="AC69" s="45" t="n"/>
      <c r="AD69" s="45" t="n">
        <v>0.883408071748879</v>
      </c>
      <c r="AE69" s="45" t="n">
        <v>0.884302104462475</v>
      </c>
      <c r="AF69" s="75">
        <f>IFERROR(AVERAGE(L69:U69),"")</f>
        <v/>
      </c>
      <c r="AG69" s="75">
        <f>IFERROR(AVERAGE(V69:AE69),"")</f>
        <v/>
      </c>
      <c r="AH69" s="75">
        <f>IFERROR(AVERAGE(B69:K69),"")</f>
        <v/>
      </c>
      <c r="AI69" s="45" t="n">
        <v>0.9597930908203131</v>
      </c>
      <c r="AJ69" s="47" t="n">
        <v>0.0157279968261719</v>
      </c>
    </row>
    <row r="70" ht="15" customHeight="1" s="30">
      <c r="A70" s="73" t="inlineStr">
        <is>
          <t>6778.jpg</t>
        </is>
      </c>
      <c r="B70" s="45" t="n"/>
      <c r="C70" s="45" t="n"/>
      <c r="D70" s="45" t="n">
        <v>0.844114785992218</v>
      </c>
      <c r="E70" s="45" t="n"/>
      <c r="F70" s="45" t="n">
        <v>0.552717747216765</v>
      </c>
      <c r="G70" s="45" t="n">
        <v>0.982230877711369</v>
      </c>
      <c r="H70" s="45" t="n">
        <v>0.947920310495894</v>
      </c>
      <c r="I70" s="45" t="n"/>
      <c r="J70" s="45" t="n">
        <v>0.494318181818182</v>
      </c>
      <c r="K70" s="45" t="n">
        <v>0.869854182655411</v>
      </c>
      <c r="L70" s="45" t="n"/>
      <c r="M70" s="45" t="n"/>
      <c r="N70" s="45" t="n">
        <v>0.877290534563377</v>
      </c>
      <c r="O70" s="45" t="n"/>
      <c r="P70" s="45" t="n">
        <v>0.734551784160139</v>
      </c>
      <c r="Q70" s="45" t="n">
        <v>0.996783338785302</v>
      </c>
      <c r="R70" s="45" t="n">
        <v>0.9727773124326911</v>
      </c>
      <c r="S70" s="45" t="n"/>
      <c r="T70" s="45" t="n">
        <v>0.711171662125341</v>
      </c>
      <c r="U70" s="45" t="n">
        <v>0.949676576063277</v>
      </c>
      <c r="V70" s="45" t="n"/>
      <c r="W70" s="45" t="n"/>
      <c r="X70" s="45" t="n">
        <v>0.957121191231215</v>
      </c>
      <c r="Y70" s="45" t="n"/>
      <c r="Z70" s="45" t="n">
        <v>0.690671031096563</v>
      </c>
      <c r="AA70" s="45" t="n">
        <v>0.985354154596532</v>
      </c>
      <c r="AB70" s="45" t="n">
        <v>0.973751080158452</v>
      </c>
      <c r="AC70" s="45" t="n"/>
      <c r="AD70" s="45" t="n">
        <v>0.618483412322275</v>
      </c>
      <c r="AE70" s="45" t="n">
        <v>0.911886334014514</v>
      </c>
      <c r="AF70" s="75">
        <f>IFERROR(AVERAGE(L70:U70),"")</f>
        <v/>
      </c>
      <c r="AG70" s="75">
        <f>IFERROR(AVERAGE(V70:AE70),"")</f>
        <v/>
      </c>
      <c r="AH70" s="75">
        <f>IFERROR(AVERAGE(B70:K70),"")</f>
        <v/>
      </c>
      <c r="AI70" s="45" t="n">
        <v>0.960018157958984</v>
      </c>
      <c r="AJ70" s="47" t="n">
        <v>0.0102043151855469</v>
      </c>
    </row>
    <row r="71" ht="15" customHeight="1" s="30">
      <c r="A71" s="73" t="inlineStr">
        <is>
          <t>6780.jpg</t>
        </is>
      </c>
      <c r="B71" s="45" t="n"/>
      <c r="C71" s="45" t="n"/>
      <c r="D71" s="45" t="n">
        <v>0.852232845213603</v>
      </c>
      <c r="E71" s="45" t="n"/>
      <c r="F71" s="45" t="n">
        <v>0</v>
      </c>
      <c r="G71" s="45" t="n">
        <v>0.976370068753755</v>
      </c>
      <c r="H71" s="45" t="n">
        <v>0.945682591283074</v>
      </c>
      <c r="I71" s="45" t="n"/>
      <c r="J71" s="45" t="n">
        <v>0.553571428571429</v>
      </c>
      <c r="K71" s="45" t="n">
        <v>0.867352383210813</v>
      </c>
      <c r="L71" s="45" t="n"/>
      <c r="M71" s="45" t="n"/>
      <c r="N71" s="45" t="n">
        <v>0.885897597182035</v>
      </c>
      <c r="O71" s="45" t="n"/>
      <c r="P71" s="45" t="n"/>
      <c r="Q71" s="45" t="n">
        <v>0.9922799305329431</v>
      </c>
      <c r="R71" s="45" t="n">
        <v>0.971443079809621</v>
      </c>
      <c r="S71" s="45" t="n"/>
      <c r="T71" s="45" t="n">
        <v>0.611842105263158</v>
      </c>
      <c r="U71" s="45" t="n">
        <v>0.944924353737103</v>
      </c>
      <c r="V71" s="45" t="n"/>
      <c r="W71" s="45" t="n"/>
      <c r="X71" s="45" t="n">
        <v>0.95731375747689</v>
      </c>
      <c r="Y71" s="45" t="n"/>
      <c r="Z71" s="45" t="n">
        <v>0</v>
      </c>
      <c r="AA71" s="45" t="n">
        <v>0.9838436289281099</v>
      </c>
      <c r="AB71" s="45" t="n">
        <v>0.972723982212417</v>
      </c>
      <c r="AC71" s="45" t="n"/>
      <c r="AD71" s="45" t="n">
        <v>0.853211009174312</v>
      </c>
      <c r="AE71" s="45" t="n">
        <v>0.9135355364418291</v>
      </c>
      <c r="AF71" s="75">
        <f>IFERROR(AVERAGE(L71:U71),"")</f>
        <v/>
      </c>
      <c r="AG71" s="75">
        <f>IFERROR(AVERAGE(V71:AE71),"")</f>
        <v/>
      </c>
      <c r="AH71" s="75">
        <f>IFERROR(AVERAGE(B71:K71),"")</f>
        <v/>
      </c>
      <c r="AI71" s="45" t="n">
        <v>0.9603729248046881</v>
      </c>
      <c r="AJ71" s="47" t="n">
        <v>0.00787734985351563</v>
      </c>
    </row>
    <row r="72" ht="15" customHeight="1" s="30">
      <c r="A72" s="73" t="inlineStr">
        <is>
          <t>6785.jpg</t>
        </is>
      </c>
      <c r="B72" s="45" t="n"/>
      <c r="C72" s="45" t="n"/>
      <c r="D72" s="45" t="n">
        <v>0.8830022075055191</v>
      </c>
      <c r="E72" s="45" t="n"/>
      <c r="F72" s="45" t="n">
        <v>0.575503355704698</v>
      </c>
      <c r="G72" s="45" t="n">
        <v>0.969123879663725</v>
      </c>
      <c r="H72" s="45" t="n">
        <v>0.946921111632515</v>
      </c>
      <c r="I72" s="45" t="n"/>
      <c r="J72" s="45" t="n"/>
      <c r="K72" s="45" t="n">
        <v>0.886129534893341</v>
      </c>
      <c r="L72" s="45" t="n"/>
      <c r="M72" s="45" t="n"/>
      <c r="N72" s="45" t="n">
        <v>0.923076923076923</v>
      </c>
      <c r="O72" s="45" t="n"/>
      <c r="P72" s="45" t="n">
        <v>0.681908548707754</v>
      </c>
      <c r="Q72" s="45" t="n">
        <v>0.99422649255859</v>
      </c>
      <c r="R72" s="45" t="n">
        <v>0.966627634660422</v>
      </c>
      <c r="S72" s="45" t="n"/>
      <c r="T72" s="45" t="n"/>
      <c r="U72" s="45" t="n">
        <v>0.974597349024842</v>
      </c>
      <c r="V72" s="45" t="n"/>
      <c r="W72" s="45" t="n"/>
      <c r="X72" s="45" t="n">
        <v>0.953137410643368</v>
      </c>
      <c r="Y72" s="45" t="n"/>
      <c r="Z72" s="45" t="n">
        <v>0.786697247706422</v>
      </c>
      <c r="AA72" s="45" t="n">
        <v>0.974608719955282</v>
      </c>
      <c r="AB72" s="45" t="n">
        <v>0.978924105217766</v>
      </c>
      <c r="AC72" s="45" t="n"/>
      <c r="AD72" s="45" t="n"/>
      <c r="AE72" s="45" t="n">
        <v>0.907080145668069</v>
      </c>
      <c r="AF72" s="75">
        <f>IFERROR(AVERAGE(L72:U72),"")</f>
        <v/>
      </c>
      <c r="AG72" s="75">
        <f>IFERROR(AVERAGE(V72:AE72),"")</f>
        <v/>
      </c>
      <c r="AH72" s="75">
        <f>IFERROR(AVERAGE(B72:K72),"")</f>
        <v/>
      </c>
      <c r="AI72" s="45" t="n">
        <v>0.956947326660156</v>
      </c>
      <c r="AJ72" s="47" t="n">
        <v>0.0172576904296875</v>
      </c>
    </row>
    <row r="73" ht="15" customHeight="1" s="30">
      <c r="A73" s="73" t="inlineStr">
        <is>
          <t>6786.jpg</t>
        </is>
      </c>
      <c r="B73" s="45" t="n"/>
      <c r="C73" s="45" t="n"/>
      <c r="D73" s="45" t="n">
        <v>0.862862510273571</v>
      </c>
      <c r="E73" s="45" t="n"/>
      <c r="F73" s="45" t="n">
        <v>0.368584758942457</v>
      </c>
      <c r="G73" s="45" t="n">
        <v>0.964440898665109</v>
      </c>
      <c r="H73" s="45" t="n">
        <v>0.957526048578351</v>
      </c>
      <c r="I73" s="45" t="n"/>
      <c r="J73" s="45" t="n">
        <v>0</v>
      </c>
      <c r="K73" s="45" t="n">
        <v>0.880474060946737</v>
      </c>
      <c r="L73" s="45" t="n"/>
      <c r="M73" s="45" t="n"/>
      <c r="N73" s="45" t="n">
        <v>0.903936039360394</v>
      </c>
      <c r="O73" s="45" t="n"/>
      <c r="P73" s="45" t="n">
        <v>0.450570342205323</v>
      </c>
      <c r="Q73" s="45" t="n">
        <v>0.996100762190636</v>
      </c>
      <c r="R73" s="45" t="n">
        <v>0.967030686622915</v>
      </c>
      <c r="S73" s="45" t="n"/>
      <c r="T73" s="45" t="n"/>
      <c r="U73" s="45" t="n">
        <v>0.977046460176991</v>
      </c>
      <c r="V73" s="45" t="n"/>
      <c r="W73" s="45" t="n"/>
      <c r="X73" s="45" t="n">
        <v>0.949974146845915</v>
      </c>
      <c r="Y73" s="45" t="n"/>
      <c r="Z73" s="45" t="n">
        <v>0.669491525423729</v>
      </c>
      <c r="AA73" s="45" t="n">
        <v>0.968095755634367</v>
      </c>
      <c r="AB73" s="45" t="n">
        <v>0.9898396289871489</v>
      </c>
      <c r="AC73" s="45" t="n"/>
      <c r="AD73" s="45" t="n">
        <v>0</v>
      </c>
      <c r="AE73" s="45" t="n">
        <v>0.899071154906479</v>
      </c>
      <c r="AF73" s="75">
        <f>IFERROR(AVERAGE(L73:U73),"")</f>
        <v/>
      </c>
      <c r="AG73" s="75">
        <f>IFERROR(AVERAGE(V73:AE73),"")</f>
        <v/>
      </c>
      <c r="AH73" s="75">
        <f>IFERROR(AVERAGE(B73:K73),"")</f>
        <v/>
      </c>
      <c r="AI73" s="45" t="n">
        <v>0.957313537597656</v>
      </c>
      <c r="AJ73" s="47" t="n">
        <v>0.0162467956542969</v>
      </c>
    </row>
    <row r="74" ht="15" customHeight="1" s="30">
      <c r="A74" s="73" t="inlineStr">
        <is>
          <t>6794.jpg</t>
        </is>
      </c>
      <c r="B74" s="45" t="n"/>
      <c r="C74" s="45" t="n"/>
      <c r="D74" s="45" t="n">
        <v>0.769162474104765</v>
      </c>
      <c r="E74" s="45" t="n"/>
      <c r="F74" s="45" t="n">
        <v>0.702772618731759</v>
      </c>
      <c r="G74" s="45" t="n"/>
      <c r="H74" s="45" t="n">
        <v>0.864122370300517</v>
      </c>
      <c r="I74" s="45" t="n">
        <v>0.819521178637201</v>
      </c>
      <c r="J74" s="45" t="n"/>
      <c r="K74" s="45" t="n">
        <v>0.893077521389681</v>
      </c>
      <c r="L74" s="45" t="n"/>
      <c r="M74" s="45" t="n"/>
      <c r="N74" s="45" t="n">
        <v>0.783067188912323</v>
      </c>
      <c r="O74" s="45" t="n"/>
      <c r="P74" s="45" t="n">
        <v>0.868051288353611</v>
      </c>
      <c r="Q74" s="45" t="n"/>
      <c r="R74" s="45" t="n">
        <v>0.90697505167244</v>
      </c>
      <c r="S74" s="45" t="n">
        <v>0.830223880597015</v>
      </c>
      <c r="T74" s="45" t="n"/>
      <c r="U74" s="45" t="n">
        <v>0.955724221274077</v>
      </c>
      <c r="V74" s="45" t="n"/>
      <c r="W74" s="45" t="n"/>
      <c r="X74" s="45" t="n">
        <v>0.977435125987213</v>
      </c>
      <c r="Y74" s="45" t="n"/>
      <c r="Z74" s="45" t="n">
        <v>0.786825591325981</v>
      </c>
      <c r="AA74" s="45" t="n"/>
      <c r="AB74" s="45" t="n">
        <v>0.948157278066892</v>
      </c>
      <c r="AC74" s="45" t="n">
        <v>0.984513274336283</v>
      </c>
      <c r="AD74" s="45" t="n"/>
      <c r="AE74" s="45" t="n">
        <v>0.931622030964516</v>
      </c>
      <c r="AF74" s="75">
        <f>IFERROR(AVERAGE(L74:U74),"")</f>
        <v/>
      </c>
      <c r="AG74" s="75">
        <f>IFERROR(AVERAGE(V74:AE74),"")</f>
        <v/>
      </c>
      <c r="AH74" s="75">
        <f>IFERROR(AVERAGE(B74:K74),"")</f>
        <v/>
      </c>
      <c r="AI74" s="45" t="n">
        <v>0.92144775390625</v>
      </c>
      <c r="AJ74" s="47" t="n">
        <v>0.0113983154296875</v>
      </c>
    </row>
    <row r="75" ht="15" customHeight="1" s="30">
      <c r="A75" s="73" t="inlineStr">
        <is>
          <t>6795.jpg</t>
        </is>
      </c>
      <c r="B75" s="45" t="n"/>
      <c r="C75" s="45" t="n"/>
      <c r="D75" s="45" t="n">
        <v>0.90046574912345</v>
      </c>
      <c r="E75" s="45" t="n"/>
      <c r="F75" s="45" t="n">
        <v>0.846860141006723</v>
      </c>
      <c r="G75" s="45" t="n"/>
      <c r="H75" s="45" t="n">
        <v>0.878462386402964</v>
      </c>
      <c r="I75" s="45" t="n">
        <v>0.841698841698842</v>
      </c>
      <c r="J75" s="45" t="n">
        <v>0.774647887323944</v>
      </c>
      <c r="K75" s="45" t="n">
        <v>0.859999177191755</v>
      </c>
      <c r="L75" s="45" t="n"/>
      <c r="M75" s="45" t="n"/>
      <c r="N75" s="45" t="n">
        <v>0.930510491023145</v>
      </c>
      <c r="O75" s="45" t="n"/>
      <c r="P75" s="45" t="n">
        <v>0.900704520089286</v>
      </c>
      <c r="Q75" s="45" t="n"/>
      <c r="R75" s="45" t="n">
        <v>0.9041318171024511</v>
      </c>
      <c r="S75" s="45" t="n">
        <v>0.848249027237354</v>
      </c>
      <c r="T75" s="45" t="n">
        <v>0.980083857442348</v>
      </c>
      <c r="U75" s="45" t="n">
        <v>0.978651685393258</v>
      </c>
      <c r="V75" s="45" t="n"/>
      <c r="W75" s="45" t="n"/>
      <c r="X75" s="45" t="n">
        <v>0.9653837522441649</v>
      </c>
      <c r="Y75" s="45" t="n"/>
      <c r="Z75" s="45" t="n">
        <v>0.934063946759259</v>
      </c>
      <c r="AA75" s="45" t="n"/>
      <c r="AB75" s="45" t="n">
        <v>0.9686925795053</v>
      </c>
      <c r="AC75" s="45" t="n">
        <v>0.990909090909091</v>
      </c>
      <c r="AD75" s="45" t="n">
        <v>0.787037037037037</v>
      </c>
      <c r="AE75" s="45" t="n">
        <v>0.876441239361033</v>
      </c>
      <c r="AF75" s="75">
        <f>IFERROR(AVERAGE(L75:U75),"")</f>
        <v/>
      </c>
      <c r="AG75" s="75">
        <f>IFERROR(AVERAGE(V75:AE75),"")</f>
        <v/>
      </c>
      <c r="AH75" s="75">
        <f>IFERROR(AVERAGE(B75:K75),"")</f>
        <v/>
      </c>
      <c r="AI75" s="45" t="n">
        <v>0.912845611572266</v>
      </c>
      <c r="AJ75" s="47" t="n">
        <v>0.0327911376953125</v>
      </c>
    </row>
    <row r="76" ht="15" customHeight="1" s="30">
      <c r="A76" s="73" t="inlineStr">
        <is>
          <t>6796.jpg</t>
        </is>
      </c>
      <c r="B76" s="45" t="n"/>
      <c r="C76" s="45" t="n"/>
      <c r="D76" s="45" t="n">
        <v>0.882946385303317</v>
      </c>
      <c r="E76" s="45" t="n"/>
      <c r="F76" s="45" t="n">
        <v>0.189483092507076</v>
      </c>
      <c r="G76" s="45" t="n"/>
      <c r="H76" s="45" t="n">
        <v>0.928987052019081</v>
      </c>
      <c r="I76" s="45" t="n">
        <v>0.688279301745636</v>
      </c>
      <c r="J76" s="45" t="n">
        <v>0.8698630136986299</v>
      </c>
      <c r="K76" s="45" t="n">
        <v>0.806624634642753</v>
      </c>
      <c r="L76" s="45" t="n"/>
      <c r="M76" s="45" t="n"/>
      <c r="N76" s="45" t="n">
        <v>0.897095027080256</v>
      </c>
      <c r="O76" s="45" t="n"/>
      <c r="P76" s="45" t="n">
        <v>0.191163210099189</v>
      </c>
      <c r="Q76" s="45" t="n"/>
      <c r="R76" s="45" t="n">
        <v>0.9439556829985</v>
      </c>
      <c r="S76" s="45" t="n">
        <v>0.7282321899736151</v>
      </c>
      <c r="T76" s="45" t="n">
        <v>0.977392977392977</v>
      </c>
      <c r="U76" s="45" t="n">
        <v>0.99048236465791</v>
      </c>
      <c r="V76" s="45" t="n"/>
      <c r="W76" s="45" t="n"/>
      <c r="X76" s="45" t="n">
        <v>0.9824509803921569</v>
      </c>
      <c r="Y76" s="45" t="n"/>
      <c r="Z76" s="45" t="n">
        <v>0.955672426746807</v>
      </c>
      <c r="AA76" s="45" t="n"/>
      <c r="AB76" s="45" t="n">
        <v>0.983216977206528</v>
      </c>
      <c r="AC76" s="45" t="n">
        <v>0.926174496644295</v>
      </c>
      <c r="AD76" s="45" t="n">
        <v>0.887723896898209</v>
      </c>
      <c r="AE76" s="45" t="n">
        <v>0.812925563498122</v>
      </c>
      <c r="AF76" s="75">
        <f>IFERROR(AVERAGE(L76:U76),"")</f>
        <v/>
      </c>
      <c r="AG76" s="75">
        <f>IFERROR(AVERAGE(V76:AE76),"")</f>
        <v/>
      </c>
      <c r="AH76" s="75">
        <f>IFERROR(AVERAGE(B76:K76),"")</f>
        <v/>
      </c>
      <c r="AI76" s="45" t="n">
        <v>0.897876739501953</v>
      </c>
      <c r="AJ76" s="47" t="n">
        <v>0.0443038940429688</v>
      </c>
    </row>
    <row r="77" ht="15" customHeight="1" s="30">
      <c r="A77" s="73" t="inlineStr">
        <is>
          <t>6809.jpg</t>
        </is>
      </c>
      <c r="B77" s="45" t="n"/>
      <c r="C77" s="45" t="n"/>
      <c r="D77" s="45" t="n"/>
      <c r="E77" s="45" t="n"/>
      <c r="F77" s="45" t="n"/>
      <c r="G77" s="45" t="n"/>
      <c r="H77" s="45" t="n">
        <v>0.898974651871192</v>
      </c>
      <c r="I77" s="45" t="n"/>
      <c r="J77" s="45" t="n"/>
      <c r="K77" s="45" t="n">
        <v>0.96215296234207</v>
      </c>
      <c r="L77" s="45" t="n"/>
      <c r="M77" s="45" t="n"/>
      <c r="N77" s="45" t="n"/>
      <c r="O77" s="45" t="n"/>
      <c r="P77" s="45" t="n"/>
      <c r="Q77" s="45" t="n"/>
      <c r="R77" s="45" t="n">
        <v>0.926776952194028</v>
      </c>
      <c r="S77" s="45" t="n"/>
      <c r="T77" s="45" t="n"/>
      <c r="U77" s="45" t="n">
        <v>0.990398577411141</v>
      </c>
      <c r="V77" s="45" t="n"/>
      <c r="W77" s="45" t="n"/>
      <c r="X77" s="45" t="n"/>
      <c r="Y77" s="45" t="n"/>
      <c r="Z77" s="45" t="n"/>
      <c r="AA77" s="45" t="n"/>
      <c r="AB77" s="45" t="n">
        <v>0.9677074641722661</v>
      </c>
      <c r="AC77" s="45" t="n"/>
      <c r="AD77" s="45" t="n"/>
      <c r="AE77" s="45" t="n">
        <v>0.971212035226563</v>
      </c>
      <c r="AF77" s="75">
        <f>IFERROR(AVERAGE(L77:U77),"")</f>
        <v/>
      </c>
      <c r="AG77" s="75">
        <f>IFERROR(AVERAGE(V77:AE77),"")</f>
        <v/>
      </c>
      <c r="AH77" s="75">
        <f>IFERROR(AVERAGE(B77:K77),"")</f>
        <v/>
      </c>
      <c r="AI77" s="45" t="n">
        <v>0.970298767089844</v>
      </c>
      <c r="AJ77" s="47" t="n">
        <v>0.00281524658203125</v>
      </c>
    </row>
    <row r="78" ht="15" customHeight="1" s="30">
      <c r="A78" s="73" t="inlineStr">
        <is>
          <t>6815.jpg</t>
        </is>
      </c>
      <c r="B78" s="45" t="n"/>
      <c r="C78" s="45" t="n"/>
      <c r="D78" s="45" t="n">
        <v>0.81863091037403</v>
      </c>
      <c r="E78" s="45" t="n"/>
      <c r="F78" s="45" t="n"/>
      <c r="G78" s="45" t="n"/>
      <c r="H78" s="45" t="n">
        <v>0.9739824845996961</v>
      </c>
      <c r="I78" s="45" t="n"/>
      <c r="J78" s="45" t="n">
        <v>0.55625</v>
      </c>
      <c r="K78" s="45" t="n">
        <v>0.909177183812802</v>
      </c>
      <c r="L78" s="45" t="n"/>
      <c r="M78" s="45" t="n"/>
      <c r="N78" s="45" t="n">
        <v>0.863737900223381</v>
      </c>
      <c r="O78" s="45" t="n"/>
      <c r="P78" s="45" t="n"/>
      <c r="Q78" s="45" t="n"/>
      <c r="R78" s="45" t="n">
        <v>0.991662196825262</v>
      </c>
      <c r="S78" s="45" t="n"/>
      <c r="T78" s="45" t="n">
        <v>0.614640883977901</v>
      </c>
      <c r="U78" s="45" t="n">
        <v>0.950453852190781</v>
      </c>
      <c r="V78" s="45" t="n"/>
      <c r="W78" s="45" t="n"/>
      <c r="X78" s="45" t="n">
        <v>0.940032414910859</v>
      </c>
      <c r="Y78" s="45" t="n"/>
      <c r="Z78" s="45" t="n"/>
      <c r="AA78" s="45" t="n"/>
      <c r="AB78" s="45" t="n">
        <v>0.98202443372759</v>
      </c>
      <c r="AC78" s="45" t="n"/>
      <c r="AD78" s="45" t="n">
        <v>0.854126679462572</v>
      </c>
      <c r="AE78" s="45" t="n">
        <v>0.954410955645101</v>
      </c>
      <c r="AF78" s="75">
        <f>IFERROR(AVERAGE(L78:U78),"")</f>
        <v/>
      </c>
      <c r="AG78" s="75">
        <f>IFERROR(AVERAGE(V78:AE78),"")</f>
        <v/>
      </c>
      <c r="AH78" s="75">
        <f>IFERROR(AVERAGE(B78:K78),"")</f>
        <v/>
      </c>
      <c r="AI78" s="45" t="n">
        <v>0.973838806152344</v>
      </c>
      <c r="AJ78" s="47" t="n">
        <v>0.00318527221679688</v>
      </c>
    </row>
    <row r="79" ht="15" customHeight="1" s="30">
      <c r="A79" s="73" t="inlineStr">
        <is>
          <t>6825.jpg</t>
        </is>
      </c>
      <c r="B79" s="45" t="n"/>
      <c r="C79" s="45" t="n"/>
      <c r="D79" s="45" t="n">
        <v>0.933510638297872</v>
      </c>
      <c r="E79" s="45" t="n"/>
      <c r="F79" s="45" t="n">
        <v>0.8836837050474869</v>
      </c>
      <c r="G79" s="45" t="n"/>
      <c r="H79" s="45" t="n">
        <v>0.902570407361403</v>
      </c>
      <c r="I79" s="45" t="n">
        <v>0.586466165413534</v>
      </c>
      <c r="J79" s="45" t="n"/>
      <c r="K79" s="45" t="n">
        <v>0.90854153320521</v>
      </c>
      <c r="L79" s="45" t="n"/>
      <c r="M79" s="45" t="n"/>
      <c r="N79" s="45" t="n">
        <v>0.942928780371321</v>
      </c>
      <c r="O79" s="45" t="n"/>
      <c r="P79" s="45" t="n">
        <v>0.9258462140481321</v>
      </c>
      <c r="Q79" s="45" t="n"/>
      <c r="R79" s="45" t="n">
        <v>0.961920842901527</v>
      </c>
      <c r="S79" s="45" t="n">
        <v>0.614173228346457</v>
      </c>
      <c r="T79" s="45" t="n"/>
      <c r="U79" s="45" t="n">
        <v>0.960103802324269</v>
      </c>
      <c r="V79" s="45" t="n"/>
      <c r="W79" s="45" t="n"/>
      <c r="X79" s="45" t="n">
        <v>0.989413680781759</v>
      </c>
      <c r="Y79" s="45" t="n"/>
      <c r="Z79" s="45" t="n">
        <v>0.950991932473946</v>
      </c>
      <c r="AA79" s="45" t="n"/>
      <c r="AB79" s="45" t="n">
        <v>0.936013880308627</v>
      </c>
      <c r="AC79" s="45" t="n">
        <v>0.928571428571429</v>
      </c>
      <c r="AD79" s="45" t="n"/>
      <c r="AE79" s="45" t="n">
        <v>0.944188007633927</v>
      </c>
      <c r="AF79" s="75">
        <f>IFERROR(AVERAGE(L79:U79),"")</f>
        <v/>
      </c>
      <c r="AG79" s="75">
        <f>IFERROR(AVERAGE(V79:AE79),"")</f>
        <v/>
      </c>
      <c r="AH79" s="75">
        <f>IFERROR(AVERAGE(B79:K79),"")</f>
        <v/>
      </c>
      <c r="AI79" s="45" t="n">
        <v>0.945468902587891</v>
      </c>
      <c r="AJ79" s="47" t="n">
        <v>0.00959014892578125</v>
      </c>
    </row>
    <row r="80" ht="15" customHeight="1" s="30">
      <c r="A80" s="73" t="inlineStr">
        <is>
          <t>6827.jpg</t>
        </is>
      </c>
      <c r="B80" s="45" t="n"/>
      <c r="C80" s="45" t="n"/>
      <c r="D80" s="45" t="n"/>
      <c r="E80" s="45" t="n"/>
      <c r="F80" s="45" t="n">
        <v>0.821875499227861</v>
      </c>
      <c r="G80" s="45" t="n"/>
      <c r="H80" s="45" t="n">
        <v>0.938501539514198</v>
      </c>
      <c r="I80" s="45" t="n"/>
      <c r="J80" s="45" t="n"/>
      <c r="K80" s="45" t="n">
        <v>0.938411567739751</v>
      </c>
      <c r="L80" s="45" t="n"/>
      <c r="M80" s="45" t="n"/>
      <c r="N80" s="45" t="n"/>
      <c r="O80" s="45" t="n"/>
      <c r="P80" s="45" t="n">
        <v>0.995870434894825</v>
      </c>
      <c r="Q80" s="45" t="n"/>
      <c r="R80" s="45" t="n">
        <v>0.952487430904697</v>
      </c>
      <c r="S80" s="45" t="n"/>
      <c r="T80" s="45" t="n"/>
      <c r="U80" s="45" t="n">
        <v>0.9713254669833979</v>
      </c>
      <c r="V80" s="45" t="n"/>
      <c r="W80" s="45" t="n"/>
      <c r="X80" s="45" t="n"/>
      <c r="Y80" s="45" t="n"/>
      <c r="Z80" s="45" t="n">
        <v>0.824686080683943</v>
      </c>
      <c r="AA80" s="45" t="n"/>
      <c r="AB80" s="45" t="n">
        <v>0.984595285267178</v>
      </c>
      <c r="AC80" s="45" t="n"/>
      <c r="AD80" s="45" t="n"/>
      <c r="AE80" s="45" t="n">
        <v>0.965148974590481</v>
      </c>
      <c r="AF80" s="75">
        <f>IFERROR(AVERAGE(L80:U80),"")</f>
        <v/>
      </c>
      <c r="AG80" s="75">
        <f>IFERROR(AVERAGE(V80:AE80),"")</f>
        <v/>
      </c>
      <c r="AH80" s="75">
        <f>IFERROR(AVERAGE(B80:K80),"")</f>
        <v/>
      </c>
      <c r="AI80" s="45" t="n">
        <v>0.950260162353516</v>
      </c>
      <c r="AJ80" s="47" t="n">
        <v>0.01934814453125</v>
      </c>
    </row>
    <row r="81" ht="15" customHeight="1" s="30">
      <c r="A81" s="73" t="inlineStr">
        <is>
          <t>6831.jpg</t>
        </is>
      </c>
      <c r="B81" s="45" t="n"/>
      <c r="C81" s="45" t="n"/>
      <c r="D81" s="45" t="n">
        <v>0.901459692089268</v>
      </c>
      <c r="E81" s="45" t="n"/>
      <c r="F81" s="45" t="n">
        <v>0.851086481764578</v>
      </c>
      <c r="G81" s="45" t="n"/>
      <c r="H81" s="45" t="n">
        <v>0.839472924882178</v>
      </c>
      <c r="I81" s="45" t="n">
        <v>0.690358467243511</v>
      </c>
      <c r="J81" s="45" t="n">
        <v>0.831920383339477</v>
      </c>
      <c r="K81" s="45" t="n">
        <v>0.745932611547272</v>
      </c>
      <c r="L81" s="45" t="n"/>
      <c r="M81" s="45" t="n"/>
      <c r="N81" s="45" t="n">
        <v>0.948530613197638</v>
      </c>
      <c r="O81" s="45" t="n"/>
      <c r="P81" s="45" t="n">
        <v>0.882976011781699</v>
      </c>
      <c r="Q81" s="45" t="n"/>
      <c r="R81" s="45" t="n">
        <v>0.885242576210064</v>
      </c>
      <c r="S81" s="45" t="n">
        <v>0.760381211708645</v>
      </c>
      <c r="T81" s="45" t="n">
        <v>0.91044776119403</v>
      </c>
      <c r="U81" s="45" t="n">
        <v>0.952547627381369</v>
      </c>
      <c r="V81" s="45" t="n"/>
      <c r="W81" s="45" t="n"/>
      <c r="X81" s="45" t="n">
        <v>0.947822638956919</v>
      </c>
      <c r="Y81" s="45" t="n"/>
      <c r="Z81" s="45" t="n">
        <v>0.959292307692308</v>
      </c>
      <c r="AA81" s="45" t="n"/>
      <c r="AB81" s="45" t="n">
        <v>0.941983451253148</v>
      </c>
      <c r="AC81" s="45" t="n">
        <v>0.882306477093207</v>
      </c>
      <c r="AD81" s="45" t="n">
        <v>0.90606182256122</v>
      </c>
      <c r="AE81" s="45" t="n">
        <v>0.774720917464772</v>
      </c>
      <c r="AF81" s="75">
        <f>IFERROR(AVERAGE(L81:U81),"")</f>
        <v/>
      </c>
      <c r="AG81" s="75">
        <f>IFERROR(AVERAGE(V81:AE81),"")</f>
        <v/>
      </c>
      <c r="AH81" s="75">
        <f>IFERROR(AVERAGE(B81:K81),"")</f>
        <v/>
      </c>
      <c r="AI81" s="45" t="n">
        <v>0.88140869140625</v>
      </c>
      <c r="AJ81" s="47" t="n">
        <v>0.0375595092773438</v>
      </c>
    </row>
    <row r="82" ht="15" customHeight="1" s="30">
      <c r="A82" s="73" t="inlineStr">
        <is>
          <t>6844.jpg</t>
        </is>
      </c>
      <c r="B82" s="45" t="n"/>
      <c r="C82" s="45" t="n"/>
      <c r="D82" s="45" t="n">
        <v>0.948357125902818</v>
      </c>
      <c r="E82" s="45" t="n"/>
      <c r="F82" s="45" t="n">
        <v>0.880203045685279</v>
      </c>
      <c r="G82" s="45" t="n"/>
      <c r="H82" s="45" t="n">
        <v>0.872541959785077</v>
      </c>
      <c r="I82" s="45" t="n">
        <v>0</v>
      </c>
      <c r="J82" s="45" t="n">
        <v>0.475321077814153</v>
      </c>
      <c r="K82" s="45" t="n">
        <v>0.904210731517131</v>
      </c>
      <c r="L82" s="45" t="n"/>
      <c r="M82" s="45" t="n"/>
      <c r="N82" s="45" t="n">
        <v>0.969865103859625</v>
      </c>
      <c r="O82" s="45" t="n"/>
      <c r="P82" s="45" t="n">
        <v>0.932642131282615</v>
      </c>
      <c r="Q82" s="45" t="n"/>
      <c r="R82" s="45" t="n">
        <v>0.942443460571976</v>
      </c>
      <c r="S82" s="45" t="n">
        <v>0</v>
      </c>
      <c r="T82" s="45" t="n">
        <v>0.9052757793764989</v>
      </c>
      <c r="U82" s="45" t="n">
        <v>0.9712518322049279</v>
      </c>
      <c r="V82" s="45" t="n"/>
      <c r="W82" s="45" t="n"/>
      <c r="X82" s="45" t="n">
        <v>0.977150443714625</v>
      </c>
      <c r="Y82" s="45" t="n"/>
      <c r="Z82" s="45" t="n">
        <v>0.939956634065326</v>
      </c>
      <c r="AA82" s="45" t="n"/>
      <c r="AB82" s="45" t="n">
        <v>0.921654672049617</v>
      </c>
      <c r="AC82" s="45" t="n"/>
      <c r="AD82" s="45" t="n">
        <v>0.500198754471976</v>
      </c>
      <c r="AE82" s="45" t="n">
        <v>0.929076356838231</v>
      </c>
      <c r="AF82" s="75">
        <f>IFERROR(AVERAGE(L82:U82),"")</f>
        <v/>
      </c>
      <c r="AG82" s="75">
        <f>IFERROR(AVERAGE(V82:AE82),"")</f>
        <v/>
      </c>
      <c r="AH82" s="75">
        <f>IFERROR(AVERAGE(B82:K82),"")</f>
        <v/>
      </c>
      <c r="AI82" s="45" t="n">
        <v>0.928058624267578</v>
      </c>
      <c r="AJ82" s="47" t="n">
        <v>0.0171546936035156</v>
      </c>
    </row>
    <row r="83" ht="15" customHeight="1" s="30">
      <c r="A83" s="73" t="inlineStr">
        <is>
          <t>6850.jpg</t>
        </is>
      </c>
      <c r="B83" s="45" t="n"/>
      <c r="C83" s="45" t="n"/>
      <c r="D83" s="45" t="n">
        <v>0.673113506658212</v>
      </c>
      <c r="E83" s="45" t="n"/>
      <c r="F83" s="45" t="n"/>
      <c r="G83" s="45" t="n"/>
      <c r="H83" s="45" t="n">
        <v>0.936766397752698</v>
      </c>
      <c r="I83" s="45" t="n"/>
      <c r="J83" s="45" t="n"/>
      <c r="K83" s="45" t="n">
        <v>0.93571790113042</v>
      </c>
      <c r="L83" s="45" t="n"/>
      <c r="M83" s="45" t="n"/>
      <c r="N83" s="45" t="n">
        <v>0.7278025368529309</v>
      </c>
      <c r="O83" s="45" t="n"/>
      <c r="P83" s="45" t="n"/>
      <c r="Q83" s="45" t="n"/>
      <c r="R83" s="45" t="n">
        <v>0.980322928515504</v>
      </c>
      <c r="S83" s="45" t="n"/>
      <c r="T83" s="45" t="n"/>
      <c r="U83" s="45" t="n">
        <v>0.969209260522943</v>
      </c>
      <c r="V83" s="45" t="n"/>
      <c r="W83" s="45" t="n"/>
      <c r="X83" s="45" t="n">
        <v>0.899576271186441</v>
      </c>
      <c r="Y83" s="45" t="n"/>
      <c r="Z83" s="45" t="n"/>
      <c r="AA83" s="45" t="n"/>
      <c r="AB83" s="45" t="n">
        <v>0.954717768330492</v>
      </c>
      <c r="AC83" s="45" t="n"/>
      <c r="AD83" s="45" t="n"/>
      <c r="AE83" s="45" t="n">
        <v>0.964385966364984</v>
      </c>
      <c r="AF83" s="75">
        <f>IFERROR(AVERAGE(L83:U83),"")</f>
        <v/>
      </c>
      <c r="AG83" s="75">
        <f>IFERROR(AVERAGE(V83:AE83),"")</f>
        <v/>
      </c>
      <c r="AH83" s="75">
        <f>IFERROR(AVERAGE(B83:K83),"")</f>
        <v/>
      </c>
      <c r="AI83" s="45" t="n">
        <v>0.958675384521484</v>
      </c>
      <c r="AJ83" s="47" t="n">
        <v>0.0140190124511719</v>
      </c>
    </row>
    <row r="84" ht="15" customHeight="1" s="30">
      <c r="A84" s="73" t="inlineStr">
        <is>
          <t>6856.jpg</t>
        </is>
      </c>
      <c r="B84" s="45" t="n"/>
      <c r="C84" s="45" t="n"/>
      <c r="D84" s="45" t="n">
        <v>0.949658620085977</v>
      </c>
      <c r="E84" s="45" t="n"/>
      <c r="F84" s="45" t="n">
        <v>0.8381898454746139</v>
      </c>
      <c r="G84" s="45" t="n"/>
      <c r="H84" s="45" t="n">
        <v>0.890942679081421</v>
      </c>
      <c r="I84" s="45" t="n">
        <v>0.761595547309833</v>
      </c>
      <c r="J84" s="45" t="n">
        <v>0.728331177231565</v>
      </c>
      <c r="K84" s="45" t="n">
        <v>0.884471062463132</v>
      </c>
      <c r="L84" s="45" t="n"/>
      <c r="M84" s="45" t="n"/>
      <c r="N84" s="45" t="n">
        <v>0.97019137139564</v>
      </c>
      <c r="O84" s="45" t="n"/>
      <c r="P84" s="45" t="n">
        <v>0.966403665054721</v>
      </c>
      <c r="Q84" s="45" t="n"/>
      <c r="R84" s="45" t="n">
        <v>0.909225851887968</v>
      </c>
      <c r="S84" s="45" t="n">
        <v>0.800194931773879</v>
      </c>
      <c r="T84" s="45" t="n">
        <v>0.729274611398964</v>
      </c>
      <c r="U84" s="45" t="n">
        <v>0.9865931896693541</v>
      </c>
      <c r="V84" s="45" t="n"/>
      <c r="W84" s="45" t="n"/>
      <c r="X84" s="45" t="n">
        <v>0.978200324590755</v>
      </c>
      <c r="Y84" s="45" t="n"/>
      <c r="Z84" s="45" t="n">
        <v>0.863346975898136</v>
      </c>
      <c r="AA84" s="45" t="n"/>
      <c r="AB84" s="45" t="n">
        <v>0.977928237638531</v>
      </c>
      <c r="AC84" s="45" t="n">
        <v>0.940435280641466</v>
      </c>
      <c r="AD84" s="45" t="n">
        <v>0.99822695035461</v>
      </c>
      <c r="AE84" s="45" t="n">
        <v>0.895230908291801</v>
      </c>
      <c r="AF84" s="75">
        <f>IFERROR(AVERAGE(L84:U84),"")</f>
        <v/>
      </c>
      <c r="AG84" s="75">
        <f>IFERROR(AVERAGE(V84:AE84),"")</f>
        <v/>
      </c>
      <c r="AH84" s="75">
        <f>IFERROR(AVERAGE(B84:K84),"")</f>
        <v/>
      </c>
      <c r="AI84" s="45" t="n">
        <v>0.937934875488281</v>
      </c>
      <c r="AJ84" s="47" t="n">
        <v>0.0167045593261719</v>
      </c>
    </row>
    <row r="85" ht="15" customHeight="1" s="30">
      <c r="A85" s="73" t="inlineStr">
        <is>
          <t>6893.jpg</t>
        </is>
      </c>
      <c r="B85" s="45" t="n"/>
      <c r="C85" s="45" t="n"/>
      <c r="D85" s="45" t="n">
        <v>0.939399629798535</v>
      </c>
      <c r="E85" s="45" t="n"/>
      <c r="F85" s="45" t="n">
        <v>0.784287616511318</v>
      </c>
      <c r="G85" s="45" t="n"/>
      <c r="H85" s="45" t="n">
        <v>0.889109581311364</v>
      </c>
      <c r="I85" s="45" t="n">
        <v>0.845794392523365</v>
      </c>
      <c r="J85" s="45" t="n"/>
      <c r="K85" s="45" t="n">
        <v>0.847003685306842</v>
      </c>
      <c r="L85" s="45" t="n"/>
      <c r="M85" s="45" t="n"/>
      <c r="N85" s="45" t="n">
        <v>0.965827288523596</v>
      </c>
      <c r="O85" s="45" t="n"/>
      <c r="P85" s="45" t="n">
        <v>0.8172500223793751</v>
      </c>
      <c r="Q85" s="45" t="n"/>
      <c r="R85" s="45" t="n">
        <v>0.92547692886007</v>
      </c>
      <c r="S85" s="45" t="n">
        <v>0.9244126659857</v>
      </c>
      <c r="T85" s="45" t="n"/>
      <c r="U85" s="45" t="n">
        <v>0.97988748111555</v>
      </c>
      <c r="V85" s="45" t="n"/>
      <c r="W85" s="45" t="n"/>
      <c r="X85" s="45" t="n">
        <v>0.971696542538432</v>
      </c>
      <c r="Y85" s="45" t="n"/>
      <c r="Z85" s="45" t="n">
        <v>0.951088655068236</v>
      </c>
      <c r="AA85" s="45" t="n"/>
      <c r="AB85" s="45" t="n">
        <v>0.957673887146573</v>
      </c>
      <c r="AC85" s="45" t="n">
        <v>0.90863453815261</v>
      </c>
      <c r="AD85" s="45" t="n"/>
      <c r="AE85" s="45" t="n">
        <v>0.861989400733795</v>
      </c>
      <c r="AF85" s="75">
        <f>IFERROR(AVERAGE(L85:U85),"")</f>
        <v/>
      </c>
      <c r="AG85" s="75">
        <f>IFERROR(AVERAGE(V85:AE85),"")</f>
        <v/>
      </c>
      <c r="AH85" s="75">
        <f>IFERROR(AVERAGE(B85:K85),"")</f>
        <v/>
      </c>
      <c r="AI85" s="45" t="n">
        <v>0.913978576660156</v>
      </c>
      <c r="AJ85" s="47" t="n">
        <v>0.0326766967773438</v>
      </c>
    </row>
    <row r="86" ht="15" customHeight="1" s="30">
      <c r="A86" s="73" t="inlineStr">
        <is>
          <t>6895.jpg</t>
        </is>
      </c>
      <c r="B86" s="45" t="n"/>
      <c r="C86" s="45" t="n"/>
      <c r="D86" s="45" t="n">
        <v>0.941963418357434</v>
      </c>
      <c r="E86" s="45" t="n"/>
      <c r="F86" s="45" t="n">
        <v>0.608382180539273</v>
      </c>
      <c r="G86" s="45" t="n"/>
      <c r="H86" s="45" t="n">
        <v>0.873360839537178</v>
      </c>
      <c r="I86" s="45" t="n">
        <v>0.8775205377147129</v>
      </c>
      <c r="J86" s="45" t="n"/>
      <c r="K86" s="45" t="n">
        <v>0.823420484105639</v>
      </c>
      <c r="L86" s="45" t="n"/>
      <c r="M86" s="45" t="n"/>
      <c r="N86" s="45" t="n">
        <v>0.972519127718715</v>
      </c>
      <c r="O86" s="45" t="n"/>
      <c r="P86" s="45" t="n">
        <v>0.750415732774203</v>
      </c>
      <c r="Q86" s="45" t="n"/>
      <c r="R86" s="45" t="n">
        <v>0.922266002386861</v>
      </c>
      <c r="S86" s="45" t="n">
        <v>0.946817082997583</v>
      </c>
      <c r="T86" s="45" t="n"/>
      <c r="U86" s="45" t="n">
        <v>0.954074074074074</v>
      </c>
      <c r="V86" s="45" t="n"/>
      <c r="W86" s="45" t="n"/>
      <c r="X86" s="45" t="n">
        <v>0.9677216994582259</v>
      </c>
      <c r="Y86" s="45" t="n"/>
      <c r="Z86" s="45" t="n">
        <v>0.762713109935332</v>
      </c>
      <c r="AA86" s="45" t="n"/>
      <c r="AB86" s="45" t="n">
        <v>0.942759214972454</v>
      </c>
      <c r="AC86" s="45" t="n">
        <v>0.923016496465043</v>
      </c>
      <c r="AD86" s="45" t="n"/>
      <c r="AE86" s="45" t="n">
        <v>0.857405196951611</v>
      </c>
      <c r="AF86" s="75">
        <f>IFERROR(AVERAGE(L86:U86),"")</f>
        <v/>
      </c>
      <c r="AG86" s="75">
        <f>IFERROR(AVERAGE(V86:AE86),"")</f>
        <v/>
      </c>
      <c r="AH86" s="75">
        <f>IFERROR(AVERAGE(B86:K86),"")</f>
        <v/>
      </c>
      <c r="AI86" s="45" t="n">
        <v>0.901195526123047</v>
      </c>
      <c r="AJ86" s="47" t="n">
        <v>0.0332717895507813</v>
      </c>
    </row>
    <row r="87" ht="15" customHeight="1" s="30">
      <c r="A87" s="73" t="inlineStr">
        <is>
          <t>6896.jpg</t>
        </is>
      </c>
      <c r="B87" s="45" t="n"/>
      <c r="C87" s="45" t="n"/>
      <c r="D87" s="45" t="n">
        <v>0.904855207226355</v>
      </c>
      <c r="E87" s="45" t="n"/>
      <c r="F87" s="45" t="n">
        <v>0.417161209243874</v>
      </c>
      <c r="G87" s="45" t="n"/>
      <c r="H87" s="45" t="n">
        <v>0.912270730283572</v>
      </c>
      <c r="I87" s="45" t="n">
        <v>0.8182857142857139</v>
      </c>
      <c r="J87" s="45" t="n"/>
      <c r="K87" s="45" t="n">
        <v>0.846897380678119</v>
      </c>
      <c r="L87" s="45" t="n"/>
      <c r="M87" s="45" t="n"/>
      <c r="N87" s="45" t="n">
        <v>0.9515278505325649</v>
      </c>
      <c r="O87" s="45" t="n"/>
      <c r="P87" s="45" t="n">
        <v>0.755563985837127</v>
      </c>
      <c r="Q87" s="45" t="n"/>
      <c r="R87" s="45" t="n">
        <v>0.973493541407121</v>
      </c>
      <c r="S87" s="45" t="n">
        <v>0.950863213811421</v>
      </c>
      <c r="T87" s="45" t="n"/>
      <c r="U87" s="45" t="n">
        <v>0.927541001590697</v>
      </c>
      <c r="V87" s="45" t="n"/>
      <c r="W87" s="45" t="n"/>
      <c r="X87" s="45" t="n">
        <v>0.948579585016015</v>
      </c>
      <c r="Y87" s="45" t="n"/>
      <c r="Z87" s="45" t="n">
        <v>0.482243744955609</v>
      </c>
      <c r="AA87" s="45" t="n"/>
      <c r="AB87" s="45" t="n">
        <v>0.935508262314708</v>
      </c>
      <c r="AC87" s="45" t="n">
        <v>0.854415274463007</v>
      </c>
      <c r="AD87" s="45" t="n"/>
      <c r="AE87" s="45" t="n">
        <v>0.9068969215917621</v>
      </c>
      <c r="AF87" s="75">
        <f>IFERROR(AVERAGE(L87:U87),"")</f>
        <v/>
      </c>
      <c r="AG87" s="75">
        <f>IFERROR(AVERAGE(V87:AE87),"")</f>
        <v/>
      </c>
      <c r="AH87" s="75">
        <f>IFERROR(AVERAGE(B87:K87),"")</f>
        <v/>
      </c>
      <c r="AI87" s="45" t="n">
        <v>0.905082702636719</v>
      </c>
      <c r="AJ87" s="47" t="n">
        <v>0.0445747375488281</v>
      </c>
    </row>
    <row r="88" ht="15" customHeight="1" s="30">
      <c r="A88" s="73" t="inlineStr">
        <is>
          <t>6898.jpg</t>
        </is>
      </c>
      <c r="B88" s="45" t="n"/>
      <c r="C88" s="45" t="n"/>
      <c r="D88" s="45" t="n">
        <v>0.912372510279276</v>
      </c>
      <c r="E88" s="45" t="n"/>
      <c r="F88" s="45" t="n">
        <v>0.750704123636889</v>
      </c>
      <c r="G88" s="45" t="n"/>
      <c r="H88" s="45" t="n">
        <v>0.944705554685188</v>
      </c>
      <c r="I88" s="45" t="n">
        <v>0.788916055419723</v>
      </c>
      <c r="J88" s="45" t="n"/>
      <c r="K88" s="45" t="n">
        <v>0.889957439449691</v>
      </c>
      <c r="L88" s="45" t="n"/>
      <c r="M88" s="45" t="n"/>
      <c r="N88" s="45" t="n">
        <v>0.9603192446043169</v>
      </c>
      <c r="O88" s="45" t="n"/>
      <c r="P88" s="45" t="n">
        <v>0.787440345428377</v>
      </c>
      <c r="Q88" s="45" t="n"/>
      <c r="R88" s="45" t="n">
        <v>0.986431466637585</v>
      </c>
      <c r="S88" s="45" t="n">
        <v>0.941634241245136</v>
      </c>
      <c r="T88" s="45" t="n"/>
      <c r="U88" s="45" t="n">
        <v>0.96265081525975</v>
      </c>
      <c r="V88" s="45" t="n"/>
      <c r="W88" s="45" t="n"/>
      <c r="X88" s="45" t="n">
        <v>0.948116086787637</v>
      </c>
      <c r="Y88" s="45" t="n"/>
      <c r="Z88" s="45" t="n">
        <v>0.94149080699212</v>
      </c>
      <c r="AA88" s="45" t="n"/>
      <c r="AB88" s="45" t="n">
        <v>0.957143235068474</v>
      </c>
      <c r="AC88" s="45" t="n">
        <v>0.829477292202228</v>
      </c>
      <c r="AD88" s="45" t="n"/>
      <c r="AE88" s="45" t="n">
        <v>0.921785597006757</v>
      </c>
      <c r="AF88" s="75">
        <f>IFERROR(AVERAGE(L88:U88),"")</f>
        <v/>
      </c>
      <c r="AG88" s="75">
        <f>IFERROR(AVERAGE(V88:AE88),"")</f>
        <v/>
      </c>
      <c r="AH88" s="75">
        <f>IFERROR(AVERAGE(B88:K88),"")</f>
        <v/>
      </c>
      <c r="AI88" s="45" t="n">
        <v>0.941120147705078</v>
      </c>
      <c r="AJ88" s="47" t="n">
        <v>0.0231552124023438</v>
      </c>
    </row>
    <row r="89" ht="15" customHeight="1" s="30">
      <c r="A89" s="73" t="inlineStr">
        <is>
          <t>6905.jpg</t>
        </is>
      </c>
      <c r="B89" s="45" t="n"/>
      <c r="C89" s="45" t="n"/>
      <c r="D89" s="45" t="n">
        <v>0.852781272465852</v>
      </c>
      <c r="E89" s="45" t="n"/>
      <c r="F89" s="45" t="n">
        <v>0.674450450450451</v>
      </c>
      <c r="G89" s="45" t="n"/>
      <c r="H89" s="45" t="n">
        <v>0.929128913609043</v>
      </c>
      <c r="I89" s="45" t="n">
        <v>0.773072747014115</v>
      </c>
      <c r="J89" s="45" t="n"/>
      <c r="K89" s="45" t="n">
        <v>0.87987721584575</v>
      </c>
      <c r="L89" s="45" t="n"/>
      <c r="M89" s="45" t="n"/>
      <c r="N89" s="45" t="n">
        <v>0.91471878162803</v>
      </c>
      <c r="O89" s="45" t="n"/>
      <c r="P89" s="45" t="n">
        <v>0.82770210507695</v>
      </c>
      <c r="Q89" s="45" t="n"/>
      <c r="R89" s="45" t="n">
        <v>0.95002006535573</v>
      </c>
      <c r="S89" s="45" t="n">
        <v>0.801801801801802</v>
      </c>
      <c r="T89" s="45" t="n"/>
      <c r="U89" s="45" t="n">
        <v>0.968075458008344</v>
      </c>
      <c r="V89" s="45" t="n"/>
      <c r="W89" s="45" t="n"/>
      <c r="X89" s="45" t="n">
        <v>0.926439362507017</v>
      </c>
      <c r="Y89" s="45" t="n"/>
      <c r="Z89" s="45" t="n">
        <v>0.784606355328247</v>
      </c>
      <c r="AA89" s="45" t="n"/>
      <c r="AB89" s="45" t="n">
        <v>0.976879634978837</v>
      </c>
      <c r="AC89" s="45" t="n">
        <v>0.955704697986577</v>
      </c>
      <c r="AD89" s="45" t="n"/>
      <c r="AE89" s="45" t="n">
        <v>0.906170663475688</v>
      </c>
      <c r="AF89" s="75">
        <f>IFERROR(AVERAGE(L89:U89),"")</f>
        <v/>
      </c>
      <c r="AG89" s="75">
        <f>IFERROR(AVERAGE(V89:AE89),"")</f>
        <v/>
      </c>
      <c r="AH89" s="75">
        <f>IFERROR(AVERAGE(B89:K89),"")</f>
        <v/>
      </c>
      <c r="AI89" s="45" t="n">
        <v>0.926826477050781</v>
      </c>
      <c r="AJ89" s="47" t="n">
        <v>0.020843505859375</v>
      </c>
    </row>
    <row r="90" ht="15" customHeight="1" s="30">
      <c r="A90" s="73" t="inlineStr">
        <is>
          <t>6906.jpg</t>
        </is>
      </c>
      <c r="B90" s="45" t="n"/>
      <c r="C90" s="45" t="n"/>
      <c r="D90" s="45" t="n">
        <v>0.926519400251803</v>
      </c>
      <c r="E90" s="45" t="n"/>
      <c r="F90" s="45" t="n">
        <v>0.659627483959385</v>
      </c>
      <c r="G90" s="45" t="n"/>
      <c r="H90" s="45" t="n">
        <v>0.908211290524471</v>
      </c>
      <c r="I90" s="45" t="n">
        <v>0.670132871172733</v>
      </c>
      <c r="J90" s="45" t="n"/>
      <c r="K90" s="45" t="n">
        <v>0.9089449209623039</v>
      </c>
      <c r="L90" s="45" t="n"/>
      <c r="M90" s="45" t="n"/>
      <c r="N90" s="45" t="n">
        <v>0.9861848837775939</v>
      </c>
      <c r="O90" s="45" t="n"/>
      <c r="P90" s="45" t="n">
        <v>0.770557415223403</v>
      </c>
      <c r="Q90" s="45" t="n"/>
      <c r="R90" s="45" t="n">
        <v>0.9793486036686599</v>
      </c>
      <c r="S90" s="45" t="n">
        <v>0.9090909090909089</v>
      </c>
      <c r="T90" s="45" t="n"/>
      <c r="U90" s="45" t="n">
        <v>0.957953333172911</v>
      </c>
      <c r="V90" s="45" t="n"/>
      <c r="W90" s="45" t="n"/>
      <c r="X90" s="45" t="n">
        <v>0.938703093835521</v>
      </c>
      <c r="Y90" s="45" t="n"/>
      <c r="Z90" s="45" t="n">
        <v>0.820852713178295</v>
      </c>
      <c r="AA90" s="45" t="n"/>
      <c r="AB90" s="45" t="n">
        <v>0.925944359367024</v>
      </c>
      <c r="AC90" s="45" t="n">
        <v>0.718266253869969</v>
      </c>
      <c r="AD90" s="45" t="n"/>
      <c r="AE90" s="45" t="n">
        <v>0.946714651489089</v>
      </c>
      <c r="AF90" s="75">
        <f>IFERROR(AVERAGE(L90:U90),"")</f>
        <v/>
      </c>
      <c r="AG90" s="75">
        <f>IFERROR(AVERAGE(V90:AE90),"")</f>
        <v/>
      </c>
      <c r="AH90" s="75">
        <f>IFERROR(AVERAGE(B90:K90),"")</f>
        <v/>
      </c>
      <c r="AI90" s="45" t="n">
        <v>0.931587219238281</v>
      </c>
      <c r="AJ90" s="47" t="n">
        <v>0.0279464721679688</v>
      </c>
    </row>
    <row r="91" ht="15" customHeight="1" s="30">
      <c r="A91" s="73" t="inlineStr">
        <is>
          <t>6907.jpg</t>
        </is>
      </c>
      <c r="B91" s="45" t="n"/>
      <c r="C91" s="45" t="n"/>
      <c r="D91" s="45" t="n">
        <v>0.862771739130435</v>
      </c>
      <c r="E91" s="45" t="n"/>
      <c r="F91" s="45" t="n">
        <v>0.659050966608084</v>
      </c>
      <c r="G91" s="45" t="n"/>
      <c r="H91" s="45" t="n">
        <v>0.93412974946076</v>
      </c>
      <c r="I91" s="45" t="n">
        <v>0.817012858555885</v>
      </c>
      <c r="J91" s="45" t="n"/>
      <c r="K91" s="45" t="n">
        <v>0.850731230497387</v>
      </c>
      <c r="L91" s="45" t="n"/>
      <c r="M91" s="45" t="n"/>
      <c r="N91" s="45" t="n">
        <v>0.90089853397089</v>
      </c>
      <c r="O91" s="45" t="n"/>
      <c r="P91" s="45" t="n">
        <v>0.717752409597375</v>
      </c>
      <c r="Q91" s="45" t="n"/>
      <c r="R91" s="45" t="n">
        <v>0.959791529675361</v>
      </c>
      <c r="S91" s="45" t="n">
        <v>0.849794238683128</v>
      </c>
      <c r="T91" s="45" t="n"/>
      <c r="U91" s="45" t="n">
        <v>0.987501636482653</v>
      </c>
      <c r="V91" s="45" t="n"/>
      <c r="W91" s="45" t="n"/>
      <c r="X91" s="45" t="n">
        <v>0.953241409985544</v>
      </c>
      <c r="Y91" s="45" t="n"/>
      <c r="Z91" s="45" t="n">
        <v>0.8896043378802</v>
      </c>
      <c r="AA91" s="45" t="n"/>
      <c r="AB91" s="45" t="n">
        <v>0.972174256253392</v>
      </c>
      <c r="AC91" s="45" t="n">
        <v>0.9549132947976881</v>
      </c>
      <c r="AD91" s="45" t="n"/>
      <c r="AE91" s="45" t="n">
        <v>0.859991030912947</v>
      </c>
      <c r="AF91" s="75">
        <f>IFERROR(AVERAGE(L91:U91),"")</f>
        <v/>
      </c>
      <c r="AG91" s="75">
        <f>IFERROR(AVERAGE(V91:AE91),"")</f>
        <v/>
      </c>
      <c r="AH91" s="75">
        <f>IFERROR(AVERAGE(B91:K91),"")</f>
        <v/>
      </c>
      <c r="AI91" s="45" t="n">
        <v>0.909442901611328</v>
      </c>
      <c r="AJ91" s="47" t="n">
        <v>0.0412445068359375</v>
      </c>
    </row>
    <row r="92" ht="15" customHeight="1" s="30">
      <c r="A92" s="73" t="inlineStr">
        <is>
          <t>6910.jpg</t>
        </is>
      </c>
      <c r="B92" s="45" t="n"/>
      <c r="C92" s="45" t="n"/>
      <c r="D92" s="45" t="n">
        <v>0.896238387735418</v>
      </c>
      <c r="E92" s="45" t="n"/>
      <c r="F92" s="45" t="n">
        <v>0.717108382949576</v>
      </c>
      <c r="G92" s="45" t="n">
        <v>0.757333742896637</v>
      </c>
      <c r="H92" s="45" t="n">
        <v>0.919421668892767</v>
      </c>
      <c r="I92" s="45" t="n">
        <v>0.834146341463415</v>
      </c>
      <c r="J92" s="45" t="n"/>
      <c r="K92" s="45" t="n">
        <v>0.83656314115077</v>
      </c>
      <c r="L92" s="45" t="n"/>
      <c r="M92" s="45" t="n"/>
      <c r="N92" s="45" t="n">
        <v>0.983949172379201</v>
      </c>
      <c r="O92" s="45" t="n"/>
      <c r="P92" s="45" t="n">
        <v>0.852276285302774</v>
      </c>
      <c r="Q92" s="45" t="n">
        <v>0.984329773430482</v>
      </c>
      <c r="R92" s="45" t="n">
        <v>0.958842548345771</v>
      </c>
      <c r="S92" s="45" t="n">
        <v>0.943708609271523</v>
      </c>
      <c r="T92" s="45" t="n"/>
      <c r="U92" s="45" t="n">
        <v>0.9381654572384051</v>
      </c>
      <c r="V92" s="45" t="n"/>
      <c r="W92" s="45" t="n"/>
      <c r="X92" s="45" t="n">
        <v>0.909535830199372</v>
      </c>
      <c r="Y92" s="45" t="n"/>
      <c r="Z92" s="45" t="n">
        <v>0.818892900120337</v>
      </c>
      <c r="AA92" s="45" t="n">
        <v>0.766575981344734</v>
      </c>
      <c r="AB92" s="45" t="n">
        <v>0.9571978116784911</v>
      </c>
      <c r="AC92" s="45" t="n">
        <v>0.87782340862423</v>
      </c>
      <c r="AD92" s="45" t="n"/>
      <c r="AE92" s="45" t="n">
        <v>0.885381227417781</v>
      </c>
      <c r="AF92" s="75">
        <f>IFERROR(AVERAGE(L92:U92),"")</f>
        <v/>
      </c>
      <c r="AG92" s="75">
        <f>IFERROR(AVERAGE(V92:AE92),"")</f>
        <v/>
      </c>
      <c r="AH92" s="75">
        <f>IFERROR(AVERAGE(B92:K92),"")</f>
        <v/>
      </c>
      <c r="AI92" s="45" t="n">
        <v>0.904087066650391</v>
      </c>
      <c r="AJ92" s="47" t="n">
        <v>0.0442581176757813</v>
      </c>
    </row>
    <row r="93" ht="15" customHeight="1" s="30">
      <c r="A93" s="73" t="inlineStr">
        <is>
          <t>6912.jpg</t>
        </is>
      </c>
      <c r="B93" s="45" t="n"/>
      <c r="C93" s="45" t="n"/>
      <c r="D93" s="45" t="n">
        <v>0.625396825396825</v>
      </c>
      <c r="E93" s="45" t="n"/>
      <c r="F93" s="45" t="n">
        <v>0.7851425487903591</v>
      </c>
      <c r="G93" s="45" t="n"/>
      <c r="H93" s="45" t="n">
        <v>0.928832953343806</v>
      </c>
      <c r="I93" s="45" t="n"/>
      <c r="J93" s="45" t="n"/>
      <c r="K93" s="45" t="n">
        <v>0.836520328286819</v>
      </c>
      <c r="L93" s="45" t="n"/>
      <c r="M93" s="45" t="n"/>
      <c r="N93" s="45" t="n">
        <v>0.635074145712444</v>
      </c>
      <c r="O93" s="45" t="n"/>
      <c r="P93" s="45" t="n">
        <v>0.846012210485512</v>
      </c>
      <c r="Q93" s="45" t="n"/>
      <c r="R93" s="45" t="n">
        <v>0.97230718042563</v>
      </c>
      <c r="S93" s="45" t="n"/>
      <c r="T93" s="45" t="n"/>
      <c r="U93" s="45" t="n">
        <v>0.968469842044276</v>
      </c>
      <c r="V93" s="45" t="n"/>
      <c r="W93" s="45" t="n"/>
      <c r="X93" s="45" t="n">
        <v>0.976214073339941</v>
      </c>
      <c r="Y93" s="45" t="n"/>
      <c r="Z93" s="45" t="n">
        <v>0.916054564533054</v>
      </c>
      <c r="AA93" s="45" t="n"/>
      <c r="AB93" s="45" t="n">
        <v>0.954072567227339</v>
      </c>
      <c r="AC93" s="45" t="n"/>
      <c r="AD93" s="45" t="n"/>
      <c r="AE93" s="45" t="n">
        <v>0.859940215743188</v>
      </c>
      <c r="AF93" s="75">
        <f>IFERROR(AVERAGE(L93:U93),"")</f>
        <v/>
      </c>
      <c r="AG93" s="75">
        <f>IFERROR(AVERAGE(V93:AE93),"")</f>
        <v/>
      </c>
      <c r="AH93" s="75">
        <f>IFERROR(AVERAGE(B93:K93),"")</f>
        <v/>
      </c>
      <c r="AI93" s="45" t="n">
        <v>0.919620513916016</v>
      </c>
      <c r="AJ93" s="47" t="n">
        <v>0.0457878112792969</v>
      </c>
    </row>
    <row r="94" ht="15" customHeight="1" s="30">
      <c r="A94" s="73" t="inlineStr">
        <is>
          <t>6915.jpg</t>
        </is>
      </c>
      <c r="B94" s="45" t="n">
        <v>0</v>
      </c>
      <c r="C94" s="45" t="n"/>
      <c r="D94" s="45" t="n">
        <v>0</v>
      </c>
      <c r="E94" s="45" t="n"/>
      <c r="F94" s="45" t="n"/>
      <c r="G94" s="45" t="n"/>
      <c r="H94" s="45" t="n">
        <v>0.955351509314914</v>
      </c>
      <c r="I94" s="45" t="n"/>
      <c r="J94" s="45" t="n"/>
      <c r="K94" s="45" t="n">
        <v>0.8730676297123851</v>
      </c>
      <c r="L94" s="45" t="n"/>
      <c r="M94" s="45" t="n"/>
      <c r="N94" s="45" t="n">
        <v>0</v>
      </c>
      <c r="O94" s="45" t="n"/>
      <c r="P94" s="45" t="n"/>
      <c r="Q94" s="45" t="n"/>
      <c r="R94" s="45" t="n">
        <v>0.967648081084414</v>
      </c>
      <c r="S94" s="45" t="n"/>
      <c r="T94" s="45" t="n"/>
      <c r="U94" s="45" t="n">
        <v>0.982386131088113</v>
      </c>
      <c r="V94" s="45" t="n">
        <v>0</v>
      </c>
      <c r="W94" s="45" t="n"/>
      <c r="X94" s="45" t="n"/>
      <c r="Y94" s="45" t="n"/>
      <c r="Z94" s="45" t="n"/>
      <c r="AA94" s="45" t="n"/>
      <c r="AB94" s="45" t="n">
        <v>0.986873023949871</v>
      </c>
      <c r="AC94" s="45" t="n"/>
      <c r="AD94" s="45" t="n"/>
      <c r="AE94" s="45" t="n">
        <v>0.886951816610138</v>
      </c>
      <c r="AF94" s="75">
        <f>IFERROR(AVERAGE(L94:U94),"")</f>
        <v/>
      </c>
      <c r="AG94" s="75">
        <f>IFERROR(AVERAGE(V94:AE94),"")</f>
        <v/>
      </c>
      <c r="AH94" s="75">
        <f>IFERROR(AVERAGE(B94:K94),"")</f>
        <v/>
      </c>
      <c r="AI94" s="45" t="n">
        <v>0.914833068847656</v>
      </c>
      <c r="AJ94" s="47" t="n">
        <v>0.0152511596679688</v>
      </c>
    </row>
    <row r="95" ht="15" customHeight="1" s="30">
      <c r="A95" s="73" t="inlineStr">
        <is>
          <t>6920.jpg</t>
        </is>
      </c>
      <c r="B95" s="45" t="n">
        <v>0</v>
      </c>
      <c r="C95" s="45" t="n"/>
      <c r="D95" s="45" t="n">
        <v>0</v>
      </c>
      <c r="E95" s="45" t="n"/>
      <c r="F95" s="45" t="n">
        <v>0.182763566818073</v>
      </c>
      <c r="G95" s="45" t="n">
        <v>0.827938524942045</v>
      </c>
      <c r="H95" s="45" t="n">
        <v>0.888706306536271</v>
      </c>
      <c r="I95" s="45" t="n"/>
      <c r="J95" s="45" t="n"/>
      <c r="K95" s="45" t="n">
        <v>0.941736061631635</v>
      </c>
      <c r="L95" s="45" t="n"/>
      <c r="M95" s="45" t="n"/>
      <c r="N95" s="45" t="n">
        <v>0</v>
      </c>
      <c r="O95" s="45" t="n"/>
      <c r="P95" s="45" t="n">
        <v>0.213816249475598</v>
      </c>
      <c r="Q95" s="45" t="n">
        <v>0.9696329813976871</v>
      </c>
      <c r="R95" s="45" t="n">
        <v>0.9241348418992</v>
      </c>
      <c r="S95" s="45" t="n"/>
      <c r="T95" s="45" t="n"/>
      <c r="U95" s="45" t="n">
        <v>0.966897749938562</v>
      </c>
      <c r="V95" s="45" t="n">
        <v>0</v>
      </c>
      <c r="W95" s="45" t="n"/>
      <c r="X95" s="45" t="n"/>
      <c r="Y95" s="45" t="n"/>
      <c r="Z95" s="45" t="n">
        <v>0.5572157434402329</v>
      </c>
      <c r="AA95" s="45" t="n">
        <v>0.849977963860732</v>
      </c>
      <c r="AB95" s="45" t="n">
        <v>0.958645969573897</v>
      </c>
      <c r="AC95" s="45" t="n"/>
      <c r="AD95" s="45" t="n"/>
      <c r="AE95" s="45" t="n">
        <v>0.973109930057059</v>
      </c>
      <c r="AF95" s="75">
        <f>IFERROR(AVERAGE(L95:U95),"")</f>
        <v/>
      </c>
      <c r="AG95" s="75">
        <f>IFERROR(AVERAGE(V95:AE95),"")</f>
        <v/>
      </c>
      <c r="AH95" s="75">
        <f>IFERROR(AVERAGE(B95:K95),"")</f>
        <v/>
      </c>
      <c r="AI95" s="45" t="n">
        <v>0.906322479248047</v>
      </c>
      <c r="AJ95" s="47" t="n">
        <v>0.00872039794921875</v>
      </c>
    </row>
    <row r="96" ht="15" customHeight="1" s="30">
      <c r="A96" s="73" t="inlineStr">
        <is>
          <t>6927.jpg</t>
        </is>
      </c>
      <c r="B96" s="45" t="n"/>
      <c r="C96" s="45" t="n"/>
      <c r="D96" s="45" t="n">
        <v>0.583218188669765</v>
      </c>
      <c r="E96" s="45" t="n"/>
      <c r="F96" s="45" t="n">
        <v>0.953237381858112</v>
      </c>
      <c r="G96" s="45" t="n"/>
      <c r="H96" s="45" t="n">
        <v>0.905021112072035</v>
      </c>
      <c r="I96" s="45" t="n">
        <v>0.315201554152501</v>
      </c>
      <c r="J96" s="45" t="n"/>
      <c r="K96" s="45" t="n">
        <v>0.675317473520767</v>
      </c>
      <c r="L96" s="45" t="n"/>
      <c r="M96" s="45" t="n"/>
      <c r="N96" s="45" t="n">
        <v>0.589138434208857</v>
      </c>
      <c r="O96" s="45" t="n"/>
      <c r="P96" s="45" t="n">
        <v>0.982029299352764</v>
      </c>
      <c r="Q96" s="45" t="n"/>
      <c r="R96" s="45" t="n">
        <v>0.924508037694013</v>
      </c>
      <c r="S96" s="45" t="n">
        <v>0.949871935601903</v>
      </c>
      <c r="T96" s="45" t="n"/>
      <c r="U96" s="45" t="n">
        <v>0.947593666109015</v>
      </c>
      <c r="V96" s="45" t="n"/>
      <c r="W96" s="45" t="n"/>
      <c r="X96" s="45" t="n">
        <v>0.983061613381326</v>
      </c>
      <c r="Y96" s="45" t="n"/>
      <c r="Z96" s="45" t="n">
        <v>0.970160691620567</v>
      </c>
      <c r="AA96" s="45" t="n"/>
      <c r="AB96" s="45" t="n">
        <v>0.9772398513174519</v>
      </c>
      <c r="AC96" s="45" t="n">
        <v>0.320533399185085</v>
      </c>
      <c r="AD96" s="45" t="n"/>
      <c r="AE96" s="45" t="n">
        <v>0.7015179008612</v>
      </c>
      <c r="AF96" s="75">
        <f>IFERROR(AVERAGE(L96:U96),"")</f>
        <v/>
      </c>
      <c r="AG96" s="75">
        <f>IFERROR(AVERAGE(V96:AE96),"")</f>
        <v/>
      </c>
      <c r="AH96" s="75">
        <f>IFERROR(AVERAGE(B96:K96),"")</f>
        <v/>
      </c>
      <c r="AI96" s="45" t="n">
        <v>0.880638122558594</v>
      </c>
      <c r="AJ96" s="47" t="n">
        <v>0.0711021423339844</v>
      </c>
    </row>
    <row r="97" ht="15" customHeight="1" s="30">
      <c r="A97" s="73" t="inlineStr">
        <is>
          <t>6951.jpg</t>
        </is>
      </c>
      <c r="B97" s="45" t="n"/>
      <c r="C97" s="45" t="n"/>
      <c r="D97" s="45" t="n">
        <v>0.9227805988443361</v>
      </c>
      <c r="E97" s="45" t="n"/>
      <c r="F97" s="45" t="n">
        <v>0.899044898687851</v>
      </c>
      <c r="G97" s="45" t="n">
        <v>0.933754341117212</v>
      </c>
      <c r="H97" s="45" t="n">
        <v>0.754681219152292</v>
      </c>
      <c r="I97" s="45" t="n">
        <v>0</v>
      </c>
      <c r="J97" s="45" t="n">
        <v>0.787528868360277</v>
      </c>
      <c r="K97" s="45" t="n">
        <v>0.611491876994488</v>
      </c>
      <c r="L97" s="45" t="n"/>
      <c r="M97" s="45" t="n"/>
      <c r="N97" s="45" t="n">
        <v>0.94750089895721</v>
      </c>
      <c r="O97" s="45" t="n"/>
      <c r="P97" s="45" t="n">
        <v>0.91273221567739</v>
      </c>
      <c r="Q97" s="45" t="n">
        <v>0.939179931322631</v>
      </c>
      <c r="R97" s="45" t="n">
        <v>0.9409068561369009</v>
      </c>
      <c r="S97" s="45" t="n">
        <v>0</v>
      </c>
      <c r="T97" s="45" t="n">
        <v>0.856476498026552</v>
      </c>
      <c r="U97" s="45" t="n">
        <v>0.984096877735629</v>
      </c>
      <c r="V97" s="45" t="n"/>
      <c r="W97" s="45" t="n"/>
      <c r="X97" s="45" t="n">
        <v>0.972504152057575</v>
      </c>
      <c r="Y97" s="45" t="n"/>
      <c r="Z97" s="45" t="n">
        <v>0.98359375</v>
      </c>
      <c r="AA97" s="45" t="n">
        <v>0.993851248545601</v>
      </c>
      <c r="AB97" s="45" t="n">
        <v>0.792230857570173</v>
      </c>
      <c r="AC97" s="45" t="n"/>
      <c r="AD97" s="45" t="n">
        <v>0.9072595971113649</v>
      </c>
      <c r="AE97" s="45" t="n">
        <v>0.617594813851704</v>
      </c>
      <c r="AF97" s="75">
        <f>IFERROR(AVERAGE(L97:U97),"")</f>
        <v/>
      </c>
      <c r="AG97" s="75">
        <f>IFERROR(AVERAGE(V97:AE97),"")</f>
        <v/>
      </c>
      <c r="AH97" s="75">
        <f>IFERROR(AVERAGE(B97:K97),"")</f>
        <v/>
      </c>
      <c r="AI97" s="45" t="n">
        <v>0.855297088623047</v>
      </c>
      <c r="AJ97" s="47" t="n">
        <v>0.0909080505371094</v>
      </c>
    </row>
    <row r="98" ht="15" customHeight="1" s="30">
      <c r="A98" s="73" t="inlineStr">
        <is>
          <t>6952.jpg</t>
        </is>
      </c>
      <c r="B98" s="45" t="n"/>
      <c r="C98" s="45" t="n"/>
      <c r="D98" s="45" t="n">
        <v>0.907356948228883</v>
      </c>
      <c r="E98" s="45" t="n"/>
      <c r="F98" s="45" t="n">
        <v>0.870077773229636</v>
      </c>
      <c r="G98" s="45" t="n">
        <v>0.969382138434017</v>
      </c>
      <c r="H98" s="45" t="n">
        <v>0.904985166348803</v>
      </c>
      <c r="I98" s="45" t="n">
        <v>0</v>
      </c>
      <c r="J98" s="45" t="n">
        <v>0.889352306182532</v>
      </c>
      <c r="K98" s="45" t="n">
        <v>0.69842015622247</v>
      </c>
      <c r="L98" s="45" t="n"/>
      <c r="M98" s="45" t="n"/>
      <c r="N98" s="45" t="n">
        <v>0.967441394510118</v>
      </c>
      <c r="O98" s="45" t="n"/>
      <c r="P98" s="45" t="n">
        <v>0.901518364577148</v>
      </c>
      <c r="Q98" s="45" t="n">
        <v>0.974435674208301</v>
      </c>
      <c r="R98" s="45" t="n">
        <v>0.9682310264694211</v>
      </c>
      <c r="S98" s="45" t="n">
        <v>0</v>
      </c>
      <c r="T98" s="45" t="n">
        <v>0.986126224156692</v>
      </c>
      <c r="U98" s="45" t="n">
        <v>0.975100445513434</v>
      </c>
      <c r="V98" s="45" t="n"/>
      <c r="W98" s="45" t="n"/>
      <c r="X98" s="45" t="n">
        <v>0.935937197131227</v>
      </c>
      <c r="Y98" s="45" t="n"/>
      <c r="Z98" s="45" t="n">
        <v>0.96146191423919</v>
      </c>
      <c r="AA98" s="45" t="n">
        <v>0.994678550942064</v>
      </c>
      <c r="AB98" s="45" t="n">
        <v>0.932679970516775</v>
      </c>
      <c r="AC98" s="45" t="n"/>
      <c r="AD98" s="45" t="n">
        <v>0.900621118012422</v>
      </c>
      <c r="AE98" s="45" t="n">
        <v>0.7111022523420369</v>
      </c>
      <c r="AF98" s="75">
        <f>IFERROR(AVERAGE(L98:U98),"")</f>
        <v/>
      </c>
      <c r="AG98" s="75">
        <f>IFERROR(AVERAGE(V98:AE98),"")</f>
        <v/>
      </c>
      <c r="AH98" s="75">
        <f>IFERROR(AVERAGE(B98:K98),"")</f>
        <v/>
      </c>
      <c r="AI98" s="45" t="n">
        <v>0.9179229736328131</v>
      </c>
      <c r="AJ98" s="47" t="n">
        <v>0.0527267456054688</v>
      </c>
    </row>
    <row r="99" ht="15" customHeight="1" s="30">
      <c r="A99" s="73" t="inlineStr">
        <is>
          <t>6954.jpg</t>
        </is>
      </c>
      <c r="B99" s="45" t="n"/>
      <c r="C99" s="45" t="n"/>
      <c r="D99" s="45" t="n">
        <v>0.905224525043178</v>
      </c>
      <c r="E99" s="45" t="n"/>
      <c r="F99" s="45" t="n">
        <v>0.744928120381567</v>
      </c>
      <c r="G99" s="45" t="n">
        <v>0.979845125702769</v>
      </c>
      <c r="H99" s="45" t="n">
        <v>0.821985213913465</v>
      </c>
      <c r="I99" s="45" t="n"/>
      <c r="J99" s="45" t="n">
        <v>0.699304174950298</v>
      </c>
      <c r="K99" s="45" t="n">
        <v>0.797009324321737</v>
      </c>
      <c r="L99" s="45" t="n"/>
      <c r="M99" s="45" t="n"/>
      <c r="N99" s="45" t="n">
        <v>0.967913204062789</v>
      </c>
      <c r="O99" s="45" t="n"/>
      <c r="P99" s="45" t="n">
        <v>0.9035280697465981</v>
      </c>
      <c r="Q99" s="45" t="n">
        <v>0.98620045375684</v>
      </c>
      <c r="R99" s="45" t="n">
        <v>0.966749657898738</v>
      </c>
      <c r="S99" s="45" t="n"/>
      <c r="T99" s="45" t="n">
        <v>0.836007130124777</v>
      </c>
      <c r="U99" s="45" t="n">
        <v>0.899246073750837</v>
      </c>
      <c r="V99" s="45" t="n"/>
      <c r="W99" s="45" t="n"/>
      <c r="X99" s="45" t="n">
        <v>0.933229468061429</v>
      </c>
      <c r="Y99" s="45" t="n"/>
      <c r="Z99" s="45" t="n">
        <v>0.809297912713473</v>
      </c>
      <c r="AA99" s="45" t="n">
        <v>0.993466161168025</v>
      </c>
      <c r="AB99" s="45" t="n">
        <v>0.845899921839922</v>
      </c>
      <c r="AC99" s="45" t="n"/>
      <c r="AD99" s="45" t="n">
        <v>0.810483870967742</v>
      </c>
      <c r="AE99" s="45" t="n">
        <v>0.875160306948386</v>
      </c>
      <c r="AF99" s="75">
        <f>IFERROR(AVERAGE(L99:U99),"")</f>
        <v/>
      </c>
      <c r="AG99" s="75">
        <f>IFERROR(AVERAGE(V99:AE99),"")</f>
        <v/>
      </c>
      <c r="AH99" s="75">
        <f>IFERROR(AVERAGE(B99:K99),"")</f>
        <v/>
      </c>
      <c r="AI99" s="45" t="n">
        <v>0.892429351806641</v>
      </c>
      <c r="AJ99" s="47" t="n">
        <v>0.0663871765136719</v>
      </c>
    </row>
    <row r="100" ht="15" customHeight="1" s="30">
      <c r="A100" s="73" t="inlineStr">
        <is>
          <t>6959.jpg</t>
        </is>
      </c>
      <c r="B100" s="45" t="n"/>
      <c r="C100" s="45" t="n"/>
      <c r="D100" s="45" t="n">
        <v>0.9170707947735121</v>
      </c>
      <c r="E100" s="45" t="n"/>
      <c r="F100" s="45" t="n">
        <v>0.841561561561562</v>
      </c>
      <c r="G100" s="45" t="n"/>
      <c r="H100" s="45" t="n">
        <v>0.890313643006175</v>
      </c>
      <c r="I100" s="45" t="n">
        <v>0.775478927203065</v>
      </c>
      <c r="J100" s="45" t="n">
        <v>0.850844664194479</v>
      </c>
      <c r="K100" s="45" t="n">
        <v>0.800880876779678</v>
      </c>
      <c r="L100" s="45" t="n"/>
      <c r="M100" s="45" t="n"/>
      <c r="N100" s="45" t="n">
        <v>0.9622905648637839</v>
      </c>
      <c r="O100" s="45" t="n"/>
      <c r="P100" s="45" t="n">
        <v>0.928931317952798</v>
      </c>
      <c r="Q100" s="45" t="n"/>
      <c r="R100" s="45" t="n">
        <v>0.930231326619772</v>
      </c>
      <c r="S100" s="45" t="n">
        <v>0.8076616121308861</v>
      </c>
      <c r="T100" s="45" t="n">
        <v>0.881348698250107</v>
      </c>
      <c r="U100" s="45" t="n">
        <v>0.943993045913871</v>
      </c>
      <c r="V100" s="45" t="n"/>
      <c r="W100" s="45" t="n"/>
      <c r="X100" s="45" t="n">
        <v>0.95125648009841</v>
      </c>
      <c r="Y100" s="45" t="n"/>
      <c r="Z100" s="45" t="n">
        <v>0.8994736166388499</v>
      </c>
      <c r="AA100" s="45" t="n"/>
      <c r="AB100" s="45" t="n">
        <v>0.954017994532848</v>
      </c>
      <c r="AC100" s="45" t="n">
        <v>0.951127819548872</v>
      </c>
      <c r="AD100" s="45" t="n">
        <v>0.960912052117264</v>
      </c>
      <c r="AE100" s="45" t="n">
        <v>0.840834059210031</v>
      </c>
      <c r="AF100" s="75">
        <f>IFERROR(AVERAGE(L100:U100),"")</f>
        <v/>
      </c>
      <c r="AG100" s="75">
        <f>IFERROR(AVERAGE(V100:AE100),"")</f>
        <v/>
      </c>
      <c r="AH100" s="75">
        <f>IFERROR(AVERAGE(B100:K100),"")</f>
        <v/>
      </c>
      <c r="AI100" s="45" t="n">
        <v>0.911869049072266</v>
      </c>
      <c r="AJ100" s="47" t="n">
        <v>0.0287208557128906</v>
      </c>
    </row>
    <row r="101" ht="15" customHeight="1" s="30">
      <c r="A101" s="73" t="inlineStr">
        <is>
          <t>6961.jpg</t>
        </is>
      </c>
      <c r="B101" s="45" t="n"/>
      <c r="C101" s="45" t="n"/>
      <c r="D101" s="45" t="n">
        <v>0.9016851892206</v>
      </c>
      <c r="E101" s="45" t="n"/>
      <c r="F101" s="45" t="n">
        <v>0.83006192312186</v>
      </c>
      <c r="G101" s="45" t="n"/>
      <c r="H101" s="45" t="n">
        <v>0.902313334972543</v>
      </c>
      <c r="I101" s="45" t="n">
        <v>0.715521903731747</v>
      </c>
      <c r="J101" s="45" t="n">
        <v>0.771233852100498</v>
      </c>
      <c r="K101" s="45" t="n">
        <v>0.71129358687861</v>
      </c>
      <c r="L101" s="45" t="n"/>
      <c r="M101" s="45" t="n"/>
      <c r="N101" s="45" t="n">
        <v>0.94212962962963</v>
      </c>
      <c r="O101" s="45" t="n"/>
      <c r="P101" s="45" t="n">
        <v>0.893423038229376</v>
      </c>
      <c r="Q101" s="45" t="n"/>
      <c r="R101" s="45" t="n">
        <v>0.916205476031957</v>
      </c>
      <c r="S101" s="45" t="n">
        <v>0.807445834604821</v>
      </c>
      <c r="T101" s="45" t="n">
        <v>0.814830736163353</v>
      </c>
      <c r="U101" s="45" t="n">
        <v>0.9869390978763239</v>
      </c>
      <c r="V101" s="45" t="n"/>
      <c r="W101" s="45" t="n"/>
      <c r="X101" s="45" t="n">
        <v>0.954554192779423</v>
      </c>
      <c r="Y101" s="45" t="n"/>
      <c r="Z101" s="45" t="n">
        <v>0.921286390455813</v>
      </c>
      <c r="AA101" s="45" t="n"/>
      <c r="AB101" s="45" t="n">
        <v>0.983473473808806</v>
      </c>
      <c r="AC101" s="45" t="n">
        <v>0.862732311705249</v>
      </c>
      <c r="AD101" s="45" t="n">
        <v>0.935125801677356</v>
      </c>
      <c r="AE101" s="45" t="n">
        <v>0.7180526735834</v>
      </c>
      <c r="AF101" s="75">
        <f>IFERROR(AVERAGE(L101:U101),"")</f>
        <v/>
      </c>
      <c r="AG101" s="75">
        <f>IFERROR(AVERAGE(V101:AE101),"")</f>
        <v/>
      </c>
      <c r="AH101" s="75">
        <f>IFERROR(AVERAGE(B101:K101),"")</f>
        <v/>
      </c>
      <c r="AI101" s="45" t="n">
        <v>0.876018524169922</v>
      </c>
      <c r="AJ101" s="47" t="n">
        <v>0.06276702880859381</v>
      </c>
    </row>
    <row r="102" ht="15" customHeight="1" s="30">
      <c r="A102" s="73" t="inlineStr">
        <is>
          <t>6963.jpg</t>
        </is>
      </c>
      <c r="B102" s="45" t="n"/>
      <c r="C102" s="45" t="n"/>
      <c r="D102" s="45" t="n">
        <v>0.901223192278455</v>
      </c>
      <c r="E102" s="45" t="n"/>
      <c r="F102" s="45" t="n">
        <v>0.61839378238342</v>
      </c>
      <c r="G102" s="45" t="n"/>
      <c r="H102" s="45" t="n">
        <v>0.872714029976482</v>
      </c>
      <c r="I102" s="45" t="n">
        <v>0.783598110777158</v>
      </c>
      <c r="J102" s="45" t="n">
        <v>0.575894829871852</v>
      </c>
      <c r="K102" s="45" t="n">
        <v>0.670502202474065</v>
      </c>
      <c r="L102" s="45" t="n"/>
      <c r="M102" s="45" t="n"/>
      <c r="N102" s="45" t="n">
        <v>0.90846394984326</v>
      </c>
      <c r="O102" s="45" t="n"/>
      <c r="P102" s="45" t="n">
        <v>0.663147659397139</v>
      </c>
      <c r="Q102" s="45" t="n"/>
      <c r="R102" s="45" t="n">
        <v>0.916008105369808</v>
      </c>
      <c r="S102" s="45" t="n">
        <v>0.874880153403643</v>
      </c>
      <c r="T102" s="45" t="n">
        <v>0.982287544752214</v>
      </c>
      <c r="U102" s="45" t="n">
        <v>0.897502761863166</v>
      </c>
      <c r="V102" s="45" t="n"/>
      <c r="W102" s="45" t="n"/>
      <c r="X102" s="45" t="n">
        <v>0.991233626390332</v>
      </c>
      <c r="Y102" s="45" t="n"/>
      <c r="Z102" s="45" t="n">
        <v>0.901605288007554</v>
      </c>
      <c r="AA102" s="45" t="n"/>
      <c r="AB102" s="45" t="n">
        <v>0.94862500834629</v>
      </c>
      <c r="AC102" s="45" t="n">
        <v>0.882495164410058</v>
      </c>
      <c r="AD102" s="45" t="n">
        <v>0.581937932574235</v>
      </c>
      <c r="AE102" s="45" t="n">
        <v>0.726102138804016</v>
      </c>
      <c r="AF102" s="75">
        <f>IFERROR(AVERAGE(L102:U102),"")</f>
        <v/>
      </c>
      <c r="AG102" s="75">
        <f>IFERROR(AVERAGE(V102:AE102),"")</f>
        <v/>
      </c>
      <c r="AH102" s="75">
        <f>IFERROR(AVERAGE(B102:K102),"")</f>
        <v/>
      </c>
      <c r="AI102" s="45" t="n">
        <v>0.858409881591797</v>
      </c>
      <c r="AJ102" s="47" t="n">
        <v>0.041473388671875</v>
      </c>
    </row>
    <row r="103" ht="15" customHeight="1" s="30">
      <c r="A103" s="73" t="inlineStr">
        <is>
          <t>6979.jpg</t>
        </is>
      </c>
      <c r="B103" s="45" t="n"/>
      <c r="C103" s="45" t="n"/>
      <c r="D103" s="45" t="n">
        <v>0.930163941699758</v>
      </c>
      <c r="E103" s="45" t="n"/>
      <c r="F103" s="45" t="n">
        <v>0.792615729145181</v>
      </c>
      <c r="G103" s="45" t="n"/>
      <c r="H103" s="45" t="n">
        <v>0.8098285085229719</v>
      </c>
      <c r="I103" s="45" t="n">
        <v>0.8932714617169371</v>
      </c>
      <c r="J103" s="45" t="n"/>
      <c r="K103" s="45" t="n">
        <v>0.702335273881979</v>
      </c>
      <c r="L103" s="45" t="n"/>
      <c r="M103" s="45" t="n"/>
      <c r="N103" s="45" t="n">
        <v>0.953148442827915</v>
      </c>
      <c r="O103" s="45" t="n"/>
      <c r="P103" s="45" t="n">
        <v>0.870067279078794</v>
      </c>
      <c r="Q103" s="45" t="n"/>
      <c r="R103" s="45" t="n">
        <v>0.847405460861427</v>
      </c>
      <c r="S103" s="45" t="n">
        <v>0.990990990990991</v>
      </c>
      <c r="T103" s="45" t="n"/>
      <c r="U103" s="45" t="n">
        <v>0.974586903304774</v>
      </c>
      <c r="V103" s="45" t="n"/>
      <c r="W103" s="45" t="n"/>
      <c r="X103" s="45" t="n">
        <v>0.974730332899386</v>
      </c>
      <c r="Y103" s="45" t="n"/>
      <c r="Z103" s="45" t="n">
        <v>0.899030748663102</v>
      </c>
      <c r="AA103" s="45" t="n"/>
      <c r="AB103" s="45" t="n">
        <v>0.948085946152762</v>
      </c>
      <c r="AC103" s="45" t="n">
        <v>0.900584795321637</v>
      </c>
      <c r="AD103" s="45" t="n"/>
      <c r="AE103" s="45" t="n">
        <v>0.715437749199753</v>
      </c>
      <c r="AF103" s="75">
        <f>IFERROR(AVERAGE(L103:U103),"")</f>
        <v/>
      </c>
      <c r="AG103" s="75">
        <f>IFERROR(AVERAGE(V103:AE103),"")</f>
        <v/>
      </c>
      <c r="AH103" s="75">
        <f>IFERROR(AVERAGE(B103:K103),"")</f>
        <v/>
      </c>
      <c r="AI103" s="45" t="n">
        <v>0.867687225341797</v>
      </c>
      <c r="AJ103" s="47" t="n">
        <v>0.0380821228027344</v>
      </c>
    </row>
    <row r="104" ht="15" customHeight="1" s="30">
      <c r="A104" s="73" t="inlineStr">
        <is>
          <t>7004.jpg</t>
        </is>
      </c>
      <c r="B104" s="45" t="n"/>
      <c r="C104" s="45" t="n"/>
      <c r="D104" s="45" t="n">
        <v>0.936671575846834</v>
      </c>
      <c r="E104" s="45" t="n"/>
      <c r="F104" s="45" t="n"/>
      <c r="G104" s="45" t="n"/>
      <c r="H104" s="45" t="n">
        <v>0.777447441070291</v>
      </c>
      <c r="I104" s="45" t="n"/>
      <c r="J104" s="45" t="n"/>
      <c r="K104" s="45" t="n">
        <v>0.867965049904486</v>
      </c>
      <c r="L104" s="45" t="n"/>
      <c r="M104" s="45" t="n"/>
      <c r="N104" s="45" t="n">
        <v>0.9868114817688129</v>
      </c>
      <c r="O104" s="45" t="n"/>
      <c r="P104" s="45" t="n"/>
      <c r="Q104" s="45" t="n"/>
      <c r="R104" s="45" t="n">
        <v>0.871619501109247</v>
      </c>
      <c r="S104" s="45" t="n"/>
      <c r="T104" s="45" t="n"/>
      <c r="U104" s="45" t="n">
        <v>0.935708715149152</v>
      </c>
      <c r="V104" s="45" t="n"/>
      <c r="W104" s="45" t="n"/>
      <c r="X104" s="45" t="n">
        <v>0.948545861297539</v>
      </c>
      <c r="Y104" s="45" t="n"/>
      <c r="Z104" s="45" t="n"/>
      <c r="AA104" s="45" t="n"/>
      <c r="AB104" s="45" t="n">
        <v>0.877985501716902</v>
      </c>
      <c r="AC104" s="45" t="n"/>
      <c r="AD104" s="45" t="n"/>
      <c r="AE104" s="45" t="n">
        <v>0.923010349428438</v>
      </c>
      <c r="AF104" s="75">
        <f>IFERROR(AVERAGE(L104:U104),"")</f>
        <v/>
      </c>
      <c r="AG104" s="75">
        <f>IFERROR(AVERAGE(V104:AE104),"")</f>
        <v/>
      </c>
      <c r="AH104" s="75">
        <f>IFERROR(AVERAGE(B104:K104),"")</f>
        <v/>
      </c>
      <c r="AI104" s="45" t="n">
        <v>0.907646179199219</v>
      </c>
      <c r="AJ104" s="47" t="n">
        <v>0.00665283203125</v>
      </c>
    </row>
    <row r="105" ht="15" customHeight="1" s="30">
      <c r="A105" s="73" t="inlineStr">
        <is>
          <t>7016.jpg</t>
        </is>
      </c>
      <c r="B105" s="45" t="n"/>
      <c r="C105" s="45" t="n"/>
      <c r="D105" s="45" t="n"/>
      <c r="E105" s="45" t="n"/>
      <c r="F105" s="45" t="n"/>
      <c r="G105" s="45" t="n"/>
      <c r="H105" s="45" t="n">
        <v>0.879514313965534</v>
      </c>
      <c r="I105" s="45" t="n"/>
      <c r="J105" s="45" t="n"/>
      <c r="K105" s="45" t="n">
        <v>0.848237325264076</v>
      </c>
      <c r="L105" s="45" t="n"/>
      <c r="M105" s="45" t="n"/>
      <c r="N105" s="45" t="n"/>
      <c r="O105" s="45" t="n"/>
      <c r="P105" s="45" t="n"/>
      <c r="Q105" s="45" t="n"/>
      <c r="R105" s="45" t="n">
        <v>0.993781921685465</v>
      </c>
      <c r="S105" s="45" t="n"/>
      <c r="T105" s="45" t="n"/>
      <c r="U105" s="45" t="n">
        <v>0.862577046147457</v>
      </c>
      <c r="V105" s="45" t="n"/>
      <c r="W105" s="45" t="n"/>
      <c r="X105" s="45" t="n"/>
      <c r="Y105" s="45" t="n"/>
      <c r="Z105" s="45" t="n"/>
      <c r="AA105" s="45" t="n"/>
      <c r="AB105" s="45" t="n">
        <v>0.884381158674076</v>
      </c>
      <c r="AC105" s="45" t="n"/>
      <c r="AD105" s="45" t="n"/>
      <c r="AE105" s="45" t="n">
        <v>0.980778105715052</v>
      </c>
      <c r="AF105" s="75">
        <f>IFERROR(AVERAGE(L105:U105),"")</f>
        <v/>
      </c>
      <c r="AG105" s="75">
        <f>IFERROR(AVERAGE(V105:AE105),"")</f>
        <v/>
      </c>
      <c r="AH105" s="75">
        <f>IFERROR(AVERAGE(B105:K105),"")</f>
        <v/>
      </c>
      <c r="AI105" s="45" t="n">
        <v>0.918643951416016</v>
      </c>
      <c r="AJ105" s="47" t="n">
        <v>0.0222511291503906</v>
      </c>
    </row>
    <row r="106" ht="15" customHeight="1" s="30">
      <c r="A106" s="73" t="inlineStr">
        <is>
          <t>7023.jpg</t>
        </is>
      </c>
      <c r="B106" s="45" t="n"/>
      <c r="C106" s="45" t="n"/>
      <c r="D106" s="45" t="n"/>
      <c r="E106" s="45" t="n"/>
      <c r="F106" s="45" t="n"/>
      <c r="G106" s="45" t="n"/>
      <c r="H106" s="45" t="n">
        <v>0.748880952878196</v>
      </c>
      <c r="I106" s="45" t="n"/>
      <c r="J106" s="45" t="n"/>
      <c r="K106" s="45" t="n">
        <v>0.759737695579277</v>
      </c>
      <c r="L106" s="45" t="n"/>
      <c r="M106" s="45" t="n"/>
      <c r="N106" s="45" t="n"/>
      <c r="O106" s="45" t="n"/>
      <c r="P106" s="45" t="n"/>
      <c r="Q106" s="45" t="n"/>
      <c r="R106" s="45" t="n">
        <v>0.794957250430452</v>
      </c>
      <c r="S106" s="45" t="n"/>
      <c r="T106" s="45" t="n"/>
      <c r="U106" s="45" t="n">
        <v>0.93443314728855</v>
      </c>
      <c r="V106" s="45" t="n"/>
      <c r="W106" s="45" t="n"/>
      <c r="X106" s="45" t="n"/>
      <c r="Y106" s="45" t="n"/>
      <c r="Z106" s="45" t="n"/>
      <c r="AA106" s="45" t="n"/>
      <c r="AB106" s="45" t="n">
        <v>0.928163448430571</v>
      </c>
      <c r="AC106" s="45" t="n"/>
      <c r="AD106" s="45" t="n"/>
      <c r="AE106" s="45" t="n">
        <v>0.802519112156563</v>
      </c>
      <c r="AF106" s="75">
        <f>IFERROR(AVERAGE(L106:U106),"")</f>
        <v/>
      </c>
      <c r="AG106" s="75">
        <f>IFERROR(AVERAGE(V106:AE106),"")</f>
        <v/>
      </c>
      <c r="AH106" s="75">
        <f>IFERROR(AVERAGE(B106:K106),"")</f>
        <v/>
      </c>
      <c r="AI106" s="45" t="n">
        <v>0.858070373535156</v>
      </c>
      <c r="AJ106" s="47" t="n">
        <v>0.004669189453125</v>
      </c>
    </row>
    <row r="107" ht="15" customHeight="1" s="30">
      <c r="A107" s="73" t="inlineStr">
        <is>
          <t>7029.jpg</t>
        </is>
      </c>
      <c r="B107" s="45" t="n"/>
      <c r="C107" s="45" t="n"/>
      <c r="D107" s="45" t="n"/>
      <c r="E107" s="45" t="n"/>
      <c r="F107" s="45" t="n"/>
      <c r="G107" s="45" t="n"/>
      <c r="H107" s="45" t="n">
        <v>0.811579506494761</v>
      </c>
      <c r="I107" s="45" t="n"/>
      <c r="J107" s="45" t="n"/>
      <c r="K107" s="45" t="n">
        <v>0.925689593755324</v>
      </c>
      <c r="L107" s="45" t="n"/>
      <c r="M107" s="45" t="n"/>
      <c r="N107" s="45" t="n"/>
      <c r="O107" s="45" t="n"/>
      <c r="P107" s="45" t="n"/>
      <c r="Q107" s="45" t="n"/>
      <c r="R107" s="45" t="n">
        <v>0.999271667880554</v>
      </c>
      <c r="S107" s="45" t="n"/>
      <c r="T107" s="45" t="n"/>
      <c r="U107" s="45" t="n">
        <v>0.925928603518701</v>
      </c>
      <c r="V107" s="45" t="n"/>
      <c r="W107" s="45" t="n"/>
      <c r="X107" s="45" t="n"/>
      <c r="Y107" s="45" t="n"/>
      <c r="Z107" s="45" t="n"/>
      <c r="AA107" s="45" t="n"/>
      <c r="AB107" s="45" t="n">
        <v>0.812059864471475</v>
      </c>
      <c r="AC107" s="45" t="n"/>
      <c r="AD107" s="45" t="n"/>
      <c r="AE107" s="45" t="n">
        <v>0.999721226380905</v>
      </c>
      <c r="AF107" s="75">
        <f>IFERROR(AVERAGE(L107:U107),"")</f>
        <v/>
      </c>
      <c r="AG107" s="75">
        <f>IFERROR(AVERAGE(V107:AE107),"")</f>
        <v/>
      </c>
      <c r="AH107" s="75">
        <f>IFERROR(AVERAGE(B107:K107),"")</f>
        <v/>
      </c>
      <c r="AI107" s="45" t="n">
        <v>0.940456390380859</v>
      </c>
      <c r="AJ107" s="47" t="n">
        <v>0.004638671875</v>
      </c>
    </row>
    <row r="108" ht="15" customHeight="1" s="30">
      <c r="A108" s="73" t="inlineStr">
        <is>
          <t>7031.jpg</t>
        </is>
      </c>
      <c r="B108" s="45" t="n"/>
      <c r="C108" s="45" t="n"/>
      <c r="D108" s="45" t="n"/>
      <c r="E108" s="45" t="n"/>
      <c r="F108" s="45" t="n"/>
      <c r="G108" s="45" t="n"/>
      <c r="H108" s="45" t="n">
        <v>0.8489436033937779</v>
      </c>
      <c r="I108" s="45" t="n"/>
      <c r="J108" s="45" t="n"/>
      <c r="K108" s="45" t="n">
        <v>0.94013582996508</v>
      </c>
      <c r="L108" s="45" t="n"/>
      <c r="M108" s="45" t="n"/>
      <c r="N108" s="45" t="n"/>
      <c r="O108" s="45" t="n"/>
      <c r="P108" s="45" t="n"/>
      <c r="Q108" s="45" t="n"/>
      <c r="R108" s="45" t="n">
        <v>0.942591155934833</v>
      </c>
      <c r="S108" s="45" t="n"/>
      <c r="T108" s="45" t="n"/>
      <c r="U108" s="45" t="n">
        <v>0.970459177012199</v>
      </c>
      <c r="V108" s="45" t="n"/>
      <c r="W108" s="45" t="n"/>
      <c r="X108" s="45" t="n"/>
      <c r="Y108" s="45" t="n"/>
      <c r="Z108" s="45" t="n"/>
      <c r="AA108" s="45" t="n"/>
      <c r="AB108" s="45" t="n">
        <v>0.895231746254517</v>
      </c>
      <c r="AC108" s="45" t="n"/>
      <c r="AD108" s="45" t="n"/>
      <c r="AE108" s="45" t="n">
        <v>0.967833062539275</v>
      </c>
      <c r="AF108" s="75">
        <f>IFERROR(AVERAGE(L108:U108),"")</f>
        <v/>
      </c>
      <c r="AG108" s="75">
        <f>IFERROR(AVERAGE(V108:AE108),"")</f>
        <v/>
      </c>
      <c r="AH108" s="75">
        <f>IFERROR(AVERAGE(B108:K108),"")</f>
        <v/>
      </c>
      <c r="AI108" s="45" t="n">
        <v>0.94415283203125</v>
      </c>
      <c r="AJ108" s="47" t="n">
        <v>0.0182113647460938</v>
      </c>
    </row>
    <row r="109" ht="15" customHeight="1" s="30">
      <c r="A109" s="73" t="inlineStr">
        <is>
          <t>7035.jpg</t>
        </is>
      </c>
      <c r="B109" s="45" t="n"/>
      <c r="C109" s="45" t="n"/>
      <c r="D109" s="45" t="n"/>
      <c r="E109" s="45" t="n"/>
      <c r="F109" s="45" t="n"/>
      <c r="G109" s="45" t="n"/>
      <c r="H109" s="45" t="n">
        <v>0.810593661657492</v>
      </c>
      <c r="I109" s="45" t="n"/>
      <c r="J109" s="45" t="n"/>
      <c r="K109" s="45" t="n">
        <v>0.752000185524455</v>
      </c>
      <c r="L109" s="45" t="n"/>
      <c r="M109" s="45" t="n"/>
      <c r="N109" s="45" t="n"/>
      <c r="O109" s="45" t="n"/>
      <c r="P109" s="45" t="n"/>
      <c r="Q109" s="45" t="n"/>
      <c r="R109" s="45" t="n">
        <v>0.87850894284908</v>
      </c>
      <c r="S109" s="45" t="n"/>
      <c r="T109" s="45" t="n"/>
      <c r="U109" s="45" t="n">
        <v>0.903074580865561</v>
      </c>
      <c r="V109" s="45" t="n"/>
      <c r="W109" s="45" t="n"/>
      <c r="X109" s="45" t="n"/>
      <c r="Y109" s="45" t="n"/>
      <c r="Z109" s="45" t="n"/>
      <c r="AA109" s="45" t="n"/>
      <c r="AB109" s="45" t="n">
        <v>0.912932370725168</v>
      </c>
      <c r="AC109" s="45" t="n"/>
      <c r="AD109" s="45" t="n"/>
      <c r="AE109" s="45" t="n">
        <v>0.8180235784800119</v>
      </c>
      <c r="AF109" s="75">
        <f>IFERROR(AVERAGE(L109:U109),"")</f>
        <v/>
      </c>
      <c r="AG109" s="75">
        <f>IFERROR(AVERAGE(V109:AE109),"")</f>
        <v/>
      </c>
      <c r="AH109" s="75">
        <f>IFERROR(AVERAGE(B109:K109),"")</f>
        <v/>
      </c>
      <c r="AI109" s="45" t="n">
        <v>0.869876861572266</v>
      </c>
      <c r="AJ109" s="47" t="n">
        <v>0.0213165283203125</v>
      </c>
    </row>
    <row r="110" ht="15" customHeight="1" s="30">
      <c r="A110" s="73" t="inlineStr">
        <is>
          <t>7041.jpg</t>
        </is>
      </c>
      <c r="B110" s="45" t="n"/>
      <c r="C110" s="45" t="n"/>
      <c r="D110" s="45" t="n">
        <v>0.480426262715223</v>
      </c>
      <c r="E110" s="45" t="n"/>
      <c r="F110" s="45" t="n">
        <v>0</v>
      </c>
      <c r="G110" s="45" t="n"/>
      <c r="H110" s="45" t="n">
        <v>0.746499687387507</v>
      </c>
      <c r="I110" s="45" t="n">
        <v>0.911051212938005</v>
      </c>
      <c r="J110" s="45" t="n">
        <v>0</v>
      </c>
      <c r="K110" s="45" t="n">
        <v>0.778851760193835</v>
      </c>
      <c r="L110" s="45" t="n"/>
      <c r="M110" s="45" t="n"/>
      <c r="N110" s="45" t="n">
        <v>0.495864012362513</v>
      </c>
      <c r="O110" s="45" t="n"/>
      <c r="P110" s="45" t="n">
        <v>0</v>
      </c>
      <c r="Q110" s="45" t="n"/>
      <c r="R110" s="45" t="n">
        <v>0.943702621462702</v>
      </c>
      <c r="S110" s="45" t="n">
        <v>0.923497267759563</v>
      </c>
      <c r="T110" s="45" t="n"/>
      <c r="U110" s="45" t="n">
        <v>0.9424076382193169</v>
      </c>
      <c r="V110" s="45" t="n"/>
      <c r="W110" s="45" t="n"/>
      <c r="X110" s="45" t="n">
        <v>0.939140914177499</v>
      </c>
      <c r="Y110" s="45" t="n"/>
      <c r="Z110" s="45" t="n"/>
      <c r="AA110" s="45" t="n"/>
      <c r="AB110" s="45" t="n">
        <v>0.78129306669575</v>
      </c>
      <c r="AC110" s="45" t="n">
        <v>0.985422740524781</v>
      </c>
      <c r="AD110" s="45" t="n">
        <v>0</v>
      </c>
      <c r="AE110" s="45" t="n">
        <v>0.817775540605805</v>
      </c>
      <c r="AF110" s="75">
        <f>IFERROR(AVERAGE(L110:U110),"")</f>
        <v/>
      </c>
      <c r="AG110" s="75">
        <f>IFERROR(AVERAGE(V110:AE110),"")</f>
        <v/>
      </c>
      <c r="AH110" s="75">
        <f>IFERROR(AVERAGE(B110:K110),"")</f>
        <v/>
      </c>
      <c r="AI110" s="45" t="n">
        <v>0.8047027587890631</v>
      </c>
      <c r="AJ110" s="47" t="n">
        <v>0.07585906982421881</v>
      </c>
    </row>
    <row r="111" ht="15" customHeight="1" s="30">
      <c r="A111" s="73" t="inlineStr">
        <is>
          <t>7042.jpg</t>
        </is>
      </c>
      <c r="B111" s="45" t="n"/>
      <c r="C111" s="45" t="n"/>
      <c r="D111" s="45" t="n">
        <v>0.928442028985507</v>
      </c>
      <c r="E111" s="45" t="n"/>
      <c r="F111" s="45" t="n">
        <v>0</v>
      </c>
      <c r="G111" s="45" t="n"/>
      <c r="H111" s="45" t="n">
        <v>0.7929009954103829</v>
      </c>
      <c r="I111" s="45" t="n">
        <v>0.920368818105616</v>
      </c>
      <c r="J111" s="45" t="n">
        <v>0.8653546375682</v>
      </c>
      <c r="K111" s="45" t="n">
        <v>0.783077751934929</v>
      </c>
      <c r="L111" s="45" t="n"/>
      <c r="M111" s="45" t="n"/>
      <c r="N111" s="45" t="n">
        <v>0.972332015810277</v>
      </c>
      <c r="O111" s="45" t="n"/>
      <c r="P111" s="45" t="n">
        <v>0</v>
      </c>
      <c r="Q111" s="45" t="n"/>
      <c r="R111" s="45" t="n">
        <v>0.931395430251826</v>
      </c>
      <c r="S111" s="45" t="n">
        <v>0.982990152193375</v>
      </c>
      <c r="T111" s="45" t="n">
        <v>0.996186630776133</v>
      </c>
      <c r="U111" s="45" t="n">
        <v>0.91919822925584</v>
      </c>
      <c r="V111" s="45" t="n"/>
      <c r="W111" s="45" t="n"/>
      <c r="X111" s="45" t="n">
        <v>0.953636222670181</v>
      </c>
      <c r="Y111" s="45" t="n"/>
      <c r="Z111" s="45" t="n"/>
      <c r="AA111" s="45" t="n"/>
      <c r="AB111" s="45" t="n">
        <v>0.842081385902535</v>
      </c>
      <c r="AC111" s="45" t="n">
        <v>0.93526405451448</v>
      </c>
      <c r="AD111" s="45" t="n">
        <v>0.868230694037146</v>
      </c>
      <c r="AE111" s="45" t="n">
        <v>0.840966660786735</v>
      </c>
      <c r="AF111" s="75">
        <f>IFERROR(AVERAGE(L111:U111),"")</f>
        <v/>
      </c>
      <c r="AG111" s="75">
        <f>IFERROR(AVERAGE(V111:AE111),"")</f>
        <v/>
      </c>
      <c r="AH111" s="75">
        <f>IFERROR(AVERAGE(B111:K111),"")</f>
        <v/>
      </c>
      <c r="AI111" s="45" t="n">
        <v>0.850639343261719</v>
      </c>
      <c r="AJ111" s="47" t="n">
        <v>0.0551643371582031</v>
      </c>
    </row>
    <row r="112" ht="15" customHeight="1" s="30">
      <c r="A112" s="73" t="inlineStr">
        <is>
          <t>7054.jpg</t>
        </is>
      </c>
      <c r="B112" s="45" t="n"/>
      <c r="C112" s="45" t="n"/>
      <c r="D112" s="45" t="n"/>
      <c r="E112" s="45" t="n"/>
      <c r="F112" s="45" t="n">
        <v>0</v>
      </c>
      <c r="G112" s="45" t="n">
        <v>0.638603785024469</v>
      </c>
      <c r="H112" s="45" t="n"/>
      <c r="I112" s="45" t="n"/>
      <c r="J112" s="45" t="n"/>
      <c r="K112" s="45" t="n">
        <v>0.97412929971618</v>
      </c>
      <c r="L112" s="45" t="n"/>
      <c r="M112" s="45" t="n"/>
      <c r="N112" s="45" t="n"/>
      <c r="O112" s="45" t="n"/>
      <c r="P112" s="45" t="n">
        <v>0</v>
      </c>
      <c r="Q112" s="45" t="n">
        <v>0.906219272369715</v>
      </c>
      <c r="R112" s="45" t="n"/>
      <c r="S112" s="45" t="n"/>
      <c r="T112" s="45" t="n"/>
      <c r="U112" s="45" t="n">
        <v>0.995253030789781</v>
      </c>
      <c r="V112" s="45" t="n"/>
      <c r="W112" s="45" t="n"/>
      <c r="X112" s="45" t="n"/>
      <c r="Y112" s="45" t="n"/>
      <c r="Z112" s="45" t="n"/>
      <c r="AA112" s="45" t="n">
        <v>0.683793183399026</v>
      </c>
      <c r="AB112" s="45" t="n"/>
      <c r="AC112" s="45" t="n"/>
      <c r="AD112" s="45" t="n"/>
      <c r="AE112" s="45" t="n">
        <v>0.978676443081067</v>
      </c>
      <c r="AF112" s="75">
        <f>IFERROR(AVERAGE(L112:U112),"")</f>
        <v/>
      </c>
      <c r="AG112" s="75">
        <f>IFERROR(AVERAGE(V112:AE112),"")</f>
        <v/>
      </c>
      <c r="AH112" s="75">
        <f>IFERROR(AVERAGE(B112:K112),"")</f>
        <v/>
      </c>
      <c r="AI112" s="45" t="n">
        <v>0.954418182373047</v>
      </c>
      <c r="AJ112" s="47" t="n">
        <v>0.0116195678710938</v>
      </c>
    </row>
    <row r="113" ht="15" customHeight="1" s="30">
      <c r="A113" s="73" t="inlineStr">
        <is>
          <t>7056.jpg</t>
        </is>
      </c>
      <c r="B113" s="45" t="n"/>
      <c r="C113" s="45" t="n"/>
      <c r="D113" s="45" t="n"/>
      <c r="E113" s="45" t="n"/>
      <c r="F113" s="45" t="n">
        <v>0</v>
      </c>
      <c r="G113" s="45" t="n">
        <v>0.625671103090458</v>
      </c>
      <c r="H113" s="45" t="n"/>
      <c r="I113" s="45" t="n"/>
      <c r="J113" s="45" t="n"/>
      <c r="K113" s="45" t="n">
        <v>0.972583563236269</v>
      </c>
      <c r="L113" s="45" t="n"/>
      <c r="M113" s="45" t="n"/>
      <c r="N113" s="45" t="n"/>
      <c r="O113" s="45" t="n"/>
      <c r="P113" s="45" t="n">
        <v>0</v>
      </c>
      <c r="Q113" s="45" t="n">
        <v>0.876279539997473</v>
      </c>
      <c r="R113" s="45" t="n"/>
      <c r="S113" s="45" t="n"/>
      <c r="T113" s="45" t="n"/>
      <c r="U113" s="45" t="n">
        <v>0.990128220621143</v>
      </c>
      <c r="V113" s="45" t="n"/>
      <c r="W113" s="45" t="n"/>
      <c r="X113" s="45" t="n"/>
      <c r="Y113" s="45" t="n"/>
      <c r="Z113" s="45" t="n"/>
      <c r="AA113" s="45" t="n">
        <v>0.68629682783194</v>
      </c>
      <c r="AB113" s="45" t="n"/>
      <c r="AC113" s="45" t="n"/>
      <c r="AD113" s="45" t="n"/>
      <c r="AE113" s="45" t="n">
        <v>0.982106912130017</v>
      </c>
      <c r="AF113" s="75">
        <f>IFERROR(AVERAGE(L113:U113),"")</f>
        <v/>
      </c>
      <c r="AG113" s="75">
        <f>IFERROR(AVERAGE(V113:AE113),"")</f>
        <v/>
      </c>
      <c r="AH113" s="75">
        <f>IFERROR(AVERAGE(B113:K113),"")</f>
        <v/>
      </c>
      <c r="AI113" s="45" t="n">
        <v>0.9593048095703131</v>
      </c>
      <c r="AJ113" s="47" t="n">
        <v>0.00774383544921875</v>
      </c>
    </row>
    <row r="114" ht="15" customHeight="1" s="30">
      <c r="A114" s="73" t="inlineStr">
        <is>
          <t>7057.jpg</t>
        </is>
      </c>
      <c r="B114" s="45" t="n"/>
      <c r="C114" s="45" t="n"/>
      <c r="D114" s="45" t="n"/>
      <c r="E114" s="45" t="n"/>
      <c r="F114" s="45" t="n">
        <v>0</v>
      </c>
      <c r="G114" s="45" t="n">
        <v>0.6407349491790461</v>
      </c>
      <c r="H114" s="45" t="n">
        <v>0</v>
      </c>
      <c r="I114" s="45" t="n"/>
      <c r="J114" s="45" t="n"/>
      <c r="K114" s="45" t="n">
        <v>0.978119746223417</v>
      </c>
      <c r="L114" s="45" t="n"/>
      <c r="M114" s="45" t="n"/>
      <c r="N114" s="45" t="n"/>
      <c r="O114" s="45" t="n"/>
      <c r="P114" s="45" t="n">
        <v>0</v>
      </c>
      <c r="Q114" s="45" t="n">
        <v>0.867942013636063</v>
      </c>
      <c r="R114" s="45" t="n">
        <v>0</v>
      </c>
      <c r="S114" s="45" t="n"/>
      <c r="T114" s="45" t="n"/>
      <c r="U114" s="45" t="n">
        <v>0.996698762035764</v>
      </c>
      <c r="V114" s="45" t="n"/>
      <c r="W114" s="45" t="n"/>
      <c r="X114" s="45" t="n"/>
      <c r="Y114" s="45" t="n"/>
      <c r="Z114" s="45" t="n"/>
      <c r="AA114" s="45" t="n">
        <v>0.709946396664681</v>
      </c>
      <c r="AB114" s="45" t="n"/>
      <c r="AC114" s="45" t="n"/>
      <c r="AD114" s="45" t="n"/>
      <c r="AE114" s="45" t="n">
        <v>0.981298861188058</v>
      </c>
      <c r="AF114" s="75">
        <f>IFERROR(AVERAGE(L114:U114),"")</f>
        <v/>
      </c>
      <c r="AG114" s="75">
        <f>IFERROR(AVERAGE(V114:AE114),"")</f>
        <v/>
      </c>
      <c r="AH114" s="75">
        <f>IFERROR(AVERAGE(B114:K114),"")</f>
        <v/>
      </c>
      <c r="AI114" s="45" t="n">
        <v>0.962181091308594</v>
      </c>
      <c r="AJ114" s="47" t="n">
        <v>0.00687789916992188</v>
      </c>
    </row>
    <row r="115" ht="15" customHeight="1" s="30">
      <c r="A115" s="73" t="inlineStr">
        <is>
          <t>7063.jpg</t>
        </is>
      </c>
      <c r="B115" s="45" t="n"/>
      <c r="C115" s="45" t="n"/>
      <c r="D115" s="45" t="n"/>
      <c r="E115" s="45" t="n"/>
      <c r="F115" s="45" t="n">
        <v>0.562018701870187</v>
      </c>
      <c r="G115" s="45" t="n">
        <v>0.837302986051664</v>
      </c>
      <c r="H115" s="45" t="n"/>
      <c r="I115" s="45" t="n"/>
      <c r="J115" s="45" t="n"/>
      <c r="K115" s="45" t="n">
        <v>0.963314402771301</v>
      </c>
      <c r="L115" s="45" t="n"/>
      <c r="M115" s="45" t="n"/>
      <c r="N115" s="45" t="n"/>
      <c r="O115" s="45" t="n"/>
      <c r="P115" s="45" t="n">
        <v>0.9163677130044841</v>
      </c>
      <c r="Q115" s="45" t="n">
        <v>0.905171475231355</v>
      </c>
      <c r="R115" s="45" t="n"/>
      <c r="S115" s="45" t="n"/>
      <c r="T115" s="45" t="n"/>
      <c r="U115" s="45" t="n">
        <v>0.986997308169769</v>
      </c>
      <c r="V115" s="45" t="n"/>
      <c r="W115" s="45" t="n"/>
      <c r="X115" s="45" t="n"/>
      <c r="Y115" s="45" t="n"/>
      <c r="Z115" s="45" t="n">
        <v>0.592404696332802</v>
      </c>
      <c r="AA115" s="45" t="n">
        <v>0.917811999779213</v>
      </c>
      <c r="AB115" s="45" t="n"/>
      <c r="AC115" s="45" t="n"/>
      <c r="AD115" s="45" t="n"/>
      <c r="AE115" s="45" t="n">
        <v>0.975696670152829</v>
      </c>
      <c r="AF115" s="75">
        <f>IFERROR(AVERAGE(L115:U115),"")</f>
        <v/>
      </c>
      <c r="AG115" s="75">
        <f>IFERROR(AVERAGE(V115:AE115),"")</f>
        <v/>
      </c>
      <c r="AH115" s="75">
        <f>IFERROR(AVERAGE(B115:K115),"")</f>
        <v/>
      </c>
      <c r="AI115" s="45" t="n">
        <v>0.96160888671875</v>
      </c>
      <c r="AJ115" s="47" t="n">
        <v>0.0186958312988281</v>
      </c>
    </row>
    <row r="116" ht="15" customHeight="1" s="30">
      <c r="A116" s="73" t="inlineStr">
        <is>
          <t>7069.jpg</t>
        </is>
      </c>
      <c r="B116" s="45" t="n"/>
      <c r="C116" s="45" t="n"/>
      <c r="D116" s="45" t="n"/>
      <c r="E116" s="45" t="n"/>
      <c r="F116" s="45" t="n">
        <v>0.671035229048936</v>
      </c>
      <c r="G116" s="45" t="n">
        <v>0.844738665229775</v>
      </c>
      <c r="H116" s="45" t="n">
        <v>0</v>
      </c>
      <c r="I116" s="45" t="n"/>
      <c r="J116" s="45" t="n"/>
      <c r="K116" s="45" t="n">
        <v>0.964222328407113</v>
      </c>
      <c r="L116" s="45" t="n"/>
      <c r="M116" s="45" t="n"/>
      <c r="N116" s="45" t="n"/>
      <c r="O116" s="45" t="n"/>
      <c r="P116" s="45" t="n">
        <v>0.953365220362146</v>
      </c>
      <c r="Q116" s="45" t="n">
        <v>0.884144376409926</v>
      </c>
      <c r="R116" s="45" t="n">
        <v>0</v>
      </c>
      <c r="S116" s="45" t="n"/>
      <c r="T116" s="45" t="n"/>
      <c r="U116" s="45" t="n">
        <v>0.985187703788949</v>
      </c>
      <c r="V116" s="45" t="n"/>
      <c r="W116" s="45" t="n"/>
      <c r="X116" s="45" t="n"/>
      <c r="Y116" s="45" t="n"/>
      <c r="Z116" s="45" t="n">
        <v>0.693809050223769</v>
      </c>
      <c r="AA116" s="45" t="n">
        <v>0.949883147234485</v>
      </c>
      <c r="AB116" s="45" t="n"/>
      <c r="AC116" s="45" t="n"/>
      <c r="AD116" s="45" t="n"/>
      <c r="AE116" s="45" t="n">
        <v>0.978406365533304</v>
      </c>
      <c r="AF116" s="75">
        <f>IFERROR(AVERAGE(L116:U116),"")</f>
        <v/>
      </c>
      <c r="AG116" s="75">
        <f>IFERROR(AVERAGE(V116:AE116),"")</f>
        <v/>
      </c>
      <c r="AH116" s="75">
        <f>IFERROR(AVERAGE(B116:K116),"")</f>
        <v/>
      </c>
      <c r="AI116" s="45" t="n">
        <v>0.967159271240234</v>
      </c>
      <c r="AJ116" s="47" t="n">
        <v>0.00607681274414063</v>
      </c>
    </row>
    <row r="117" ht="15" customHeight="1" s="30">
      <c r="A117" s="73" t="inlineStr">
        <is>
          <t>7085.jpg</t>
        </is>
      </c>
      <c r="B117" s="45" t="n"/>
      <c r="C117" s="45" t="n"/>
      <c r="D117" s="45" t="n"/>
      <c r="E117" s="45" t="n"/>
      <c r="F117" s="45" t="n"/>
      <c r="G117" s="45" t="n">
        <v>0.748791751691548</v>
      </c>
      <c r="H117" s="45" t="n"/>
      <c r="I117" s="45" t="n"/>
      <c r="J117" s="45" t="n"/>
      <c r="K117" s="45" t="n">
        <v>0.986895311678013</v>
      </c>
      <c r="L117" s="45" t="n"/>
      <c r="M117" s="45" t="n"/>
      <c r="N117" s="45" t="n"/>
      <c r="O117" s="45" t="n"/>
      <c r="P117" s="45" t="n"/>
      <c r="Q117" s="45" t="n">
        <v>0.827438879658201</v>
      </c>
      <c r="R117" s="45" t="n"/>
      <c r="S117" s="45" t="n"/>
      <c r="T117" s="45" t="n"/>
      <c r="U117" s="45" t="n">
        <v>0.998288398838812</v>
      </c>
      <c r="V117" s="45" t="n"/>
      <c r="W117" s="45" t="n"/>
      <c r="X117" s="45" t="n"/>
      <c r="Y117" s="45" t="n"/>
      <c r="Z117" s="45" t="n"/>
      <c r="AA117" s="45" t="n">
        <v>0.887361588392516</v>
      </c>
      <c r="AB117" s="45" t="n"/>
      <c r="AC117" s="45" t="n"/>
      <c r="AD117" s="45" t="n"/>
      <c r="AE117" s="45" t="n">
        <v>0.988568035330159</v>
      </c>
      <c r="AF117" s="75">
        <f>IFERROR(AVERAGE(L117:U117),"")</f>
        <v/>
      </c>
      <c r="AG117" s="75">
        <f>IFERROR(AVERAGE(V117:AE117),"")</f>
        <v/>
      </c>
      <c r="AH117" s="75">
        <f>IFERROR(AVERAGE(B117:K117),"")</f>
        <v/>
      </c>
      <c r="AI117" s="45" t="n">
        <v>0.98553466796875</v>
      </c>
      <c r="AJ117" s="47" t="n">
        <v>0.00727462768554688</v>
      </c>
    </row>
    <row r="118" ht="15" customHeight="1" s="30">
      <c r="A118" s="73" t="inlineStr">
        <is>
          <t>7092.jpg</t>
        </is>
      </c>
      <c r="B118" s="45" t="n"/>
      <c r="C118" s="45" t="n"/>
      <c r="D118" s="45" t="n"/>
      <c r="E118" s="45" t="n"/>
      <c r="F118" s="45" t="n"/>
      <c r="G118" s="45" t="n">
        <v>0.669359766447145</v>
      </c>
      <c r="H118" s="45" t="n">
        <v>0</v>
      </c>
      <c r="I118" s="45" t="n"/>
      <c r="J118" s="45" t="n"/>
      <c r="K118" s="45" t="n">
        <v>0.981551869463573</v>
      </c>
      <c r="L118" s="45" t="n"/>
      <c r="M118" s="45" t="n"/>
      <c r="N118" s="45" t="n"/>
      <c r="O118" s="45" t="n"/>
      <c r="P118" s="45" t="n"/>
      <c r="Q118" s="45" t="n">
        <v>0.82571189279732</v>
      </c>
      <c r="R118" s="45" t="n"/>
      <c r="S118" s="45" t="n"/>
      <c r="T118" s="45" t="n"/>
      <c r="U118" s="45" t="n">
        <v>0.990737768074997</v>
      </c>
      <c r="V118" s="45" t="n"/>
      <c r="W118" s="45" t="n"/>
      <c r="X118" s="45" t="n"/>
      <c r="Y118" s="45" t="n"/>
      <c r="Z118" s="45" t="n"/>
      <c r="AA118" s="45" t="n">
        <v>0.7794908285895</v>
      </c>
      <c r="AB118" s="45" t="n">
        <v>0</v>
      </c>
      <c r="AC118" s="45" t="n"/>
      <c r="AD118" s="45" t="n"/>
      <c r="AE118" s="45" t="n">
        <v>0.990642354980579</v>
      </c>
      <c r="AF118" s="75">
        <f>IFERROR(AVERAGE(L118:U118),"")</f>
        <v/>
      </c>
      <c r="AG118" s="75">
        <f>IFERROR(AVERAGE(V118:AE118),"")</f>
        <v/>
      </c>
      <c r="AH118" s="75">
        <f>IFERROR(AVERAGE(B118:K118),"")</f>
        <v/>
      </c>
      <c r="AI118" s="45" t="n">
        <v>0.979366302490234</v>
      </c>
      <c r="AJ118" s="47" t="n">
        <v>0.0038909912109375</v>
      </c>
    </row>
    <row r="119" ht="15" customHeight="1" s="30">
      <c r="A119" s="73" t="inlineStr">
        <is>
          <t>7105.jpg</t>
        </is>
      </c>
      <c r="B119" s="45" t="n"/>
      <c r="C119" s="45" t="n"/>
      <c r="D119" s="45" t="n">
        <v>0.946041574524547</v>
      </c>
      <c r="E119" s="45" t="n"/>
      <c r="F119" s="45" t="n">
        <v>0.502818733738075</v>
      </c>
      <c r="G119" s="45" t="n">
        <v>0.679009991610098</v>
      </c>
      <c r="H119" s="45" t="n">
        <v>0.695227319481588</v>
      </c>
      <c r="I119" s="45" t="n"/>
      <c r="J119" s="45" t="n"/>
      <c r="K119" s="45" t="n">
        <v>0.9560206077015641</v>
      </c>
      <c r="L119" s="45" t="n"/>
      <c r="M119" s="45" t="n"/>
      <c r="N119" s="45" t="n">
        <v>0.9713896457765669</v>
      </c>
      <c r="O119" s="45" t="n"/>
      <c r="P119" s="45" t="n">
        <v>0.889528193325662</v>
      </c>
      <c r="Q119" s="45" t="n">
        <v>0.97910365686005</v>
      </c>
      <c r="R119" s="45" t="n">
        <v>0.712073324905183</v>
      </c>
      <c r="S119" s="45" t="n"/>
      <c r="T119" s="45" t="n"/>
      <c r="U119" s="45" t="n">
        <v>0.981076009512646</v>
      </c>
      <c r="V119" s="45" t="n"/>
      <c r="W119" s="45" t="n"/>
      <c r="X119" s="45" t="n">
        <v>0.973157415832575</v>
      </c>
      <c r="Y119" s="45" t="n"/>
      <c r="Z119" s="45" t="n">
        <v>0.536308973172988</v>
      </c>
      <c r="AA119" s="45" t="n">
        <v>0.688994659856048</v>
      </c>
      <c r="AB119" s="45" t="n">
        <v>0.967091143225068</v>
      </c>
      <c r="AC119" s="45" t="n"/>
      <c r="AD119" s="45" t="n"/>
      <c r="AE119" s="45" t="n">
        <v>0.973981504982927</v>
      </c>
      <c r="AF119" s="75">
        <f>IFERROR(AVERAGE(L119:U119),"")</f>
        <v/>
      </c>
      <c r="AG119" s="75">
        <f>IFERROR(AVERAGE(V119:AE119),"")</f>
        <v/>
      </c>
      <c r="AH119" s="75">
        <f>IFERROR(AVERAGE(B119:K119),"")</f>
        <v/>
      </c>
      <c r="AI119" s="45" t="n">
        <v>0.9381103515625</v>
      </c>
      <c r="AJ119" s="47" t="n">
        <v>0.0128593444824219</v>
      </c>
    </row>
    <row r="120" ht="15" customHeight="1" s="30">
      <c r="A120" s="73" t="inlineStr">
        <is>
          <t>7126.jpg</t>
        </is>
      </c>
      <c r="B120" s="45" t="n"/>
      <c r="C120" s="45" t="n"/>
      <c r="D120" s="45" t="n">
        <v>0.884766214177979</v>
      </c>
      <c r="E120" s="45" t="n"/>
      <c r="F120" s="45" t="n">
        <v>0.749692290477789</v>
      </c>
      <c r="G120" s="45" t="n">
        <v>0.549790502793296</v>
      </c>
      <c r="H120" s="45" t="n">
        <v>0.787755051688831</v>
      </c>
      <c r="I120" s="45" t="n"/>
      <c r="J120" s="45" t="n"/>
      <c r="K120" s="45" t="n">
        <v>0.923151223176861</v>
      </c>
      <c r="L120" s="45" t="n"/>
      <c r="M120" s="45" t="n"/>
      <c r="N120" s="45" t="n">
        <v>0.943238462775366</v>
      </c>
      <c r="O120" s="45" t="n"/>
      <c r="P120" s="45" t="n">
        <v>0.911936844970736</v>
      </c>
      <c r="Q120" s="45" t="n">
        <v>0.571625644376679</v>
      </c>
      <c r="R120" s="45" t="n">
        <v>0.92777648631371</v>
      </c>
      <c r="S120" s="45" t="n"/>
      <c r="T120" s="45" t="n"/>
      <c r="U120" s="45" t="n">
        <v>0.9708244765899809</v>
      </c>
      <c r="V120" s="45" t="n"/>
      <c r="W120" s="45" t="n"/>
      <c r="X120" s="45" t="n">
        <v>0.9345228612394459</v>
      </c>
      <c r="Y120" s="45" t="n"/>
      <c r="Z120" s="45" t="n">
        <v>0.808202653799759</v>
      </c>
      <c r="AA120" s="45" t="n">
        <v>0.935035629453682</v>
      </c>
      <c r="AB120" s="45" t="n">
        <v>0.83921883008503</v>
      </c>
      <c r="AC120" s="45" t="n"/>
      <c r="AD120" s="45" t="n"/>
      <c r="AE120" s="45" t="n">
        <v>0.949492843388567</v>
      </c>
      <c r="AF120" s="75">
        <f>IFERROR(AVERAGE(L120:U120),"")</f>
        <v/>
      </c>
      <c r="AG120" s="75">
        <f>IFERROR(AVERAGE(V120:AE120),"")</f>
        <v/>
      </c>
      <c r="AH120" s="75">
        <f>IFERROR(AVERAGE(B120:K120),"")</f>
        <v/>
      </c>
      <c r="AI120" s="45" t="n">
        <v>0.912193298339844</v>
      </c>
      <c r="AJ120" s="47" t="n">
        <v>0.0247726440429688</v>
      </c>
    </row>
    <row r="121" ht="15" customHeight="1" s="30">
      <c r="A121" s="73" t="inlineStr">
        <is>
          <t>7141.jpg</t>
        </is>
      </c>
      <c r="B121" s="45" t="n"/>
      <c r="C121" s="45" t="n"/>
      <c r="D121" s="45" t="n">
        <v>0.679098360655738</v>
      </c>
      <c r="E121" s="45" t="n"/>
      <c r="F121" s="45" t="n">
        <v>0.832410445366758</v>
      </c>
      <c r="G121" s="45" t="n"/>
      <c r="H121" s="45" t="n">
        <v>0.779952252308852</v>
      </c>
      <c r="I121" s="45" t="n"/>
      <c r="J121" s="45" t="n"/>
      <c r="K121" s="45" t="n">
        <v>0.9196595732517761</v>
      </c>
      <c r="L121" s="45" t="n"/>
      <c r="M121" s="45" t="n"/>
      <c r="N121" s="45" t="n">
        <v>0.863170689355791</v>
      </c>
      <c r="O121" s="45" t="n"/>
      <c r="P121" s="45" t="n">
        <v>0.959908813138547</v>
      </c>
      <c r="Q121" s="45" t="n"/>
      <c r="R121" s="45" t="n">
        <v>0.821744166804567</v>
      </c>
      <c r="S121" s="45" t="n"/>
      <c r="T121" s="45" t="n"/>
      <c r="U121" s="45" t="n">
        <v>0.969593551060384</v>
      </c>
      <c r="V121" s="45" t="n"/>
      <c r="W121" s="45" t="n"/>
      <c r="X121" s="45" t="n">
        <v>0.761022657685242</v>
      </c>
      <c r="Y121" s="45" t="n"/>
      <c r="Z121" s="45" t="n">
        <v>0.862392502519891</v>
      </c>
      <c r="AA121" s="45" t="n"/>
      <c r="AB121" s="45" t="n">
        <v>0.938785541439806</v>
      </c>
      <c r="AC121" s="45" t="n"/>
      <c r="AD121" s="45" t="n"/>
      <c r="AE121" s="45" t="n">
        <v>0.946970700336998</v>
      </c>
      <c r="AF121" s="75">
        <f>IFERROR(AVERAGE(L121:U121),"")</f>
        <v/>
      </c>
      <c r="AG121" s="75">
        <f>IFERROR(AVERAGE(V121:AE121),"")</f>
        <v/>
      </c>
      <c r="AH121" s="75">
        <f>IFERROR(AVERAGE(B121:K121),"")</f>
        <v/>
      </c>
      <c r="AI121" s="45" t="n">
        <v>0.9114227294921881</v>
      </c>
      <c r="AJ121" s="47" t="n">
        <v>0.0368156433105469</v>
      </c>
    </row>
    <row r="122" ht="15" customHeight="1" s="30">
      <c r="A122" s="73" t="inlineStr">
        <is>
          <t>7143.jpg</t>
        </is>
      </c>
      <c r="B122" s="45" t="n"/>
      <c r="C122" s="45" t="n"/>
      <c r="D122" s="45" t="n">
        <v>0.8227752639517349</v>
      </c>
      <c r="E122" s="45" t="n"/>
      <c r="F122" s="45" t="n">
        <v>0.715163894180726</v>
      </c>
      <c r="G122" s="45" t="n"/>
      <c r="H122" s="45" t="n">
        <v>0.708636836628512</v>
      </c>
      <c r="I122" s="45" t="n"/>
      <c r="J122" s="45" t="n"/>
      <c r="K122" s="45" t="n">
        <v>0.89494448894645</v>
      </c>
      <c r="L122" s="45" t="n"/>
      <c r="M122" s="45" t="n"/>
      <c r="N122" s="45" t="n">
        <v>0.975762454163313</v>
      </c>
      <c r="O122" s="45" t="n"/>
      <c r="P122" s="45" t="n">
        <v>0.942854923487222</v>
      </c>
      <c r="Q122" s="45" t="n"/>
      <c r="R122" s="45" t="n">
        <v>0.833066716853298</v>
      </c>
      <c r="S122" s="45" t="n"/>
      <c r="T122" s="45" t="n"/>
      <c r="U122" s="45" t="n">
        <v>0.97329512147463</v>
      </c>
      <c r="V122" s="45" t="n"/>
      <c r="W122" s="45" t="n"/>
      <c r="X122" s="45" t="n">
        <v>0.83994148895219</v>
      </c>
      <c r="Y122" s="45" t="n"/>
      <c r="Z122" s="45" t="n">
        <v>0.747567234654075</v>
      </c>
      <c r="AA122" s="45" t="n"/>
      <c r="AB122" s="45" t="n">
        <v>0.825916596697453</v>
      </c>
      <c r="AC122" s="45" t="n"/>
      <c r="AD122" s="45" t="n"/>
      <c r="AE122" s="45" t="n">
        <v>0.917473157478683</v>
      </c>
      <c r="AF122" s="75">
        <f>IFERROR(AVERAGE(L122:U122),"")</f>
        <v/>
      </c>
      <c r="AG122" s="75">
        <f>IFERROR(AVERAGE(V122:AE122),"")</f>
        <v/>
      </c>
      <c r="AH122" s="75">
        <f>IFERROR(AVERAGE(B122:K122),"")</f>
        <v/>
      </c>
      <c r="AI122" s="45" t="n">
        <v>0.8430023193359381</v>
      </c>
      <c r="AJ122" s="47" t="n">
        <v>0.113079071044922</v>
      </c>
    </row>
    <row r="123" ht="15" customHeight="1" s="30">
      <c r="A123" s="73" t="inlineStr">
        <is>
          <t>7149.jpg</t>
        </is>
      </c>
      <c r="B123" s="45" t="n"/>
      <c r="C123" s="45" t="n"/>
      <c r="D123" s="45" t="n">
        <v>0.908860586140783</v>
      </c>
      <c r="E123" s="45" t="n"/>
      <c r="F123" s="45" t="n">
        <v>0.858923187365398</v>
      </c>
      <c r="G123" s="45" t="n"/>
      <c r="H123" s="45" t="n">
        <v>0.788371972676465</v>
      </c>
      <c r="I123" s="45" t="n">
        <v>0.671779141104295</v>
      </c>
      <c r="J123" s="45" t="n"/>
      <c r="K123" s="45" t="n">
        <v>0.82202108386471</v>
      </c>
      <c r="L123" s="45" t="n"/>
      <c r="M123" s="45" t="n"/>
      <c r="N123" s="45" t="n">
        <v>0.944966538516304</v>
      </c>
      <c r="O123" s="45" t="n"/>
      <c r="P123" s="45" t="n">
        <v>0.897019132729563</v>
      </c>
      <c r="Q123" s="45" t="n"/>
      <c r="R123" s="45" t="n">
        <v>0.817126153186012</v>
      </c>
      <c r="S123" s="45" t="n">
        <v>0.84393063583815</v>
      </c>
      <c r="T123" s="45" t="n"/>
      <c r="U123" s="45" t="n">
        <v>0.992234246799425</v>
      </c>
      <c r="V123" s="45" t="n"/>
      <c r="W123" s="45" t="n"/>
      <c r="X123" s="45" t="n">
        <v>0.959655845564312</v>
      </c>
      <c r="Y123" s="45" t="n"/>
      <c r="Z123" s="45" t="n">
        <v>0.9528845847535919</v>
      </c>
      <c r="AA123" s="45" t="n"/>
      <c r="AB123" s="45" t="n">
        <v>0.9572716704891771</v>
      </c>
      <c r="AC123" s="45" t="n">
        <v>0.76707530647986</v>
      </c>
      <c r="AD123" s="45" t="n"/>
      <c r="AE123" s="45" t="n">
        <v>0.8273438621679829</v>
      </c>
      <c r="AF123" s="75">
        <f>IFERROR(AVERAGE(L123:U123),"")</f>
        <v/>
      </c>
      <c r="AG123" s="75">
        <f>IFERROR(AVERAGE(V123:AE123),"")</f>
        <v/>
      </c>
      <c r="AH123" s="75">
        <f>IFERROR(AVERAGE(B123:K123),"")</f>
        <v/>
      </c>
      <c r="AI123" s="45" t="n">
        <v>0.887016296386719</v>
      </c>
      <c r="AJ123" s="47" t="n">
        <v>0.0511245727539063</v>
      </c>
    </row>
    <row r="124" ht="15" customHeight="1" s="30">
      <c r="A124" s="73" t="inlineStr">
        <is>
          <t>7154.jpg</t>
        </is>
      </c>
      <c r="B124" s="45" t="n"/>
      <c r="C124" s="45" t="n"/>
      <c r="D124" s="45" t="n">
        <v>0.964260969976905</v>
      </c>
      <c r="E124" s="45" t="n"/>
      <c r="F124" s="45" t="n">
        <v>0.868944793190793</v>
      </c>
      <c r="G124" s="45" t="n"/>
      <c r="H124" s="45" t="n">
        <v>0.7280514879016891</v>
      </c>
      <c r="I124" s="45" t="n">
        <v>0.646449704142012</v>
      </c>
      <c r="J124" s="45" t="n"/>
      <c r="K124" s="45" t="n">
        <v>0.853698778751328</v>
      </c>
      <c r="L124" s="45" t="n"/>
      <c r="M124" s="45" t="n"/>
      <c r="N124" s="45" t="n">
        <v>0.967893364242249</v>
      </c>
      <c r="O124" s="45" t="n"/>
      <c r="P124" s="45" t="n">
        <v>0.921253669602349</v>
      </c>
      <c r="Q124" s="45" t="n"/>
      <c r="R124" s="45" t="n">
        <v>0.834001233045623</v>
      </c>
      <c r="S124" s="45" t="n">
        <v>0.793823796548592</v>
      </c>
      <c r="T124" s="45" t="n"/>
      <c r="U124" s="45" t="n">
        <v>0.980810345275294</v>
      </c>
      <c r="V124" s="45" t="n"/>
      <c r="W124" s="45" t="n"/>
      <c r="X124" s="45" t="n">
        <v>0.996123106286532</v>
      </c>
      <c r="Y124" s="45" t="n"/>
      <c r="Z124" s="45" t="n">
        <v>0.938664174031271</v>
      </c>
      <c r="AA124" s="45" t="n"/>
      <c r="AB124" s="45" t="n">
        <v>0.851433217067478</v>
      </c>
      <c r="AC124" s="45" t="n">
        <v>0.776888888888889</v>
      </c>
      <c r="AD124" s="45" t="n"/>
      <c r="AE124" s="45" t="n">
        <v>0.868200067424684</v>
      </c>
      <c r="AF124" s="75">
        <f>IFERROR(AVERAGE(L124:U124),"")</f>
        <v/>
      </c>
      <c r="AG124" s="75">
        <f>IFERROR(AVERAGE(V124:AE124),"")</f>
        <v/>
      </c>
      <c r="AH124" s="75">
        <f>IFERROR(AVERAGE(B124:K124),"")</f>
        <v/>
      </c>
      <c r="AI124" s="45" t="n">
        <v>0.897548675537109</v>
      </c>
      <c r="AJ124" s="47" t="n">
        <v>0.0462417602539063</v>
      </c>
    </row>
    <row r="125" ht="15" customHeight="1" s="30">
      <c r="A125" s="73" t="inlineStr">
        <is>
          <t>7158.jpg</t>
        </is>
      </c>
      <c r="B125" s="45" t="n"/>
      <c r="C125" s="45" t="n"/>
      <c r="D125" s="45" t="n"/>
      <c r="E125" s="45" t="n"/>
      <c r="F125" s="45" t="n"/>
      <c r="G125" s="45" t="n">
        <v>0.8907209828645331</v>
      </c>
      <c r="H125" s="45" t="n">
        <v>0.816084676475851</v>
      </c>
      <c r="I125" s="45" t="n"/>
      <c r="J125" s="45" t="n"/>
      <c r="K125" s="45" t="n">
        <v>0.919617934621919</v>
      </c>
      <c r="L125" s="45" t="n"/>
      <c r="M125" s="45" t="n"/>
      <c r="N125" s="45" t="n"/>
      <c r="O125" s="45" t="n"/>
      <c r="P125" s="45" t="n"/>
      <c r="Q125" s="45" t="n">
        <v>0.8953526161845951</v>
      </c>
      <c r="R125" s="45" t="n">
        <v>0.876709695544811</v>
      </c>
      <c r="S125" s="45" t="n"/>
      <c r="T125" s="45" t="n"/>
      <c r="U125" s="45" t="n">
        <v>0.976121832379412</v>
      </c>
      <c r="V125" s="45" t="n"/>
      <c r="W125" s="45" t="n"/>
      <c r="X125" s="45" t="n"/>
      <c r="Y125" s="45" t="n"/>
      <c r="Z125" s="45" t="n"/>
      <c r="AA125" s="45" t="n">
        <v>0.994225911223385</v>
      </c>
      <c r="AB125" s="45" t="n">
        <v>0.921884474850346</v>
      </c>
      <c r="AC125" s="45" t="n"/>
      <c r="AD125" s="45" t="n"/>
      <c r="AE125" s="45" t="n">
        <v>0.940781716207487</v>
      </c>
      <c r="AF125" s="75">
        <f>IFERROR(AVERAGE(L125:U125),"")</f>
        <v/>
      </c>
      <c r="AG125" s="75">
        <f>IFERROR(AVERAGE(V125:AE125),"")</f>
        <v/>
      </c>
      <c r="AH125" s="75">
        <f>IFERROR(AVERAGE(B125:K125),"")</f>
        <v/>
      </c>
      <c r="AI125" s="45" t="n">
        <v>0.936710357666016</v>
      </c>
      <c r="AJ125" s="47" t="n">
        <v>0.0131301879882813</v>
      </c>
    </row>
    <row r="126" ht="15" customHeight="1" s="30">
      <c r="A126" s="73" t="inlineStr">
        <is>
          <t>7172.jpg</t>
        </is>
      </c>
      <c r="B126" s="45" t="n"/>
      <c r="C126" s="45" t="n"/>
      <c r="D126" s="45" t="n"/>
      <c r="E126" s="45" t="n"/>
      <c r="F126" s="45" t="n"/>
      <c r="G126" s="45" t="n"/>
      <c r="H126" s="45" t="n">
        <v>0.713471133285816</v>
      </c>
      <c r="I126" s="45" t="n"/>
      <c r="J126" s="45" t="n"/>
      <c r="K126" s="45" t="n">
        <v>0.9556533499877991</v>
      </c>
      <c r="L126" s="45" t="n"/>
      <c r="M126" s="45" t="n"/>
      <c r="N126" s="45" t="n"/>
      <c r="O126" s="45" t="n"/>
      <c r="P126" s="45" t="n"/>
      <c r="Q126" s="45" t="n"/>
      <c r="R126" s="45" t="n">
        <v>0.7977684797768479</v>
      </c>
      <c r="S126" s="45" t="n"/>
      <c r="T126" s="45" t="n"/>
      <c r="U126" s="45" t="n">
        <v>0.988796309372499</v>
      </c>
      <c r="V126" s="45" t="n"/>
      <c r="W126" s="45" t="n"/>
      <c r="X126" s="45" t="n"/>
      <c r="Y126" s="45" t="n"/>
      <c r="Z126" s="45" t="n"/>
      <c r="AA126" s="45" t="n"/>
      <c r="AB126" s="45" t="n">
        <v>0.87100282793126</v>
      </c>
      <c r="AC126" s="45" t="n"/>
      <c r="AD126" s="45" t="n"/>
      <c r="AE126" s="45" t="n">
        <v>0.96611459322041</v>
      </c>
      <c r="AF126" s="75">
        <f>IFERROR(AVERAGE(L126:U126),"")</f>
        <v/>
      </c>
      <c r="AG126" s="75">
        <f>IFERROR(AVERAGE(V126:AE126),"")</f>
        <v/>
      </c>
      <c r="AH126" s="75">
        <f>IFERROR(AVERAGE(B126:K126),"")</f>
        <v/>
      </c>
      <c r="AI126" s="45" t="n">
        <v>0.957775115966797</v>
      </c>
      <c r="AJ126" s="47" t="n">
        <v>0.01287841796875</v>
      </c>
    </row>
    <row r="127" ht="15" customHeight="1" s="30">
      <c r="A127" s="73" t="inlineStr">
        <is>
          <t>7191.jpg</t>
        </is>
      </c>
      <c r="B127" s="45" t="n"/>
      <c r="C127" s="45" t="n"/>
      <c r="D127" s="45" t="n"/>
      <c r="E127" s="45" t="n"/>
      <c r="F127" s="45" t="n"/>
      <c r="G127" s="45" t="n"/>
      <c r="H127" s="45" t="n">
        <v>0.825522350786648</v>
      </c>
      <c r="I127" s="45" t="n"/>
      <c r="J127" s="45" t="n"/>
      <c r="K127" s="45" t="n">
        <v>0.9464531258829511</v>
      </c>
      <c r="L127" s="45" t="n"/>
      <c r="M127" s="45" t="n"/>
      <c r="N127" s="45" t="n"/>
      <c r="O127" s="45" t="n"/>
      <c r="P127" s="45" t="n"/>
      <c r="Q127" s="45" t="n"/>
      <c r="R127" s="45" t="n">
        <v>0.8427520097897579</v>
      </c>
      <c r="S127" s="45" t="n"/>
      <c r="T127" s="45" t="n"/>
      <c r="U127" s="45" t="n">
        <v>0.994925993762685</v>
      </c>
      <c r="V127" s="45" t="n"/>
      <c r="W127" s="45" t="n"/>
      <c r="X127" s="45" t="n"/>
      <c r="Y127" s="45" t="n"/>
      <c r="Z127" s="45" t="n"/>
      <c r="AA127" s="45" t="n"/>
      <c r="AB127" s="45" t="n">
        <v>0.975832956133273</v>
      </c>
      <c r="AC127" s="45" t="n"/>
      <c r="AD127" s="45" t="n"/>
      <c r="AE127" s="45" t="n">
        <v>0.951043623510039</v>
      </c>
      <c r="AF127" s="75">
        <f>IFERROR(AVERAGE(L127:U127),"")</f>
        <v/>
      </c>
      <c r="AG127" s="75">
        <f>IFERROR(AVERAGE(V127:AE127),"")</f>
        <v/>
      </c>
      <c r="AH127" s="75">
        <f>IFERROR(AVERAGE(B127:K127),"")</f>
        <v/>
      </c>
      <c r="AI127" s="45" t="n">
        <v>0.955848693847656</v>
      </c>
      <c r="AJ127" s="47" t="n">
        <v>0.00494766235351563</v>
      </c>
    </row>
    <row r="128" ht="15" customHeight="1" s="30">
      <c r="A128" s="73" t="inlineStr">
        <is>
          <t>7213.jpg</t>
        </is>
      </c>
      <c r="B128" s="45" t="n"/>
      <c r="C128" s="45" t="n"/>
      <c r="D128" s="45" t="n">
        <v>0</v>
      </c>
      <c r="E128" s="45" t="n"/>
      <c r="F128" s="45" t="n">
        <v>0.8769822940723629</v>
      </c>
      <c r="G128" s="45" t="n">
        <v>0.924082089429423</v>
      </c>
      <c r="H128" s="45" t="n">
        <v>0.92963668541669</v>
      </c>
      <c r="I128" s="45" t="n"/>
      <c r="J128" s="45" t="n"/>
      <c r="K128" s="45" t="n">
        <v>0.895607876712329</v>
      </c>
      <c r="L128" s="45" t="n"/>
      <c r="M128" s="45" t="n"/>
      <c r="N128" s="45" t="n">
        <v>0</v>
      </c>
      <c r="O128" s="45" t="n"/>
      <c r="P128" s="45" t="n">
        <v>0.918857880303275</v>
      </c>
      <c r="Q128" s="45" t="n">
        <v>0.980923098424234</v>
      </c>
      <c r="R128" s="45" t="n">
        <v>0.952605923393245</v>
      </c>
      <c r="S128" s="45" t="n"/>
      <c r="T128" s="45" t="n"/>
      <c r="U128" s="45" t="n">
        <v>0.955018533058229</v>
      </c>
      <c r="V128" s="45" t="n"/>
      <c r="W128" s="45" t="n"/>
      <c r="X128" s="45" t="n"/>
      <c r="Y128" s="45" t="n"/>
      <c r="Z128" s="45" t="n">
        <v>0.950600801068091</v>
      </c>
      <c r="AA128" s="45" t="n">
        <v>0.940993112232073</v>
      </c>
      <c r="AB128" s="45" t="n">
        <v>0.974718702723147</v>
      </c>
      <c r="AC128" s="45" t="n"/>
      <c r="AD128" s="45" t="n"/>
      <c r="AE128" s="45" t="n">
        <v>0.935051352873348</v>
      </c>
      <c r="AF128" s="75">
        <f>IFERROR(AVERAGE(L128:U128),"")</f>
        <v/>
      </c>
      <c r="AG128" s="75">
        <f>IFERROR(AVERAGE(V128:AE128),"")</f>
        <v/>
      </c>
      <c r="AH128" s="75">
        <f>IFERROR(AVERAGE(B128:K128),"")</f>
        <v/>
      </c>
      <c r="AI128" s="45" t="n">
        <v>0.949562072753906</v>
      </c>
      <c r="AJ128" s="47" t="n">
        <v>0.00882720947265625</v>
      </c>
    </row>
    <row r="129" ht="15" customHeight="1" s="30">
      <c r="A129" s="73" t="inlineStr">
        <is>
          <t>7215.jpg</t>
        </is>
      </c>
      <c r="B129" s="45" t="n"/>
      <c r="C129" s="45" t="n"/>
      <c r="D129" s="45" t="n"/>
      <c r="E129" s="45" t="n"/>
      <c r="F129" s="45" t="n">
        <v>0.739069471000637</v>
      </c>
      <c r="G129" s="45" t="n">
        <v>0.7540455865022559</v>
      </c>
      <c r="H129" s="45" t="n">
        <v>0.893147118759802</v>
      </c>
      <c r="I129" s="45" t="n"/>
      <c r="J129" s="45" t="n"/>
      <c r="K129" s="45" t="n">
        <v>0.920363668203841</v>
      </c>
      <c r="L129" s="45" t="n"/>
      <c r="M129" s="45" t="n"/>
      <c r="N129" s="45" t="n"/>
      <c r="O129" s="45" t="n"/>
      <c r="P129" s="45" t="n">
        <v>0.820549108406454</v>
      </c>
      <c r="Q129" s="45" t="n">
        <v>0.9671520737327191</v>
      </c>
      <c r="R129" s="45" t="n">
        <v>0.973508547505524</v>
      </c>
      <c r="S129" s="45" t="n"/>
      <c r="T129" s="45" t="n"/>
      <c r="U129" s="45" t="n">
        <v>0.948632712613941</v>
      </c>
      <c r="V129" s="45" t="n"/>
      <c r="W129" s="45" t="n"/>
      <c r="X129" s="45" t="n"/>
      <c r="Y129" s="45" t="n"/>
      <c r="Z129" s="45" t="n">
        <v>0.881556940854493</v>
      </c>
      <c r="AA129" s="45" t="n">
        <v>0.773864306784661</v>
      </c>
      <c r="AB129" s="45" t="n">
        <v>0.915395466325493</v>
      </c>
      <c r="AC129" s="45" t="n"/>
      <c r="AD129" s="45" t="n"/>
      <c r="AE129" s="45" t="n">
        <v>0.96863720837365</v>
      </c>
      <c r="AF129" s="75">
        <f>IFERROR(AVERAGE(L129:U129),"")</f>
        <v/>
      </c>
      <c r="AG129" s="75">
        <f>IFERROR(AVERAGE(V129:AE129),"")</f>
        <v/>
      </c>
      <c r="AH129" s="75">
        <f>IFERROR(AVERAGE(B129:K129),"")</f>
        <v/>
      </c>
      <c r="AI129" s="45" t="n">
        <v>0.922691345214844</v>
      </c>
      <c r="AJ129" s="47" t="n">
        <v>0.0343284606933594</v>
      </c>
    </row>
    <row r="130" ht="15" customHeight="1" s="30">
      <c r="A130" s="73" t="inlineStr">
        <is>
          <t>7220.jpg</t>
        </is>
      </c>
      <c r="B130" s="45" t="n"/>
      <c r="C130" s="45" t="n"/>
      <c r="D130" s="45" t="n">
        <v>0</v>
      </c>
      <c r="E130" s="45" t="n"/>
      <c r="F130" s="45" t="n">
        <v>0.877442702050663</v>
      </c>
      <c r="G130" s="45" t="n"/>
      <c r="H130" s="45" t="n">
        <v>0.78472553699284</v>
      </c>
      <c r="I130" s="45" t="n"/>
      <c r="J130" s="45" t="n"/>
      <c r="K130" s="45" t="n">
        <v>0.905348125926226</v>
      </c>
      <c r="L130" s="45" t="n"/>
      <c r="M130" s="45" t="n"/>
      <c r="N130" s="45" t="n">
        <v>0</v>
      </c>
      <c r="O130" s="45" t="n"/>
      <c r="P130" s="45" t="n">
        <v>0.940603448275862</v>
      </c>
      <c r="Q130" s="45" t="n"/>
      <c r="R130" s="45" t="n">
        <v>0.940301708729535</v>
      </c>
      <c r="S130" s="45" t="n"/>
      <c r="T130" s="45" t="n"/>
      <c r="U130" s="45" t="n">
        <v>0.983100589400572</v>
      </c>
      <c r="V130" s="45" t="n"/>
      <c r="W130" s="45" t="n"/>
      <c r="X130" s="45" t="n"/>
      <c r="Y130" s="45" t="n"/>
      <c r="Z130" s="45" t="n">
        <v>0.928911970032352</v>
      </c>
      <c r="AA130" s="45" t="n"/>
      <c r="AB130" s="45" t="n">
        <v>0.825871271585557</v>
      </c>
      <c r="AC130" s="45" t="n"/>
      <c r="AD130" s="45" t="n"/>
      <c r="AE130" s="45" t="n">
        <v>0.919660669509673</v>
      </c>
      <c r="AF130" s="75">
        <f>IFERROR(AVERAGE(L130:U130),"")</f>
        <v/>
      </c>
      <c r="AG130" s="75">
        <f>IFERROR(AVERAGE(V130:AE130),"")</f>
        <v/>
      </c>
      <c r="AH130" s="75">
        <f>IFERROR(AVERAGE(B130:K130),"")</f>
        <v/>
      </c>
      <c r="AI130" s="45" t="n">
        <v>0.908679962158203</v>
      </c>
      <c r="AJ130" s="47" t="n">
        <v>0.06836700439453131</v>
      </c>
    </row>
    <row r="131" ht="15" customHeight="1" s="30">
      <c r="A131" s="73" t="inlineStr">
        <is>
          <t>7223.jpg</t>
        </is>
      </c>
      <c r="B131" s="45" t="n"/>
      <c r="C131" s="45" t="n"/>
      <c r="D131" s="45" t="n"/>
      <c r="E131" s="45" t="n"/>
      <c r="F131" s="45" t="n">
        <v>0.503143947900292</v>
      </c>
      <c r="G131" s="45" t="n"/>
      <c r="H131" s="45" t="n">
        <v>0.937779406375962</v>
      </c>
      <c r="I131" s="45" t="n"/>
      <c r="J131" s="45" t="n"/>
      <c r="K131" s="45" t="n">
        <v>0.927593124545957</v>
      </c>
      <c r="L131" s="45" t="n"/>
      <c r="M131" s="45" t="n"/>
      <c r="N131" s="45" t="n"/>
      <c r="O131" s="45" t="n"/>
      <c r="P131" s="45" t="n">
        <v>0.976252723311547</v>
      </c>
      <c r="Q131" s="45" t="n"/>
      <c r="R131" s="45" t="n">
        <v>0.956415311165715</v>
      </c>
      <c r="S131" s="45" t="n"/>
      <c r="T131" s="45" t="n"/>
      <c r="U131" s="45" t="n">
        <v>0.991529287719248</v>
      </c>
      <c r="V131" s="45" t="n"/>
      <c r="W131" s="45" t="n"/>
      <c r="X131" s="45" t="n"/>
      <c r="Y131" s="45" t="n"/>
      <c r="Z131" s="45" t="n">
        <v>0.509378197112652</v>
      </c>
      <c r="AA131" s="45" t="n"/>
      <c r="AB131" s="45" t="n">
        <v>0.979644959088952</v>
      </c>
      <c r="AC131" s="45" t="n"/>
      <c r="AD131" s="45" t="n"/>
      <c r="AE131" s="45" t="n">
        <v>0.935002552871308</v>
      </c>
      <c r="AF131" s="75">
        <f>IFERROR(AVERAGE(L131:U131),"")</f>
        <v/>
      </c>
      <c r="AG131" s="75">
        <f>IFERROR(AVERAGE(V131:AE131),"")</f>
        <v/>
      </c>
      <c r="AH131" s="75">
        <f>IFERROR(AVERAGE(B131:K131),"")</f>
        <v/>
      </c>
      <c r="AI131" s="45" t="n">
        <v>0.938514709472656</v>
      </c>
      <c r="AJ131" s="47" t="n">
        <v>0.0387382507324219</v>
      </c>
    </row>
    <row r="132" ht="15" customHeight="1" s="30">
      <c r="A132" s="73" t="inlineStr">
        <is>
          <t>7231.jpg</t>
        </is>
      </c>
      <c r="B132" s="45" t="n"/>
      <c r="C132" s="45" t="n"/>
      <c r="D132" s="45" t="n">
        <v>0.934559289790742</v>
      </c>
      <c r="E132" s="45" t="n"/>
      <c r="F132" s="45" t="n">
        <v>0.804002713704206</v>
      </c>
      <c r="G132" s="45" t="n"/>
      <c r="H132" s="45" t="n">
        <v>0.920344988601093</v>
      </c>
      <c r="I132" s="45" t="n">
        <v>0</v>
      </c>
      <c r="J132" s="45" t="n"/>
      <c r="K132" s="45" t="n">
        <v>0.631761048511201</v>
      </c>
      <c r="L132" s="45" t="n"/>
      <c r="M132" s="45" t="n"/>
      <c r="N132" s="45" t="n">
        <v>0.956826592222294</v>
      </c>
      <c r="O132" s="45" t="n"/>
      <c r="P132" s="45" t="n">
        <v>0.93212207015888</v>
      </c>
      <c r="Q132" s="45" t="n"/>
      <c r="R132" s="45" t="n">
        <v>0.972281264281932</v>
      </c>
      <c r="S132" s="45" t="n">
        <v>0</v>
      </c>
      <c r="T132" s="45" t="n"/>
      <c r="U132" s="45" t="n">
        <v>0.9179434848507591</v>
      </c>
      <c r="V132" s="45" t="n"/>
      <c r="W132" s="45" t="n"/>
      <c r="X132" s="45" t="n">
        <v>0.975703409467064</v>
      </c>
      <c r="Y132" s="45" t="n"/>
      <c r="Z132" s="45" t="n">
        <v>0.854003026590762</v>
      </c>
      <c r="AA132" s="45" t="n"/>
      <c r="AB132" s="45" t="n">
        <v>0.945143751718886</v>
      </c>
      <c r="AC132" s="45" t="n"/>
      <c r="AD132" s="45" t="n"/>
      <c r="AE132" s="45" t="n">
        <v>0.669574735920311</v>
      </c>
      <c r="AF132" s="75">
        <f>IFERROR(AVERAGE(L132:U132),"")</f>
        <v/>
      </c>
      <c r="AG132" s="75">
        <f>IFERROR(AVERAGE(V132:AE132),"")</f>
        <v/>
      </c>
      <c r="AH132" s="75">
        <f>IFERROR(AVERAGE(B132:K132),"")</f>
        <v/>
      </c>
      <c r="AI132" s="45" t="n">
        <v>0.846046447753906</v>
      </c>
      <c r="AJ132" s="47" t="n">
        <v>0.112110137939453</v>
      </c>
    </row>
    <row r="133" ht="15" customHeight="1" s="30">
      <c r="A133" s="73" t="inlineStr">
        <is>
          <t>7232.jpg</t>
        </is>
      </c>
      <c r="B133" s="45" t="n"/>
      <c r="C133" s="45" t="n"/>
      <c r="D133" s="45" t="n">
        <v>0.884555127619296</v>
      </c>
      <c r="E133" s="45" t="n"/>
      <c r="F133" s="45" t="n">
        <v>0.507435593102004</v>
      </c>
      <c r="G133" s="45" t="n"/>
      <c r="H133" s="45" t="n">
        <v>0.912463351881769</v>
      </c>
      <c r="I133" s="45" t="n"/>
      <c r="J133" s="45" t="n"/>
      <c r="K133" s="45" t="n">
        <v>0.8837594964184941</v>
      </c>
      <c r="L133" s="45" t="n"/>
      <c r="M133" s="45" t="n"/>
      <c r="N133" s="45" t="n">
        <v>0.896849559864981</v>
      </c>
      <c r="O133" s="45" t="n"/>
      <c r="P133" s="45" t="n">
        <v>0.832817692219549</v>
      </c>
      <c r="Q133" s="45" t="n"/>
      <c r="R133" s="45" t="n">
        <v>0.965993412241648</v>
      </c>
      <c r="S133" s="45" t="n"/>
      <c r="T133" s="45" t="n"/>
      <c r="U133" s="45" t="n">
        <v>0.938682725294183</v>
      </c>
      <c r="V133" s="45" t="n"/>
      <c r="W133" s="45" t="n"/>
      <c r="X133" s="45" t="n">
        <v>0.98473892663784</v>
      </c>
      <c r="Y133" s="45" t="n"/>
      <c r="Z133" s="45" t="n">
        <v>0.564987562189055</v>
      </c>
      <c r="AA133" s="45" t="n"/>
      <c r="AB133" s="45" t="n">
        <v>0.942746372523911</v>
      </c>
      <c r="AC133" s="45" t="n"/>
      <c r="AD133" s="45" t="n"/>
      <c r="AE133" s="45" t="n">
        <v>0.937904281001788</v>
      </c>
      <c r="AF133" s="75">
        <f>IFERROR(AVERAGE(L133:U133),"")</f>
        <v/>
      </c>
      <c r="AG133" s="75">
        <f>IFERROR(AVERAGE(V133:AE133),"")</f>
        <v/>
      </c>
      <c r="AH133" s="75">
        <f>IFERROR(AVERAGE(B133:K133),"")</f>
        <v/>
      </c>
      <c r="AI133" s="45" t="n">
        <v>0.926612854003906</v>
      </c>
      <c r="AJ133" s="47" t="n">
        <v>0.0162315368652344</v>
      </c>
    </row>
    <row r="134" ht="15" customHeight="1" s="30">
      <c r="A134" s="73" t="inlineStr">
        <is>
          <t>7233.jpg</t>
        </is>
      </c>
      <c r="B134" s="45" t="n"/>
      <c r="C134" s="45" t="n"/>
      <c r="D134" s="45" t="n">
        <v>0.927145847871598</v>
      </c>
      <c r="E134" s="45" t="n"/>
      <c r="F134" s="45" t="n">
        <v>0.784432181237293</v>
      </c>
      <c r="G134" s="45" t="n"/>
      <c r="H134" s="45" t="n">
        <v>0.884319136438696</v>
      </c>
      <c r="I134" s="45" t="n"/>
      <c r="J134" s="45" t="n"/>
      <c r="K134" s="45" t="n">
        <v>0.882474991859576</v>
      </c>
      <c r="L134" s="45" t="n"/>
      <c r="M134" s="45" t="n"/>
      <c r="N134" s="45" t="n">
        <v>0.948674740089112</v>
      </c>
      <c r="O134" s="45" t="n"/>
      <c r="P134" s="45" t="n">
        <v>0.969627342571983</v>
      </c>
      <c r="Q134" s="45" t="n"/>
      <c r="R134" s="45" t="n">
        <v>0.971769921204224</v>
      </c>
      <c r="S134" s="45" t="n"/>
      <c r="T134" s="45" t="n"/>
      <c r="U134" s="45" t="n">
        <v>0.930933113921219</v>
      </c>
      <c r="V134" s="45" t="n"/>
      <c r="W134" s="45" t="n"/>
      <c r="X134" s="45" t="n">
        <v>0.976107911132009</v>
      </c>
      <c r="Y134" s="45" t="n"/>
      <c r="Z134" s="45" t="n">
        <v>0.804192472606003</v>
      </c>
      <c r="AA134" s="45" t="n"/>
      <c r="AB134" s="45" t="n">
        <v>0.907635958276933</v>
      </c>
      <c r="AC134" s="45" t="n"/>
      <c r="AD134" s="45" t="n"/>
      <c r="AE134" s="45" t="n">
        <v>0.944299940848061</v>
      </c>
      <c r="AF134" s="75">
        <f>IFERROR(AVERAGE(L134:U134),"")</f>
        <v/>
      </c>
      <c r="AG134" s="75">
        <f>IFERROR(AVERAGE(V134:AE134),"")</f>
        <v/>
      </c>
      <c r="AH134" s="75">
        <f>IFERROR(AVERAGE(B134:K134),"")</f>
        <v/>
      </c>
      <c r="AI134" s="45" t="n">
        <v>0.927158355712891</v>
      </c>
      <c r="AJ134" s="47" t="n">
        <v>0.0225486755371094</v>
      </c>
    </row>
    <row r="135" ht="15" customHeight="1" s="30">
      <c r="A135" s="73" t="inlineStr">
        <is>
          <t>7241.jpg</t>
        </is>
      </c>
      <c r="B135" s="45" t="n"/>
      <c r="C135" s="45" t="n">
        <v>0.914080031596144</v>
      </c>
      <c r="D135" s="45" t="n"/>
      <c r="E135" s="45" t="n">
        <v>0.531309677536693</v>
      </c>
      <c r="F135" s="45" t="n"/>
      <c r="G135" s="45" t="n">
        <v>0.396215857483051</v>
      </c>
      <c r="H135" s="45" t="n">
        <v>0.823091269653902</v>
      </c>
      <c r="I135" s="45" t="n">
        <v>0.596401028277635</v>
      </c>
      <c r="J135" s="45" t="n">
        <v>0.819496518478843</v>
      </c>
      <c r="K135" s="45" t="n">
        <v>0</v>
      </c>
      <c r="L135" s="45" t="n"/>
      <c r="M135" s="45" t="n">
        <v>0.961351106411903</v>
      </c>
      <c r="N135" s="45" t="n"/>
      <c r="O135" s="45" t="n">
        <v>0.903839608922991</v>
      </c>
      <c r="P135" s="45" t="n"/>
      <c r="Q135" s="45" t="n">
        <v>1</v>
      </c>
      <c r="R135" s="45" t="n">
        <v>0.89208587073333</v>
      </c>
      <c r="S135" s="45" t="n">
        <v>0.765255634964266</v>
      </c>
      <c r="T135" s="45" t="n">
        <v>0.841121495327103</v>
      </c>
      <c r="U135" s="45" t="n">
        <v>0</v>
      </c>
      <c r="V135" s="45" t="n"/>
      <c r="W135" s="45" t="n">
        <v>0.94895258684956</v>
      </c>
      <c r="X135" s="45" t="n"/>
      <c r="Y135" s="45" t="n">
        <v>0.563142168674699</v>
      </c>
      <c r="Z135" s="45" t="n"/>
      <c r="AA135" s="45" t="n">
        <v>0.396215857483051</v>
      </c>
      <c r="AB135" s="45" t="n">
        <v>0.914107051559366</v>
      </c>
      <c r="AC135" s="45" t="n">
        <v>0.729942317776612</v>
      </c>
      <c r="AD135" s="45" t="n">
        <v>0.96958174904943</v>
      </c>
      <c r="AE135" s="45" t="n"/>
      <c r="AF135" s="75">
        <f>IFERROR(AVERAGE(L135:U135),"")</f>
        <v/>
      </c>
      <c r="AG135" s="75">
        <f>IFERROR(AVERAGE(V135:AE135),"")</f>
        <v/>
      </c>
      <c r="AH135" s="75">
        <f>IFERROR(AVERAGE(B135:K135),"")</f>
        <v/>
      </c>
      <c r="AI135" s="45" t="n">
        <v>0.698963165283203</v>
      </c>
      <c r="AJ135" s="47" t="n">
        <v>0.244754791259766</v>
      </c>
    </row>
    <row r="136" ht="15" customHeight="1" s="30">
      <c r="A136" s="73" t="inlineStr">
        <is>
          <t>7253.jpg</t>
        </is>
      </c>
      <c r="B136" s="45" t="n"/>
      <c r="C136" s="45" t="n">
        <v>0.891222436309142</v>
      </c>
      <c r="D136" s="45" t="n"/>
      <c r="E136" s="45" t="n">
        <v>0.824425093417176</v>
      </c>
      <c r="F136" s="45" t="n"/>
      <c r="G136" s="45" t="n">
        <v>0.0516999892259624</v>
      </c>
      <c r="H136" s="45" t="n">
        <v>0.839240155296728</v>
      </c>
      <c r="I136" s="45" t="n">
        <v>0.552201257861635</v>
      </c>
      <c r="J136" s="45" t="n">
        <v>0.820976491862568</v>
      </c>
      <c r="K136" s="45" t="n">
        <v>0</v>
      </c>
      <c r="L136" s="45" t="n"/>
      <c r="M136" s="45" t="n">
        <v>0.926262154284316</v>
      </c>
      <c r="N136" s="45" t="n"/>
      <c r="O136" s="45" t="n">
        <v>0.998594315451564</v>
      </c>
      <c r="P136" s="45" t="n"/>
      <c r="Q136" s="45" t="n">
        <v>0.713012099341966</v>
      </c>
      <c r="R136" s="45" t="n">
        <v>0.8746026241257731</v>
      </c>
      <c r="S136" s="45" t="n">
        <v>0.659159159159159</v>
      </c>
      <c r="T136" s="45" t="n">
        <v>0.8262056414922661</v>
      </c>
      <c r="U136" s="45" t="n">
        <v>0</v>
      </c>
      <c r="V136" s="45" t="n"/>
      <c r="W136" s="45" t="n">
        <v>0.959281961471103</v>
      </c>
      <c r="X136" s="45" t="n"/>
      <c r="Y136" s="45" t="n">
        <v>0.825382961015846</v>
      </c>
      <c r="Z136" s="45" t="n"/>
      <c r="AA136" s="45" t="n">
        <v>0.05279869221459</v>
      </c>
      <c r="AB136" s="45" t="n">
        <v>0.95403675798367</v>
      </c>
      <c r="AC136" s="45" t="n">
        <v>0.772887323943662</v>
      </c>
      <c r="AD136" s="45" t="n">
        <v>0.992349726775956</v>
      </c>
      <c r="AE136" s="45" t="n"/>
      <c r="AF136" s="75">
        <f>IFERROR(AVERAGE(L136:U136),"")</f>
        <v/>
      </c>
      <c r="AG136" s="75">
        <f>IFERROR(AVERAGE(V136:AE136),"")</f>
        <v/>
      </c>
      <c r="AH136" s="75">
        <f>IFERROR(AVERAGE(B136:K136),"")</f>
        <v/>
      </c>
      <c r="AI136" s="45" t="n">
        <v>0.675975799560547</v>
      </c>
      <c r="AJ136" s="47" t="n">
        <v>0.0798912048339844</v>
      </c>
    </row>
    <row r="137" ht="15" customHeight="1" s="30">
      <c r="A137" s="73" t="inlineStr">
        <is>
          <t>7268.jpg</t>
        </is>
      </c>
      <c r="B137" s="45" t="n">
        <v>0</v>
      </c>
      <c r="C137" s="45" t="n"/>
      <c r="D137" s="45" t="n"/>
      <c r="E137" s="45" t="n"/>
      <c r="F137" s="45" t="n"/>
      <c r="G137" s="45" t="n">
        <v>0.925335411679564</v>
      </c>
      <c r="H137" s="45" t="n">
        <v>0.877151539229687</v>
      </c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>
        <v>0.980272818952248</v>
      </c>
      <c r="R137" s="45" t="n">
        <v>0.917865168539326</v>
      </c>
      <c r="S137" s="45" t="n"/>
      <c r="T137" s="45" t="n"/>
      <c r="U137" s="45" t="n"/>
      <c r="V137" s="45" t="n">
        <v>0</v>
      </c>
      <c r="W137" s="45" t="n"/>
      <c r="X137" s="45" t="n"/>
      <c r="Y137" s="45" t="n"/>
      <c r="Z137" s="45" t="n"/>
      <c r="AA137" s="45" t="n">
        <v>0.942893609779618</v>
      </c>
      <c r="AB137" s="45" t="n">
        <v>0.951864928164435</v>
      </c>
      <c r="AC137" s="45" t="n"/>
      <c r="AD137" s="45" t="n"/>
      <c r="AE137" s="45" t="n"/>
      <c r="AF137" s="75">
        <f>IFERROR(AVERAGE(L137:U137),"")</f>
        <v/>
      </c>
      <c r="AG137" s="75">
        <f>IFERROR(AVERAGE(V137:AE137),"")</f>
        <v/>
      </c>
      <c r="AH137" s="75">
        <f>IFERROR(AVERAGE(B137:K137),"")</f>
        <v/>
      </c>
      <c r="AI137" s="45" t="n">
        <v>0.9456939697265631</v>
      </c>
      <c r="AJ137" s="47" t="n">
        <v>0.0136604309082031</v>
      </c>
    </row>
    <row r="138" ht="15" customHeight="1" s="30">
      <c r="A138" s="73" t="inlineStr">
        <is>
          <t>7279.jpg</t>
        </is>
      </c>
      <c r="B138" s="45" t="n"/>
      <c r="C138" s="45" t="n">
        <v>0.7318857682322401</v>
      </c>
      <c r="D138" s="45" t="n">
        <v>0.898509581263307</v>
      </c>
      <c r="E138" s="45" t="n">
        <v>0</v>
      </c>
      <c r="F138" s="45" t="n">
        <v>0</v>
      </c>
      <c r="G138" s="45" t="n">
        <v>0.6867035749609099</v>
      </c>
      <c r="H138" s="45" t="n">
        <v>0.798613736609956</v>
      </c>
      <c r="I138" s="45" t="n"/>
      <c r="J138" s="45" t="n">
        <v>0</v>
      </c>
      <c r="K138" s="45" t="n">
        <v>0</v>
      </c>
      <c r="L138" s="45" t="n"/>
      <c r="M138" s="45" t="n">
        <v>0.993910256410256</v>
      </c>
      <c r="N138" s="45" t="n">
        <v>0.964204112718964</v>
      </c>
      <c r="O138" s="45" t="n"/>
      <c r="P138" s="45" t="n">
        <v>0</v>
      </c>
      <c r="Q138" s="45" t="n">
        <v>0.975644882918183</v>
      </c>
      <c r="R138" s="45" t="n">
        <v>0.8809954122063119</v>
      </c>
      <c r="S138" s="45" t="n"/>
      <c r="T138" s="45" t="n"/>
      <c r="U138" s="45" t="n">
        <v>0</v>
      </c>
      <c r="V138" s="45" t="n"/>
      <c r="W138" s="45" t="n">
        <v>0.735182550972025</v>
      </c>
      <c r="X138" s="45" t="n">
        <v>0.929515418502203</v>
      </c>
      <c r="Y138" s="45" t="n">
        <v>0</v>
      </c>
      <c r="Z138" s="45" t="n">
        <v>0</v>
      </c>
      <c r="AA138" s="45" t="n">
        <v>0.698680529458433</v>
      </c>
      <c r="AB138" s="45" t="n">
        <v>0.895182935442859</v>
      </c>
      <c r="AC138" s="45" t="n"/>
      <c r="AD138" s="45" t="n">
        <v>0</v>
      </c>
      <c r="AE138" s="45" t="n"/>
      <c r="AF138" s="75">
        <f>IFERROR(AVERAGE(L138:U138),"")</f>
        <v/>
      </c>
      <c r="AG138" s="75">
        <f>IFERROR(AVERAGE(V138:AE138),"")</f>
        <v/>
      </c>
      <c r="AH138" s="75">
        <f>IFERROR(AVERAGE(B138:K138),"")</f>
        <v/>
      </c>
      <c r="AI138" s="45" t="n">
        <v>0.679134368896484</v>
      </c>
      <c r="AJ138" s="47" t="n">
        <v>0.01361083984375</v>
      </c>
    </row>
    <row r="139" ht="15" customHeight="1" s="30">
      <c r="A139" s="73" t="inlineStr">
        <is>
          <t>7284.jpg</t>
        </is>
      </c>
      <c r="B139" s="45" t="n"/>
      <c r="C139" s="45" t="n">
        <v>0.273690905236379</v>
      </c>
      <c r="D139" s="45" t="n">
        <v>0.00961687606638747</v>
      </c>
      <c r="E139" s="45" t="n"/>
      <c r="F139" s="45" t="n"/>
      <c r="G139" s="45" t="n">
        <v>0.855230343610922</v>
      </c>
      <c r="H139" s="45" t="n">
        <v>0.628397917871602</v>
      </c>
      <c r="I139" s="45" t="n"/>
      <c r="J139" s="45" t="n">
        <v>0.62056414922657</v>
      </c>
      <c r="K139" s="45" t="n">
        <v>0</v>
      </c>
      <c r="L139" s="45" t="n"/>
      <c r="M139" s="45" t="n">
        <v>0.285809165375249</v>
      </c>
      <c r="N139" s="45" t="n">
        <v>0.746987951807229</v>
      </c>
      <c r="O139" s="45" t="n"/>
      <c r="P139" s="45" t="n"/>
      <c r="Q139" s="45" t="n">
        <v>0.999475200899656</v>
      </c>
      <c r="R139" s="45" t="n">
        <v>0.725300400534045</v>
      </c>
      <c r="S139" s="45" t="n"/>
      <c r="T139" s="45" t="n">
        <v>0.697341513292434</v>
      </c>
      <c r="U139" s="45" t="n">
        <v>0</v>
      </c>
      <c r="V139" s="45" t="n"/>
      <c r="W139" s="45" t="n">
        <v>0.865861837692824</v>
      </c>
      <c r="X139" s="45" t="n">
        <v>0.009648303765950821</v>
      </c>
      <c r="Y139" s="45" t="n"/>
      <c r="Z139" s="45" t="n"/>
      <c r="AA139" s="45" t="n">
        <v>0.855614565700487</v>
      </c>
      <c r="AB139" s="45" t="n">
        <v>0.824667931688805</v>
      </c>
      <c r="AC139" s="45" t="n"/>
      <c r="AD139" s="45" t="n">
        <v>0.849315068493151</v>
      </c>
      <c r="AE139" s="45" t="n"/>
      <c r="AF139" s="75">
        <f>IFERROR(AVERAGE(L139:U139),"")</f>
        <v/>
      </c>
      <c r="AG139" s="75">
        <f>IFERROR(AVERAGE(V139:AE139),"")</f>
        <v/>
      </c>
      <c r="AH139" s="75">
        <f>IFERROR(AVERAGE(B139:K139),"")</f>
        <v/>
      </c>
      <c r="AI139" s="45" t="n">
        <v>0.834663391113281</v>
      </c>
      <c r="AJ139" s="47" t="n">
        <v>0.0651702880859375</v>
      </c>
    </row>
    <row r="140" ht="15" customHeight="1" s="30">
      <c r="A140" s="73" t="inlineStr">
        <is>
          <t>7291.jpg</t>
        </is>
      </c>
      <c r="B140" s="45" t="n"/>
      <c r="C140" s="45" t="n"/>
      <c r="D140" s="45" t="n">
        <v>0.655494682565259</v>
      </c>
      <c r="E140" s="45" t="n">
        <v>0.741704337789747</v>
      </c>
      <c r="F140" s="45" t="n"/>
      <c r="G140" s="45" t="n">
        <v>0.947731689895181</v>
      </c>
      <c r="H140" s="45" t="n">
        <v>0.850246415770609</v>
      </c>
      <c r="I140" s="45" t="n">
        <v>0.280856423173804</v>
      </c>
      <c r="J140" s="45" t="n">
        <v>0</v>
      </c>
      <c r="K140" s="45" t="n">
        <v>0.899970088917491</v>
      </c>
      <c r="L140" s="45" t="n"/>
      <c r="M140" s="45" t="n"/>
      <c r="N140" s="45" t="n">
        <v>0.753333333333333</v>
      </c>
      <c r="O140" s="45" t="n">
        <v>0.974412433661865</v>
      </c>
      <c r="P140" s="45" t="n"/>
      <c r="Q140" s="45" t="n">
        <v>0.982215871430908</v>
      </c>
      <c r="R140" s="45" t="n">
        <v>0.939073421166574</v>
      </c>
      <c r="S140" s="45" t="n">
        <v>0.454175152749491</v>
      </c>
      <c r="T140" s="45" t="n">
        <v>0</v>
      </c>
      <c r="U140" s="45" t="n">
        <v>0.936451348216054</v>
      </c>
      <c r="V140" s="45" t="n"/>
      <c r="W140" s="45" t="n"/>
      <c r="X140" s="45" t="n">
        <v>0.8346327451784979</v>
      </c>
      <c r="Y140" s="45" t="n">
        <v>0.756437294619648</v>
      </c>
      <c r="Z140" s="45" t="n"/>
      <c r="AA140" s="45" t="n">
        <v>0.964278470743332</v>
      </c>
      <c r="AB140" s="45" t="n">
        <v>0.899887380712465</v>
      </c>
      <c r="AC140" s="45" t="n">
        <v>0.423954372623574</v>
      </c>
      <c r="AD140" s="45" t="n"/>
      <c r="AE140" s="45" t="n">
        <v>0.9585091081099349</v>
      </c>
      <c r="AF140" s="75">
        <f>IFERROR(AVERAGE(L140:U140),"")</f>
        <v/>
      </c>
      <c r="AG140" s="75">
        <f>IFERROR(AVERAGE(V140:AE140),"")</f>
        <v/>
      </c>
      <c r="AH140" s="75">
        <f>IFERROR(AVERAGE(B140:K140),"")</f>
        <v/>
      </c>
      <c r="AI140" s="45" t="n">
        <v>0.939399719238281</v>
      </c>
      <c r="AJ140" s="47" t="n">
        <v>0.0178947448730469</v>
      </c>
    </row>
    <row r="141" ht="15" customHeight="1" s="30">
      <c r="A141" s="73" t="inlineStr">
        <is>
          <t>7294.jpg</t>
        </is>
      </c>
      <c r="B141" s="45" t="n"/>
      <c r="C141" s="45" t="n">
        <v>0.784193014321766</v>
      </c>
      <c r="D141" s="45" t="n">
        <v>0</v>
      </c>
      <c r="E141" s="45" t="n">
        <v>0.6926859015893591</v>
      </c>
      <c r="F141" s="45" t="n"/>
      <c r="G141" s="45" t="n">
        <v>0.903781174577635</v>
      </c>
      <c r="H141" s="45" t="n">
        <v>0.820535480174415</v>
      </c>
      <c r="I141" s="45" t="n">
        <v>0.330922242314647</v>
      </c>
      <c r="J141" s="45" t="n">
        <v>0.419614147909968</v>
      </c>
      <c r="K141" s="45" t="n">
        <v>0.472449746956363</v>
      </c>
      <c r="L141" s="45" t="n"/>
      <c r="M141" s="45" t="n">
        <v>0.932401957036924</v>
      </c>
      <c r="N141" s="45" t="n">
        <v>0</v>
      </c>
      <c r="O141" s="45" t="n">
        <v>0.969512683043931</v>
      </c>
      <c r="P141" s="45" t="n"/>
      <c r="Q141" s="45" t="n">
        <v>0.96728086791803</v>
      </c>
      <c r="R141" s="45" t="n">
        <v>0.882018894514328</v>
      </c>
      <c r="S141" s="45" t="n">
        <v>0.448896156991006</v>
      </c>
      <c r="T141" s="45" t="n">
        <v>0.885746606334842</v>
      </c>
      <c r="U141" s="45" t="n">
        <v>0.845703267117805</v>
      </c>
      <c r="V141" s="45" t="n"/>
      <c r="W141" s="45" t="n">
        <v>0.831464312495739</v>
      </c>
      <c r="X141" s="45" t="n">
        <v>0</v>
      </c>
      <c r="Y141" s="45" t="n">
        <v>0.708110108901054</v>
      </c>
      <c r="Z141" s="45" t="n"/>
      <c r="AA141" s="45" t="n">
        <v>0.932282157676349</v>
      </c>
      <c r="AB141" s="45" t="n">
        <v>0.92169824699196</v>
      </c>
      <c r="AC141" s="45" t="n">
        <v>0.5573604060913711</v>
      </c>
      <c r="AD141" s="45" t="n">
        <v>0.443626062322946</v>
      </c>
      <c r="AE141" s="45" t="n">
        <v>0.51701512455516</v>
      </c>
      <c r="AF141" s="75">
        <f>IFERROR(AVERAGE(L141:U141),"")</f>
        <v/>
      </c>
      <c r="AG141" s="75">
        <f>IFERROR(AVERAGE(V141:AE141),"")</f>
        <v/>
      </c>
      <c r="AH141" s="75">
        <f>IFERROR(AVERAGE(B141:K141),"")</f>
        <v/>
      </c>
      <c r="AI141" s="45" t="n">
        <v>0.783687591552734</v>
      </c>
      <c r="AJ141" s="47" t="n">
        <v>0.121421813964844</v>
      </c>
    </row>
    <row r="142" ht="15" customHeight="1" s="30">
      <c r="A142" s="73" t="inlineStr">
        <is>
          <t>7300.jpg</t>
        </is>
      </c>
      <c r="B142" s="45" t="n">
        <v>0</v>
      </c>
      <c r="C142" s="45" t="n">
        <v>0.698697731203581</v>
      </c>
      <c r="D142" s="45" t="n">
        <v>0</v>
      </c>
      <c r="E142" s="45" t="n">
        <v>0.736470068478021</v>
      </c>
      <c r="F142" s="45" t="n">
        <v>0</v>
      </c>
      <c r="G142" s="45" t="n"/>
      <c r="H142" s="45" t="n">
        <v>0.7611345296880651</v>
      </c>
      <c r="I142" s="45" t="n">
        <v>0.601785714285714</v>
      </c>
      <c r="J142" s="45" t="n">
        <v>0.7617820324005889</v>
      </c>
      <c r="K142" s="45" t="n">
        <v>0.519976507822569</v>
      </c>
      <c r="L142" s="45" t="n">
        <v>0</v>
      </c>
      <c r="M142" s="45" t="n">
        <v>0.961094395073823</v>
      </c>
      <c r="N142" s="45" t="n">
        <v>0</v>
      </c>
      <c r="O142" s="45" t="n">
        <v>0.8915630431875921</v>
      </c>
      <c r="P142" s="45" t="n"/>
      <c r="Q142" s="45" t="n"/>
      <c r="R142" s="45" t="n">
        <v>0.868376937451907</v>
      </c>
      <c r="S142" s="45" t="n">
        <v>0.77560414269275</v>
      </c>
      <c r="T142" s="45" t="n">
        <v>0.793632527809743</v>
      </c>
      <c r="U142" s="45" t="n">
        <v>0.953910154730195</v>
      </c>
      <c r="V142" s="45" t="n"/>
      <c r="W142" s="45" t="n">
        <v>0.719034656056957</v>
      </c>
      <c r="X142" s="45" t="n"/>
      <c r="Y142" s="45" t="n">
        <v>0.808928788062599</v>
      </c>
      <c r="Z142" s="45" t="n">
        <v>0</v>
      </c>
      <c r="AA142" s="45" t="n"/>
      <c r="AB142" s="45" t="n">
        <v>0.860396727069747</v>
      </c>
      <c r="AC142" s="45" t="n">
        <v>0.728648648648649</v>
      </c>
      <c r="AD142" s="45" t="n">
        <v>0.949954086317723</v>
      </c>
      <c r="AE142" s="45" t="n">
        <v>0.533376842880332</v>
      </c>
      <c r="AF142" s="75">
        <f>IFERROR(AVERAGE(L142:U142),"")</f>
        <v/>
      </c>
      <c r="AG142" s="75">
        <f>IFERROR(AVERAGE(V142:AE142),"")</f>
        <v/>
      </c>
      <c r="AH142" s="75">
        <f>IFERROR(AVERAGE(B142:K142),"")</f>
        <v/>
      </c>
      <c r="AI142" s="45" t="n">
        <v>0.733802795410156</v>
      </c>
      <c r="AJ142" s="47" t="n">
        <v>0.102756500244141</v>
      </c>
    </row>
    <row r="143" ht="15" customHeight="1" s="30">
      <c r="A143" s="73" t="inlineStr">
        <is>
          <t>7301.jpg</t>
        </is>
      </c>
      <c r="B143" s="45" t="n"/>
      <c r="C143" s="45" t="n">
        <v>0.798125642881634</v>
      </c>
      <c r="D143" s="45" t="n">
        <v>0</v>
      </c>
      <c r="E143" s="45" t="n">
        <v>0.741268632357741</v>
      </c>
      <c r="F143" s="45" t="n">
        <v>0</v>
      </c>
      <c r="G143" s="45" t="n"/>
      <c r="H143" s="45" t="n">
        <v>0.726202520003679</v>
      </c>
      <c r="I143" s="45" t="n">
        <v>0.625663716814159</v>
      </c>
      <c r="J143" s="45" t="n">
        <v>0.707717041800643</v>
      </c>
      <c r="K143" s="45" t="n">
        <v>0.66719657855123</v>
      </c>
      <c r="L143" s="45" t="n"/>
      <c r="M143" s="45" t="n">
        <v>0.8713917311371771</v>
      </c>
      <c r="N143" s="45" t="n">
        <v>0</v>
      </c>
      <c r="O143" s="45" t="n">
        <v>0.89628521155712</v>
      </c>
      <c r="P143" s="45" t="n"/>
      <c r="Q143" s="45" t="n"/>
      <c r="R143" s="45" t="n">
        <v>0.824852117365926</v>
      </c>
      <c r="S143" s="45" t="n">
        <v>0.79706877113867</v>
      </c>
      <c r="T143" s="45" t="n">
        <v>0.793725207356653</v>
      </c>
      <c r="U143" s="45" t="n">
        <v>0.905835163785694</v>
      </c>
      <c r="V143" s="45" t="n"/>
      <c r="W143" s="45" t="n">
        <v>0.904694044997193</v>
      </c>
      <c r="X143" s="45" t="n">
        <v>0</v>
      </c>
      <c r="Y143" s="45" t="n">
        <v>0.81081804793145</v>
      </c>
      <c r="Z143" s="45" t="n">
        <v>0</v>
      </c>
      <c r="AA143" s="45" t="n"/>
      <c r="AB143" s="45" t="n">
        <v>0.858599176305881</v>
      </c>
      <c r="AC143" s="45" t="n">
        <v>0.744210526315789</v>
      </c>
      <c r="AD143" s="45" t="n">
        <v>0.867218282111899</v>
      </c>
      <c r="AE143" s="45" t="n">
        <v>0.716920379132591</v>
      </c>
      <c r="AF143" s="75">
        <f>IFERROR(AVERAGE(L143:U143),"")</f>
        <v/>
      </c>
      <c r="AG143" s="75">
        <f>IFERROR(AVERAGE(V143:AE143),"")</f>
        <v/>
      </c>
      <c r="AH143" s="75">
        <f>IFERROR(AVERAGE(B143:K143),"")</f>
        <v/>
      </c>
      <c r="AI143" s="45" t="n">
        <v>0.800724029541016</v>
      </c>
      <c r="AJ143" s="47" t="n">
        <v>0.0749320983886719</v>
      </c>
    </row>
    <row r="144" ht="15" customHeight="1" s="30">
      <c r="A144" s="73" t="inlineStr">
        <is>
          <t>7307.jpg</t>
        </is>
      </c>
      <c r="B144" s="45" t="n"/>
      <c r="C144" s="45" t="n">
        <v>0.7484359811570001</v>
      </c>
      <c r="D144" s="45" t="n">
        <v>0.226991189043008</v>
      </c>
      <c r="E144" s="45" t="n">
        <v>0.594355831540782</v>
      </c>
      <c r="F144" s="45" t="n"/>
      <c r="G144" s="45" t="n">
        <v>0</v>
      </c>
      <c r="H144" s="45" t="n">
        <v>0.8215327771505651</v>
      </c>
      <c r="I144" s="45" t="n">
        <v>0.637992831541219</v>
      </c>
      <c r="J144" s="45" t="n">
        <v>0.62059620596206</v>
      </c>
      <c r="K144" s="45" t="n">
        <v>0.769303431367346</v>
      </c>
      <c r="L144" s="45" t="n"/>
      <c r="M144" s="45" t="n">
        <v>0.7805156997296741</v>
      </c>
      <c r="N144" s="45" t="n">
        <v>0.764844209288654</v>
      </c>
      <c r="O144" s="45" t="n">
        <v>0.944288017195056</v>
      </c>
      <c r="P144" s="45" t="n"/>
      <c r="Q144" s="45" t="n"/>
      <c r="R144" s="45" t="n">
        <v>0.863702927257873</v>
      </c>
      <c r="S144" s="45" t="n">
        <v>0.739356178608515</v>
      </c>
      <c r="T144" s="45" t="n">
        <v>0.638475836431227</v>
      </c>
      <c r="U144" s="45" t="n">
        <v>0.894079190822746</v>
      </c>
      <c r="V144" s="45" t="n"/>
      <c r="W144" s="45" t="n">
        <v>0.947943302711747</v>
      </c>
      <c r="X144" s="45" t="n">
        <v>0.244021382350183</v>
      </c>
      <c r="Y144" s="45" t="n">
        <v>0.615955134945671</v>
      </c>
      <c r="Z144" s="45" t="n"/>
      <c r="AA144" s="45" t="n">
        <v>0</v>
      </c>
      <c r="AB144" s="45" t="n">
        <v>0.943902562288371</v>
      </c>
      <c r="AC144" s="45" t="n">
        <v>0.823121387283237</v>
      </c>
      <c r="AD144" s="45" t="n">
        <v>0.956824512534819</v>
      </c>
      <c r="AE144" s="45" t="n">
        <v>0.846447589686099</v>
      </c>
      <c r="AF144" s="75">
        <f>IFERROR(AVERAGE(L144:U144),"")</f>
        <v/>
      </c>
      <c r="AG144" s="75">
        <f>IFERROR(AVERAGE(V144:AE144),"")</f>
        <v/>
      </c>
      <c r="AH144" s="75">
        <f>IFERROR(AVERAGE(B144:K144),"")</f>
        <v/>
      </c>
      <c r="AI144" s="45" t="n">
        <v>0.7876434326171881</v>
      </c>
      <c r="AJ144" s="47" t="n">
        <v>0.0982780456542969</v>
      </c>
    </row>
    <row r="145" ht="15" customHeight="1" s="30">
      <c r="A145" s="73" t="inlineStr">
        <is>
          <t>7308.jpg</t>
        </is>
      </c>
      <c r="B145" s="45" t="n"/>
      <c r="C145" s="45" t="n">
        <v>0.672617611580217</v>
      </c>
      <c r="D145" s="45" t="n">
        <v>0.000300910253516889</v>
      </c>
      <c r="E145" s="45" t="n">
        <v>0.787983258659083</v>
      </c>
      <c r="F145" s="45" t="n"/>
      <c r="G145" s="45" t="n"/>
      <c r="H145" s="45" t="n">
        <v>0.838087572938755</v>
      </c>
      <c r="I145" s="45" t="n">
        <v>0.723684210526316</v>
      </c>
      <c r="J145" s="45" t="n">
        <v>0</v>
      </c>
      <c r="K145" s="45" t="n">
        <v>0.784449161940369</v>
      </c>
      <c r="L145" s="45" t="n"/>
      <c r="M145" s="45" t="n">
        <v>0.693626453159633</v>
      </c>
      <c r="N145" s="45" t="n">
        <v>0.121212121212121</v>
      </c>
      <c r="O145" s="45" t="n">
        <v>0.959679132153768</v>
      </c>
      <c r="P145" s="45" t="n"/>
      <c r="Q145" s="45" t="n"/>
      <c r="R145" s="45" t="n">
        <v>0.887439360167825</v>
      </c>
      <c r="S145" s="45" t="n">
        <v>0.830815709969789</v>
      </c>
      <c r="T145" s="45" t="n">
        <v>0</v>
      </c>
      <c r="U145" s="45" t="n">
        <v>0.89927717845338</v>
      </c>
      <c r="V145" s="45" t="n"/>
      <c r="W145" s="45" t="n">
        <v>0.956909731972917</v>
      </c>
      <c r="X145" s="45" t="n">
        <v>0.000301568154402895</v>
      </c>
      <c r="Y145" s="45" t="n">
        <v>0.814964344182691</v>
      </c>
      <c r="Z145" s="45" t="n"/>
      <c r="AA145" s="45" t="n"/>
      <c r="AB145" s="45" t="n">
        <v>0.937773852202075</v>
      </c>
      <c r="AC145" s="45" t="n">
        <v>0.848765432098765</v>
      </c>
      <c r="AD145" s="45" t="n"/>
      <c r="AE145" s="45" t="n">
        <v>0.860011115742671</v>
      </c>
      <c r="AF145" s="75">
        <f>IFERROR(AVERAGE(L145:U145),"")</f>
        <v/>
      </c>
      <c r="AG145" s="75">
        <f>IFERROR(AVERAGE(V145:AE145),"")</f>
        <v/>
      </c>
      <c r="AH145" s="75">
        <f>IFERROR(AVERAGE(B145:K145),"")</f>
        <v/>
      </c>
      <c r="AI145" s="45" t="n">
        <v>0.833072662353516</v>
      </c>
      <c r="AJ145" s="47" t="n">
        <v>0.0459823608398438</v>
      </c>
    </row>
    <row r="146" ht="15" customHeight="1" s="30">
      <c r="A146" s="73" t="inlineStr">
        <is>
          <t>7315.jpg</t>
        </is>
      </c>
      <c r="B146" s="45" t="n">
        <v>0</v>
      </c>
      <c r="C146" s="45" t="n">
        <v>0.890760622126922</v>
      </c>
      <c r="D146" s="45" t="n"/>
      <c r="E146" s="45" t="n">
        <v>0.735547757011888</v>
      </c>
      <c r="F146" s="45" t="n"/>
      <c r="G146" s="45" t="n"/>
      <c r="H146" s="45" t="n">
        <v>0.809705408103197</v>
      </c>
      <c r="I146" s="45" t="n">
        <v>0.502835538752363</v>
      </c>
      <c r="J146" s="45" t="n">
        <v>0.790722192936215</v>
      </c>
      <c r="K146" s="45" t="n">
        <v>0</v>
      </c>
      <c r="L146" s="45" t="n"/>
      <c r="M146" s="45" t="n">
        <v>0.957924662402274</v>
      </c>
      <c r="N146" s="45" t="n"/>
      <c r="O146" s="45" t="n">
        <v>0.960565581924115</v>
      </c>
      <c r="P146" s="45" t="n"/>
      <c r="Q146" s="45" t="n"/>
      <c r="R146" s="45" t="n">
        <v>0.858985324264516</v>
      </c>
      <c r="S146" s="45" t="n">
        <v>0.585043988269795</v>
      </c>
      <c r="T146" s="45" t="n">
        <v>0.814332247557003</v>
      </c>
      <c r="U146" s="45" t="n">
        <v>0</v>
      </c>
      <c r="V146" s="45" t="n">
        <v>0</v>
      </c>
      <c r="W146" s="45" t="n">
        <v>0.92703095147115</v>
      </c>
      <c r="X146" s="45" t="n"/>
      <c r="Y146" s="45" t="n">
        <v>0.75845044741788</v>
      </c>
      <c r="Z146" s="45" t="n"/>
      <c r="AA146" s="45" t="n"/>
      <c r="AB146" s="45" t="n">
        <v>0.933835141317984</v>
      </c>
      <c r="AC146" s="45" t="n">
        <v>0.781586679725759</v>
      </c>
      <c r="AD146" s="45" t="n">
        <v>0.964630225080386</v>
      </c>
      <c r="AE146" s="45" t="n"/>
      <c r="AF146" s="75">
        <f>IFERROR(AVERAGE(L146:U146),"")</f>
        <v/>
      </c>
      <c r="AG146" s="75">
        <f>IFERROR(AVERAGE(V146:AE146),"")</f>
        <v/>
      </c>
      <c r="AH146" s="75">
        <f>IFERROR(AVERAGE(B146:K146),"")</f>
        <v/>
      </c>
      <c r="AI146" s="45" t="n">
        <v>0.693500518798828</v>
      </c>
      <c r="AJ146" s="47" t="n">
        <v>0.181209564208984</v>
      </c>
    </row>
    <row r="147" ht="15" customHeight="1" s="30">
      <c r="A147" s="73" t="inlineStr">
        <is>
          <t>7320.jpg</t>
        </is>
      </c>
      <c r="B147" s="45" t="n"/>
      <c r="C147" s="45" t="n">
        <v>0.892040415558089</v>
      </c>
      <c r="D147" s="45" t="n"/>
      <c r="E147" s="45" t="n">
        <v>0.819159759418295</v>
      </c>
      <c r="F147" s="45" t="n"/>
      <c r="G147" s="45" t="n"/>
      <c r="H147" s="45" t="n">
        <v>0.878547813611128</v>
      </c>
      <c r="I147" s="45" t="n">
        <v>0.55062024809924</v>
      </c>
      <c r="J147" s="45" t="n">
        <v>0.584306398879029</v>
      </c>
      <c r="K147" s="45" t="n">
        <v>0.488752126698733</v>
      </c>
      <c r="L147" s="45" t="n"/>
      <c r="M147" s="45" t="n">
        <v>0.955682994282224</v>
      </c>
      <c r="N147" s="45" t="n"/>
      <c r="O147" s="45" t="n">
        <v>0.945792810378483</v>
      </c>
      <c r="P147" s="45" t="n"/>
      <c r="Q147" s="45" t="n"/>
      <c r="R147" s="45" t="n">
        <v>0.928339943093807</v>
      </c>
      <c r="S147" s="45" t="n">
        <v>0.630903255387437</v>
      </c>
      <c r="T147" s="45" t="n">
        <v>0.638265306122449</v>
      </c>
      <c r="U147" s="45" t="n">
        <v>0.903475053387692</v>
      </c>
      <c r="V147" s="45" t="n"/>
      <c r="W147" s="45" t="n">
        <v>0.930532610850459</v>
      </c>
      <c r="X147" s="45" t="n"/>
      <c r="Y147" s="45" t="n">
        <v>0.859513343799058</v>
      </c>
      <c r="Z147" s="45" t="n"/>
      <c r="AA147" s="45" t="n"/>
      <c r="AB147" s="45" t="n">
        <v>0.942462331173394</v>
      </c>
      <c r="AC147" s="45" t="n">
        <v>0.812278630460449</v>
      </c>
      <c r="AD147" s="45" t="n">
        <v>0.873603351955307</v>
      </c>
      <c r="AE147" s="45" t="n">
        <v>0.515679365290428</v>
      </c>
      <c r="AF147" s="75">
        <f>IFERROR(AVERAGE(L147:U147),"")</f>
        <v/>
      </c>
      <c r="AG147" s="75">
        <f>IFERROR(AVERAGE(V147:AE147),"")</f>
        <v/>
      </c>
      <c r="AH147" s="75">
        <f>IFERROR(AVERAGE(B147:K147),"")</f>
        <v/>
      </c>
      <c r="AI147" s="45" t="n">
        <v>0.844871520996094</v>
      </c>
      <c r="AJ147" s="47" t="n">
        <v>0.0930519104003906</v>
      </c>
    </row>
    <row r="148" ht="15" customHeight="1" s="30">
      <c r="A148" s="73" t="inlineStr">
        <is>
          <t>7323.jpg</t>
        </is>
      </c>
      <c r="B148" s="45" t="n"/>
      <c r="C148" s="45" t="n">
        <v>0.819550877192983</v>
      </c>
      <c r="D148" s="45" t="n">
        <v>0</v>
      </c>
      <c r="E148" s="45" t="n">
        <v>0.6972671743614151</v>
      </c>
      <c r="F148" s="45" t="n"/>
      <c r="G148" s="45" t="n"/>
      <c r="H148" s="45" t="n">
        <v>0.77499606170401</v>
      </c>
      <c r="I148" s="45" t="n">
        <v>0.483640939597315</v>
      </c>
      <c r="J148" s="45" t="n">
        <v>0.834602829162133</v>
      </c>
      <c r="K148" s="45" t="n">
        <v>0.739624313546464</v>
      </c>
      <c r="L148" s="45" t="n"/>
      <c r="M148" s="45" t="n">
        <v>0.861101280009438</v>
      </c>
      <c r="N148" s="45" t="n"/>
      <c r="O148" s="45" t="n">
        <v>0.891523188883536</v>
      </c>
      <c r="P148" s="45" t="n"/>
      <c r="Q148" s="45" t="n"/>
      <c r="R148" s="45" t="n">
        <v>0.8974502897716909</v>
      </c>
      <c r="S148" s="45" t="n">
        <v>0.596482152095189</v>
      </c>
      <c r="T148" s="45" t="n">
        <v>0.838251366120219</v>
      </c>
      <c r="U148" s="45" t="n">
        <v>0.923145246434617</v>
      </c>
      <c r="V148" s="45" t="n"/>
      <c r="W148" s="45" t="n">
        <v>0.944396823599812</v>
      </c>
      <c r="X148" s="45" t="n">
        <v>0</v>
      </c>
      <c r="Y148" s="45" t="n">
        <v>0.761907857669137</v>
      </c>
      <c r="Z148" s="45" t="n"/>
      <c r="AA148" s="45" t="n"/>
      <c r="AB148" s="45" t="n">
        <v>0.850295818653194</v>
      </c>
      <c r="AC148" s="45" t="n">
        <v>0.718827930174564</v>
      </c>
      <c r="AD148" s="45" t="n">
        <v>0.994811932555123</v>
      </c>
      <c r="AE148" s="45" t="n">
        <v>0.7881558426692989</v>
      </c>
      <c r="AF148" s="75">
        <f>IFERROR(AVERAGE(L148:U148),"")</f>
        <v/>
      </c>
      <c r="AG148" s="75">
        <f>IFERROR(AVERAGE(V148:AE148),"")</f>
        <v/>
      </c>
      <c r="AH148" s="75">
        <f>IFERROR(AVERAGE(B148:K148),"")</f>
        <v/>
      </c>
      <c r="AI148" s="45" t="n">
        <v>0.81829833984375</v>
      </c>
      <c r="AJ148" s="47" t="n">
        <v>0.0805397033691406</v>
      </c>
    </row>
    <row r="149" ht="15" customHeight="1" s="30">
      <c r="A149" s="73" t="inlineStr">
        <is>
          <t>7333.jpg</t>
        </is>
      </c>
      <c r="B149" s="45" t="n"/>
      <c r="C149" s="45" t="n">
        <v>0.892177638024928</v>
      </c>
      <c r="D149" s="45" t="n"/>
      <c r="E149" s="45" t="n">
        <v>0.578739679456047</v>
      </c>
      <c r="F149" s="45" t="n"/>
      <c r="G149" s="45" t="n">
        <v>0</v>
      </c>
      <c r="H149" s="45" t="n">
        <v>0.811867230552352</v>
      </c>
      <c r="I149" s="45" t="n">
        <v>0.283710054559626</v>
      </c>
      <c r="J149" s="45" t="n">
        <v>0.725701943844493</v>
      </c>
      <c r="K149" s="45" t="n">
        <v>0</v>
      </c>
      <c r="L149" s="45" t="n"/>
      <c r="M149" s="45" t="n">
        <v>0.952444660666505</v>
      </c>
      <c r="N149" s="45" t="n"/>
      <c r="O149" s="45" t="n">
        <v>0.975021308028865</v>
      </c>
      <c r="P149" s="45" t="n"/>
      <c r="Q149" s="45" t="n">
        <v>0</v>
      </c>
      <c r="R149" s="45" t="n">
        <v>0.917678952051818</v>
      </c>
      <c r="S149" s="45" t="n">
        <v>0.53294289897511</v>
      </c>
      <c r="T149" s="45" t="n">
        <v>0.861538461538462</v>
      </c>
      <c r="U149" s="45" t="n"/>
      <c r="V149" s="45" t="n"/>
      <c r="W149" s="45" t="n">
        <v>0.933773728894401</v>
      </c>
      <c r="X149" s="45" t="n"/>
      <c r="Y149" s="45" t="n">
        <v>0.587449503594659</v>
      </c>
      <c r="Z149" s="45" t="n"/>
      <c r="AA149" s="45" t="n"/>
      <c r="AB149" s="45" t="n">
        <v>0.875639278873684</v>
      </c>
      <c r="AC149" s="45" t="n">
        <v>0.377593360995851</v>
      </c>
      <c r="AD149" s="45" t="n">
        <v>0.821515892420538</v>
      </c>
      <c r="AE149" s="45" t="n">
        <v>0</v>
      </c>
      <c r="AF149" s="75">
        <f>IFERROR(AVERAGE(L149:U149),"")</f>
        <v/>
      </c>
      <c r="AG149" s="75">
        <f>IFERROR(AVERAGE(V149:AE149),"")</f>
        <v/>
      </c>
      <c r="AH149" s="75">
        <f>IFERROR(AVERAGE(B149:K149),"")</f>
        <v/>
      </c>
      <c r="AI149" s="45" t="n">
        <v>0.651050567626953</v>
      </c>
      <c r="AJ149" s="47" t="n">
        <v>0.07012176513671881</v>
      </c>
    </row>
    <row r="150" ht="15" customHeight="1" s="30">
      <c r="A150" s="73" t="inlineStr">
        <is>
          <t>7339.jpg</t>
        </is>
      </c>
      <c r="B150" s="45" t="n"/>
      <c r="C150" s="45" t="n">
        <v>0.904690235586817</v>
      </c>
      <c r="D150" s="45" t="n"/>
      <c r="E150" s="45" t="n">
        <v>0.88621245812775</v>
      </c>
      <c r="F150" s="45" t="n"/>
      <c r="G150" s="45" t="n"/>
      <c r="H150" s="45" t="n">
        <v>0.817058073229292</v>
      </c>
      <c r="I150" s="45" t="n">
        <v>0.392514395393474</v>
      </c>
      <c r="J150" s="45" t="n"/>
      <c r="K150" s="45" t="n">
        <v>0.718168895036115</v>
      </c>
      <c r="L150" s="45" t="n"/>
      <c r="M150" s="45" t="n">
        <v>0.949210441508218</v>
      </c>
      <c r="N150" s="45" t="n"/>
      <c r="O150" s="45" t="n">
        <v>0.981658650034357</v>
      </c>
      <c r="P150" s="45" t="n"/>
      <c r="Q150" s="45" t="n"/>
      <c r="R150" s="45" t="n">
        <v>0.936349957007739</v>
      </c>
      <c r="S150" s="45" t="n">
        <v>0.508074534161491</v>
      </c>
      <c r="T150" s="45" t="n"/>
      <c r="U150" s="45" t="n">
        <v>0.850625711035267</v>
      </c>
      <c r="V150" s="45" t="n"/>
      <c r="W150" s="45" t="n">
        <v>0.950711726542074</v>
      </c>
      <c r="X150" s="45" t="n"/>
      <c r="Y150" s="45" t="n">
        <v>0.9011334523717101</v>
      </c>
      <c r="Z150" s="45" t="n"/>
      <c r="AA150" s="45" t="n"/>
      <c r="AB150" s="45" t="n">
        <v>0.8651069492165</v>
      </c>
      <c r="AC150" s="45" t="n">
        <v>0.63312693498452</v>
      </c>
      <c r="AD150" s="45" t="n"/>
      <c r="AE150" s="45" t="n">
        <v>0.821810907652063</v>
      </c>
      <c r="AF150" s="75">
        <f>IFERROR(AVERAGE(L150:U150),"")</f>
        <v/>
      </c>
      <c r="AG150" s="75">
        <f>IFERROR(AVERAGE(V150:AE150),"")</f>
        <v/>
      </c>
      <c r="AH150" s="75">
        <f>IFERROR(AVERAGE(B150:K150),"")</f>
        <v/>
      </c>
      <c r="AI150" s="45" t="n">
        <v>0.890846252441406</v>
      </c>
      <c r="AJ150" s="47" t="n">
        <v>0.0511512756347656</v>
      </c>
    </row>
    <row r="151" ht="15" customHeight="1" s="30">
      <c r="A151" s="73" t="inlineStr">
        <is>
          <t>7348.jpg</t>
        </is>
      </c>
      <c r="B151" s="45" t="n"/>
      <c r="C151" s="45" t="n"/>
      <c r="D151" s="45" t="n"/>
      <c r="E151" s="45" t="n"/>
      <c r="F151" s="45" t="n"/>
      <c r="G151" s="45" t="n">
        <v>0.88982574480045</v>
      </c>
      <c r="H151" s="45" t="n">
        <v>0.975862337460095</v>
      </c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>
        <v>0.999981001505631</v>
      </c>
      <c r="R151" s="45" t="n">
        <v>0.994248542302963</v>
      </c>
      <c r="S151" s="45" t="n"/>
      <c r="T151" s="45" t="n"/>
      <c r="U151" s="45" t="n"/>
      <c r="V151" s="45" t="n"/>
      <c r="W151" s="45" t="n"/>
      <c r="X151" s="45" t="n"/>
      <c r="Y151" s="45" t="n"/>
      <c r="Z151" s="45" t="n"/>
      <c r="AA151" s="45" t="n">
        <v>0.889840788155687</v>
      </c>
      <c r="AB151" s="45" t="n">
        <v>0.9814024509612</v>
      </c>
      <c r="AC151" s="45" t="n"/>
      <c r="AD151" s="45" t="n"/>
      <c r="AE151" s="45" t="n"/>
      <c r="AF151" s="75">
        <f>IFERROR(AVERAGE(L151:U151),"")</f>
        <v/>
      </c>
      <c r="AG151" s="75">
        <f>IFERROR(AVERAGE(V151:AE151),"")</f>
        <v/>
      </c>
      <c r="AH151" s="75">
        <f>IFERROR(AVERAGE(B151:K151),"")</f>
        <v/>
      </c>
      <c r="AI151" s="45" t="n">
        <v>0.898761749267578</v>
      </c>
      <c r="AJ151" s="47" t="n">
        <v>0.100669860839844</v>
      </c>
    </row>
    <row r="152" ht="15" customHeight="1" s="30">
      <c r="A152" s="73" t="inlineStr">
        <is>
          <t>7355.jpg</t>
        </is>
      </c>
      <c r="B152" s="45" t="n"/>
      <c r="C152" s="45" t="n">
        <v>0.733949191685912</v>
      </c>
      <c r="D152" s="45" t="n">
        <v>0</v>
      </c>
      <c r="E152" s="45" t="n">
        <v>0</v>
      </c>
      <c r="F152" s="45" t="n"/>
      <c r="G152" s="45" t="n">
        <v>0.89687813465987</v>
      </c>
      <c r="H152" s="45" t="n">
        <v>0.860379381996112</v>
      </c>
      <c r="I152" s="45" t="n">
        <v>0</v>
      </c>
      <c r="J152" s="45" t="n"/>
      <c r="K152" s="45" t="n">
        <v>0</v>
      </c>
      <c r="L152" s="45" t="n"/>
      <c r="M152" s="45" t="n">
        <v>0.7659677030609791</v>
      </c>
      <c r="N152" s="45" t="n"/>
      <c r="O152" s="45" t="n"/>
      <c r="P152" s="45" t="n"/>
      <c r="Q152" s="45" t="n">
        <v>0.998951150997775</v>
      </c>
      <c r="R152" s="45" t="n">
        <v>0.9163335237007419</v>
      </c>
      <c r="S152" s="45" t="n">
        <v>0</v>
      </c>
      <c r="T152" s="45" t="n"/>
      <c r="U152" s="45" t="n">
        <v>0</v>
      </c>
      <c r="V152" s="45" t="n"/>
      <c r="W152" s="45" t="n">
        <v>0.94611491515332</v>
      </c>
      <c r="X152" s="45" t="n">
        <v>0</v>
      </c>
      <c r="Y152" s="45" t="n">
        <v>0</v>
      </c>
      <c r="Z152" s="45" t="n"/>
      <c r="AA152" s="45" t="n">
        <v>0.897723500604471</v>
      </c>
      <c r="AB152" s="45" t="n">
        <v>0.9337309958536411</v>
      </c>
      <c r="AC152" s="45" t="n"/>
      <c r="AD152" s="45" t="n"/>
      <c r="AE152" s="45" t="n"/>
      <c r="AF152" s="75">
        <f>IFERROR(AVERAGE(L152:U152),"")</f>
        <v/>
      </c>
      <c r="AG152" s="75">
        <f>IFERROR(AVERAGE(V152:AE152),"")</f>
        <v/>
      </c>
      <c r="AH152" s="75">
        <f>IFERROR(AVERAGE(B152:K152),"")</f>
        <v/>
      </c>
      <c r="AI152" s="45" t="n">
        <v>0.896728515625</v>
      </c>
      <c r="AJ152" s="47" t="n">
        <v>0.0104026794433594</v>
      </c>
    </row>
    <row r="153" ht="15" customHeight="1" s="30">
      <c r="A153" s="73" t="inlineStr">
        <is>
          <t>7359.jpg</t>
        </is>
      </c>
      <c r="B153" s="45" t="n"/>
      <c r="C153" s="45" t="n">
        <v>0.6615271057163949</v>
      </c>
      <c r="D153" s="45" t="n">
        <v>0</v>
      </c>
      <c r="E153" s="45" t="n">
        <v>0.0288771560044659</v>
      </c>
      <c r="F153" s="45" t="n"/>
      <c r="G153" s="45" t="n">
        <v>0.168878414362733</v>
      </c>
      <c r="H153" s="45" t="n">
        <v>0.838189416681382</v>
      </c>
      <c r="I153" s="45" t="n">
        <v>0.422247446083995</v>
      </c>
      <c r="J153" s="45" t="n"/>
      <c r="K153" s="45" t="n">
        <v>0</v>
      </c>
      <c r="L153" s="45" t="n"/>
      <c r="M153" s="45" t="n">
        <v>0.702185078784713</v>
      </c>
      <c r="N153" s="45" t="n"/>
      <c r="O153" s="45" t="n">
        <v>0.029139707392062</v>
      </c>
      <c r="P153" s="45" t="n"/>
      <c r="Q153" s="45" t="n">
        <v>0.9690636290646329</v>
      </c>
      <c r="R153" s="45" t="n">
        <v>0.868133877949156</v>
      </c>
      <c r="S153" s="45" t="n">
        <v>0.939393939393939</v>
      </c>
      <c r="T153" s="45" t="n"/>
      <c r="U153" s="45" t="n">
        <v>0</v>
      </c>
      <c r="V153" s="45" t="n"/>
      <c r="W153" s="45" t="n">
        <v>0.9195166438668489</v>
      </c>
      <c r="X153" s="45" t="n">
        <v>0</v>
      </c>
      <c r="Y153" s="45" t="n">
        <v>0.762186725419994</v>
      </c>
      <c r="Z153" s="45" t="n"/>
      <c r="AA153" s="45" t="n">
        <v>0.169793818965138</v>
      </c>
      <c r="AB153" s="45" t="n">
        <v>0.960474841494672</v>
      </c>
      <c r="AC153" s="45" t="n">
        <v>0.434072345390899</v>
      </c>
      <c r="AD153" s="45" t="n"/>
      <c r="AE153" s="45" t="n"/>
      <c r="AF153" s="75">
        <f>IFERROR(AVERAGE(L153:U153),"")</f>
        <v/>
      </c>
      <c r="AG153" s="75">
        <f>IFERROR(AVERAGE(V153:AE153),"")</f>
        <v/>
      </c>
      <c r="AH153" s="75">
        <f>IFERROR(AVERAGE(B153:K153),"")</f>
        <v/>
      </c>
      <c r="AI153" s="45" t="n">
        <v>0.254959106445313</v>
      </c>
      <c r="AJ153" s="47" t="n">
        <v>0.0127639770507813</v>
      </c>
    </row>
    <row r="154" ht="15" customHeight="1" s="30">
      <c r="A154" s="73" t="inlineStr">
        <is>
          <t>7361.jpg</t>
        </is>
      </c>
      <c r="B154" s="45" t="n"/>
      <c r="C154" s="45" t="n">
        <v>0.879789312717696</v>
      </c>
      <c r="D154" s="45" t="n"/>
      <c r="E154" s="45" t="n">
        <v>0.487767584097859</v>
      </c>
      <c r="F154" s="45" t="n"/>
      <c r="G154" s="45" t="n">
        <v>0.925746036307899</v>
      </c>
      <c r="H154" s="45" t="n">
        <v>0.8858399296394019</v>
      </c>
      <c r="I154" s="45" t="n">
        <v>0.452907452907453</v>
      </c>
      <c r="J154" s="45" t="n">
        <v>0.8312020460358061</v>
      </c>
      <c r="K154" s="45" t="n">
        <v>0</v>
      </c>
      <c r="L154" s="45" t="n"/>
      <c r="M154" s="45" t="n">
        <v>0.937067366420848</v>
      </c>
      <c r="N154" s="45" t="n"/>
      <c r="O154" s="45" t="n">
        <v>0.774063089781612</v>
      </c>
      <c r="P154" s="45" t="n"/>
      <c r="Q154" s="45" t="n">
        <v>0.9902952419016</v>
      </c>
      <c r="R154" s="45" t="n">
        <v>0.923147426790706</v>
      </c>
      <c r="S154" s="45" t="n">
        <v>0.636363636363636</v>
      </c>
      <c r="T154" s="45" t="n">
        <v>0.89041095890411</v>
      </c>
      <c r="U154" s="45" t="n">
        <v>0</v>
      </c>
      <c r="V154" s="45" t="n"/>
      <c r="W154" s="45" t="n">
        <v>0.935036792921313</v>
      </c>
      <c r="X154" s="45" t="n"/>
      <c r="Y154" s="45" t="n">
        <v>0.5687400950871629</v>
      </c>
      <c r="Z154" s="45" t="n"/>
      <c r="AA154" s="45" t="n">
        <v>0.9342214659989559</v>
      </c>
      <c r="AB154" s="45" t="n">
        <v>0.956368988273275</v>
      </c>
      <c r="AC154" s="45" t="n">
        <v>0.611049723756906</v>
      </c>
      <c r="AD154" s="45" t="n">
        <v>0.925925925925926</v>
      </c>
      <c r="AE154" s="45" t="n"/>
      <c r="AF154" s="75">
        <f>IFERROR(AVERAGE(L154:U154),"")</f>
        <v/>
      </c>
      <c r="AG154" s="75">
        <f>IFERROR(AVERAGE(V154:AE154),"")</f>
        <v/>
      </c>
      <c r="AH154" s="75">
        <f>IFERROR(AVERAGE(B154:K154),"")</f>
        <v/>
      </c>
      <c r="AI154" s="45" t="n">
        <v>0.920845031738281</v>
      </c>
      <c r="AJ154" s="47" t="n">
        <v>0.0340423583984375</v>
      </c>
    </row>
    <row r="155" ht="15" customHeight="1" s="30">
      <c r="A155" s="73" t="inlineStr">
        <is>
          <t>7370.jpg</t>
        </is>
      </c>
      <c r="B155" s="45" t="n"/>
      <c r="C155" s="45" t="n">
        <v>0.668201455206912</v>
      </c>
      <c r="D155" s="45" t="n">
        <v>0</v>
      </c>
      <c r="E155" s="45" t="n">
        <v>0</v>
      </c>
      <c r="F155" s="45" t="n"/>
      <c r="G155" s="45" t="n">
        <v>0.919796064834233</v>
      </c>
      <c r="H155" s="45" t="n">
        <v>0.836818427208926</v>
      </c>
      <c r="I155" s="45" t="n">
        <v>0.597883597883598</v>
      </c>
      <c r="J155" s="45" t="n">
        <v>0.234281437125749</v>
      </c>
      <c r="K155" s="45" t="n">
        <v>0</v>
      </c>
      <c r="L155" s="45" t="n"/>
      <c r="M155" s="45" t="n">
        <v>0.9617115274482529</v>
      </c>
      <c r="N155" s="45" t="n">
        <v>0</v>
      </c>
      <c r="O155" s="45" t="n">
        <v>0</v>
      </c>
      <c r="P155" s="45" t="n"/>
      <c r="Q155" s="45" t="n">
        <v>0.9899087170227709</v>
      </c>
      <c r="R155" s="45" t="n">
        <v>0.905236519369282</v>
      </c>
      <c r="S155" s="45" t="n">
        <v>0.6904276985743379</v>
      </c>
      <c r="T155" s="45" t="n">
        <v>0.85112168592794</v>
      </c>
      <c r="U155" s="45" t="n">
        <v>0</v>
      </c>
      <c r="V155" s="45" t="n"/>
      <c r="W155" s="45" t="n">
        <v>0.686463443120766</v>
      </c>
      <c r="X155" s="45" t="n"/>
      <c r="Y155" s="45" t="n">
        <v>0</v>
      </c>
      <c r="Z155" s="45" t="n"/>
      <c r="AA155" s="45" t="n">
        <v>0.92850220637355</v>
      </c>
      <c r="AB155" s="45" t="n">
        <v>0.91716303104414</v>
      </c>
      <c r="AC155" s="45" t="n">
        <v>0.816867469879518</v>
      </c>
      <c r="AD155" s="45" t="n">
        <v>0.244292682926829</v>
      </c>
      <c r="AE155" s="45" t="n"/>
      <c r="AF155" s="75">
        <f>IFERROR(AVERAGE(L155:U155),"")</f>
        <v/>
      </c>
      <c r="AG155" s="75">
        <f>IFERROR(AVERAGE(V155:AE155),"")</f>
        <v/>
      </c>
      <c r="AH155" s="75">
        <f>IFERROR(AVERAGE(B155:K155),"")</f>
        <v/>
      </c>
      <c r="AI155" s="45" t="n">
        <v>0.892505645751953</v>
      </c>
      <c r="AJ155" s="47" t="n">
        <v>0.0183601379394531</v>
      </c>
    </row>
    <row r="156" ht="15" customHeight="1" s="30">
      <c r="A156" s="73" t="inlineStr">
        <is>
          <t>7376.jpg</t>
        </is>
      </c>
      <c r="B156" s="45" t="n"/>
      <c r="C156" s="45" t="n">
        <v>0.553730137355238</v>
      </c>
      <c r="D156" s="45" t="n">
        <v>0.000685048809727693</v>
      </c>
      <c r="E156" s="45" t="n">
        <v>0.692420777523685</v>
      </c>
      <c r="F156" s="45" t="n"/>
      <c r="G156" s="45" t="n">
        <v>0.931168707870502</v>
      </c>
      <c r="H156" s="45" t="n">
        <v>0.737522019964768</v>
      </c>
      <c r="I156" s="45" t="n">
        <v>0</v>
      </c>
      <c r="J156" s="45" t="n">
        <v>0.491819056785371</v>
      </c>
      <c r="K156" s="45" t="n">
        <v>0.923374088704972</v>
      </c>
      <c r="L156" s="45" t="n"/>
      <c r="M156" s="45" t="n">
        <v>0.5809140354594901</v>
      </c>
      <c r="N156" s="45" t="n">
        <v>0.129032258064516</v>
      </c>
      <c r="O156" s="45" t="n">
        <v>0.97560414269275</v>
      </c>
      <c r="P156" s="45" t="n"/>
      <c r="Q156" s="45" t="n">
        <v>0.994159011719987</v>
      </c>
      <c r="R156" s="45" t="n">
        <v>0.801645273384866</v>
      </c>
      <c r="S156" s="45" t="n">
        <v>0</v>
      </c>
      <c r="T156" s="45" t="n">
        <v>0.885615251299827</v>
      </c>
      <c r="U156" s="45" t="n">
        <v>0.964887935747025</v>
      </c>
      <c r="V156" s="45" t="n"/>
      <c r="W156" s="45" t="n">
        <v>0.922076465971522</v>
      </c>
      <c r="X156" s="45" t="n">
        <v>0.000688231245698555</v>
      </c>
      <c r="Y156" s="45" t="n">
        <v>0.704621010638298</v>
      </c>
      <c r="Z156" s="45" t="n"/>
      <c r="AA156" s="45" t="n">
        <v>0.936291063565743</v>
      </c>
      <c r="AB156" s="45" t="n">
        <v>0.902154828411812</v>
      </c>
      <c r="AC156" s="45" t="n"/>
      <c r="AD156" s="45" t="n">
        <v>0.525179856115108</v>
      </c>
      <c r="AE156" s="45" t="n">
        <v>0.955479523356768</v>
      </c>
      <c r="AF156" s="75">
        <f>IFERROR(AVERAGE(L156:U156),"")</f>
        <v/>
      </c>
      <c r="AG156" s="75">
        <f>IFERROR(AVERAGE(V156:AE156),"")</f>
        <v/>
      </c>
      <c r="AH156" s="75">
        <f>IFERROR(AVERAGE(B156:K156),"")</f>
        <v/>
      </c>
      <c r="AI156" s="45" t="n">
        <v>0.917137145996094</v>
      </c>
      <c r="AJ156" s="47" t="n">
        <v>0.0255851745605469</v>
      </c>
    </row>
    <row r="157" ht="15" customHeight="1" s="30">
      <c r="A157" s="73" t="inlineStr">
        <is>
          <t>7406.jpg</t>
        </is>
      </c>
      <c r="B157" s="45" t="n"/>
      <c r="C157" s="45" t="n">
        <v>0.796292250029413</v>
      </c>
      <c r="D157" s="45" t="n">
        <v>0.272860875244938</v>
      </c>
      <c r="E157" s="45" t="n">
        <v>0.7799715942163959</v>
      </c>
      <c r="F157" s="45" t="n"/>
      <c r="G157" s="45" t="n"/>
      <c r="H157" s="45" t="n">
        <v>0.672199835966195</v>
      </c>
      <c r="I157" s="45" t="n">
        <v>0.294805194805195</v>
      </c>
      <c r="J157" s="45" t="n">
        <v>0.502383359815109</v>
      </c>
      <c r="K157" s="45" t="n">
        <v>0.715390165117156</v>
      </c>
      <c r="L157" s="45" t="n"/>
      <c r="M157" s="45" t="n">
        <v>0.830025052996724</v>
      </c>
      <c r="N157" s="45" t="n">
        <v>0.785983066792098</v>
      </c>
      <c r="O157" s="45" t="n">
        <v>0.881367080614607</v>
      </c>
      <c r="P157" s="45" t="n"/>
      <c r="Q157" s="45" t="n"/>
      <c r="R157" s="45" t="n">
        <v>0.789930228172732</v>
      </c>
      <c r="S157" s="45" t="n">
        <v>0.468685478320716</v>
      </c>
      <c r="T157" s="45" t="n">
        <v>0.64514932294565</v>
      </c>
      <c r="U157" s="45" t="n">
        <v>0.932244313629128</v>
      </c>
      <c r="V157" s="45" t="n"/>
      <c r="W157" s="45" t="n">
        <v>0.951440907721659</v>
      </c>
      <c r="X157" s="45" t="n">
        <v>0.294760980772623</v>
      </c>
      <c r="Y157" s="45" t="n">
        <v>0.871462018730489</v>
      </c>
      <c r="Z157" s="45" t="n"/>
      <c r="AA157" s="45" t="n"/>
      <c r="AB157" s="45" t="n">
        <v>0.818519322622666</v>
      </c>
      <c r="AC157" s="45" t="n">
        <v>0.442782834850455</v>
      </c>
      <c r="AD157" s="45" t="n">
        <v>0.694211576846307</v>
      </c>
      <c r="AE157" s="45" t="n">
        <v>0.754626746921268</v>
      </c>
      <c r="AF157" s="75">
        <f>IFERROR(AVERAGE(L157:U157),"")</f>
        <v/>
      </c>
      <c r="AG157" s="75">
        <f>IFERROR(AVERAGE(V157:AE157),"")</f>
        <v/>
      </c>
      <c r="AH157" s="75">
        <f>IFERROR(AVERAGE(B157:K157),"")</f>
        <v/>
      </c>
      <c r="AI157" s="45" t="n">
        <v>0.807441711425781</v>
      </c>
      <c r="AJ157" s="47" t="n">
        <v>0.0639305114746094</v>
      </c>
    </row>
    <row r="158" ht="15" customHeight="1" s="30">
      <c r="A158" s="73" t="inlineStr">
        <is>
          <t>7413.jpg</t>
        </is>
      </c>
      <c r="B158" s="45" t="n"/>
      <c r="C158" s="45" t="n">
        <v>0.841144809651961</v>
      </c>
      <c r="D158" s="45" t="n"/>
      <c r="E158" s="45" t="n">
        <v>0.627910284982692</v>
      </c>
      <c r="F158" s="45" t="n"/>
      <c r="G158" s="45" t="n">
        <v>0</v>
      </c>
      <c r="H158" s="45" t="n">
        <v>0.69672354234272</v>
      </c>
      <c r="I158" s="45" t="n">
        <v>0.446236559139785</v>
      </c>
      <c r="J158" s="45" t="n">
        <v>0</v>
      </c>
      <c r="K158" s="45" t="n">
        <v>0.402877798834842</v>
      </c>
      <c r="L158" s="45" t="n"/>
      <c r="M158" s="45" t="n">
        <v>0.89294599149346</v>
      </c>
      <c r="N158" s="45" t="n"/>
      <c r="O158" s="45" t="n">
        <v>0.764476089675743</v>
      </c>
      <c r="P158" s="45" t="n"/>
      <c r="Q158" s="45" t="n">
        <v>0</v>
      </c>
      <c r="R158" s="45" t="n">
        <v>0.837228609524768</v>
      </c>
      <c r="S158" s="45" t="n">
        <v>0.498997995991984</v>
      </c>
      <c r="T158" s="45" t="n">
        <v>0</v>
      </c>
      <c r="U158" s="45" t="n">
        <v>0.893715744892875</v>
      </c>
      <c r="V158" s="45" t="n"/>
      <c r="W158" s="45" t="n">
        <v>0.935482243744956</v>
      </c>
      <c r="X158" s="45" t="n"/>
      <c r="Y158" s="45" t="n">
        <v>0.778513757152936</v>
      </c>
      <c r="Z158" s="45" t="n"/>
      <c r="AA158" s="45" t="n"/>
      <c r="AB158" s="45" t="n">
        <v>0.805884489647657</v>
      </c>
      <c r="AC158" s="45" t="n">
        <v>0.808441558441558</v>
      </c>
      <c r="AD158" s="45" t="n"/>
      <c r="AE158" s="45" t="n">
        <v>0.423151779658518</v>
      </c>
      <c r="AF158" s="75">
        <f>IFERROR(AVERAGE(L158:U158),"")</f>
        <v/>
      </c>
      <c r="AG158" s="75">
        <f>IFERROR(AVERAGE(V158:AE158),"")</f>
        <v/>
      </c>
      <c r="AH158" s="75">
        <f>IFERROR(AVERAGE(B158:K158),"")</f>
        <v/>
      </c>
      <c r="AI158" s="45" t="n">
        <v>0.730949401855469</v>
      </c>
      <c r="AJ158" s="47" t="n">
        <v>0.127243041992188</v>
      </c>
    </row>
    <row r="159" ht="15" customHeight="1" s="30">
      <c r="A159" s="73" t="inlineStr">
        <is>
          <t>7415.jpg</t>
        </is>
      </c>
      <c r="B159" s="45" t="n"/>
      <c r="C159" s="45" t="n">
        <v>0.837730362273141</v>
      </c>
      <c r="D159" s="45" t="n"/>
      <c r="E159" s="45" t="n">
        <v>0.742264176206735</v>
      </c>
      <c r="F159" s="45" t="n"/>
      <c r="G159" s="45" t="n">
        <v>0</v>
      </c>
      <c r="H159" s="45" t="n">
        <v>0.774685851690971</v>
      </c>
      <c r="I159" s="45" t="n">
        <v>0.445013979496738</v>
      </c>
      <c r="J159" s="45" t="n">
        <v>0.675075681130172</v>
      </c>
      <c r="K159" s="45" t="n">
        <v>0</v>
      </c>
      <c r="L159" s="45" t="n"/>
      <c r="M159" s="45" t="n">
        <v>0.916901543476177</v>
      </c>
      <c r="N159" s="45" t="n"/>
      <c r="O159" s="45" t="n">
        <v>0.930196657493792</v>
      </c>
      <c r="P159" s="45" t="n"/>
      <c r="Q159" s="45" t="n"/>
      <c r="R159" s="45" t="n">
        <v>0.876930337719924</v>
      </c>
      <c r="S159" s="45" t="n">
        <v>0.587692307692308</v>
      </c>
      <c r="T159" s="45" t="n">
        <v>0.862669245647969</v>
      </c>
      <c r="U159" s="45" t="n">
        <v>0</v>
      </c>
      <c r="V159" s="45" t="n"/>
      <c r="W159" s="45" t="n">
        <v>0.906559241706161</v>
      </c>
      <c r="X159" s="45" t="n"/>
      <c r="Y159" s="45" t="n">
        <v>0.786047500886211</v>
      </c>
      <c r="Z159" s="45" t="n"/>
      <c r="AA159" s="45" t="n">
        <v>0</v>
      </c>
      <c r="AB159" s="45" t="n">
        <v>0.8691839909489461</v>
      </c>
      <c r="AC159" s="45" t="n">
        <v>0.647018970189702</v>
      </c>
      <c r="AD159" s="45" t="n">
        <v>0.756359525155455</v>
      </c>
      <c r="AE159" s="45" t="n"/>
      <c r="AF159" s="75">
        <f>IFERROR(AVERAGE(L159:U159),"")</f>
        <v/>
      </c>
      <c r="AG159" s="75">
        <f>IFERROR(AVERAGE(V159:AE159),"")</f>
        <v/>
      </c>
      <c r="AH159" s="75">
        <f>IFERROR(AVERAGE(B159:K159),"")</f>
        <v/>
      </c>
      <c r="AI159" s="45" t="n">
        <v>0.707427978515625</v>
      </c>
      <c r="AJ159" s="47" t="n">
        <v>0.108554840087891</v>
      </c>
    </row>
    <row r="160" ht="15" customHeight="1" s="30">
      <c r="A160" s="73" t="inlineStr">
        <is>
          <t>7420.jpg</t>
        </is>
      </c>
      <c r="B160" s="45" t="n"/>
      <c r="C160" s="45" t="n">
        <v>0.900469387055881</v>
      </c>
      <c r="D160" s="45" t="n"/>
      <c r="E160" s="45" t="n">
        <v>0.747435984514026</v>
      </c>
      <c r="F160" s="45" t="n"/>
      <c r="G160" s="45" t="n">
        <v>0.0275432050274941</v>
      </c>
      <c r="H160" s="45" t="n">
        <v>0.852345086485459</v>
      </c>
      <c r="I160" s="45" t="n">
        <v>0.558106575963719</v>
      </c>
      <c r="J160" s="45" t="n">
        <v>0.64812030075188</v>
      </c>
      <c r="K160" s="45" t="n">
        <v>0.357908376751343</v>
      </c>
      <c r="L160" s="45" t="n"/>
      <c r="M160" s="45" t="n">
        <v>0.934847820158642</v>
      </c>
      <c r="N160" s="45" t="n"/>
      <c r="O160" s="45" t="n">
        <v>0.821507222574745</v>
      </c>
      <c r="P160" s="45" t="n"/>
      <c r="Q160" s="45" t="n">
        <v>0.0306523877171894</v>
      </c>
      <c r="R160" s="45" t="n">
        <v>0.906491635922575</v>
      </c>
      <c r="S160" s="45" t="n">
        <v>0.734153616703952</v>
      </c>
      <c r="T160" s="45" t="n">
        <v>0.814744801512287</v>
      </c>
      <c r="U160" s="45" t="n">
        <v>0.947947947947948</v>
      </c>
      <c r="V160" s="45" t="n"/>
      <c r="W160" s="45" t="n">
        <v>0.9607632880852</v>
      </c>
      <c r="X160" s="45" t="n"/>
      <c r="Y160" s="45" t="n">
        <v>0.892353227375933</v>
      </c>
      <c r="Z160" s="45" t="n"/>
      <c r="AA160" s="45" t="n">
        <v>0.213551579748763</v>
      </c>
      <c r="AB160" s="45" t="n">
        <v>0.934509931618365</v>
      </c>
      <c r="AC160" s="45" t="n">
        <v>0.699467140319716</v>
      </c>
      <c r="AD160" s="45" t="n">
        <v>0.760141093474427</v>
      </c>
      <c r="AE160" s="45" t="n">
        <v>0.365083298912295</v>
      </c>
      <c r="AF160" s="75">
        <f>IFERROR(AVERAGE(L160:U160),"")</f>
        <v/>
      </c>
      <c r="AG160" s="75">
        <f>IFERROR(AVERAGE(V160:AE160),"")</f>
        <v/>
      </c>
      <c r="AH160" s="75">
        <f>IFERROR(AVERAGE(B160:K160),"")</f>
        <v/>
      </c>
      <c r="AI160" s="45" t="n">
        <v>0.770870208740234</v>
      </c>
      <c r="AJ160" s="47" t="n">
        <v>0.0853691101074219</v>
      </c>
    </row>
    <row r="161" ht="15" customHeight="1" s="30">
      <c r="A161" s="73" t="inlineStr">
        <is>
          <t>7423.jpg</t>
        </is>
      </c>
      <c r="B161" s="45" t="n"/>
      <c r="C161" s="45" t="n">
        <v>0.8459959184677039</v>
      </c>
      <c r="D161" s="45" t="n">
        <v>0</v>
      </c>
      <c r="E161" s="45" t="n">
        <v>0.699411984319582</v>
      </c>
      <c r="F161" s="45" t="n"/>
      <c r="G161" s="45" t="n">
        <v>0</v>
      </c>
      <c r="H161" s="45" t="n">
        <v>0.835895103359578</v>
      </c>
      <c r="I161" s="45" t="n">
        <v>0.474928774928775</v>
      </c>
      <c r="J161" s="45" t="n">
        <v>0.548919949174079</v>
      </c>
      <c r="K161" s="45" t="n">
        <v>0.607815755133811</v>
      </c>
      <c r="L161" s="45" t="n"/>
      <c r="M161" s="45" t="n">
        <v>0.870051711276598</v>
      </c>
      <c r="N161" s="45" t="n"/>
      <c r="O161" s="45" t="n">
        <v>0.812810152669686</v>
      </c>
      <c r="P161" s="45" t="n"/>
      <c r="Q161" s="45" t="n"/>
      <c r="R161" s="45" t="n">
        <v>0.874821490126557</v>
      </c>
      <c r="S161" s="45" t="n">
        <v>0.662559618441971</v>
      </c>
      <c r="T161" s="45" t="n">
        <v>0.857142857142857</v>
      </c>
      <c r="U161" s="45" t="n">
        <v>0.904322354303621</v>
      </c>
      <c r="V161" s="45" t="n"/>
      <c r="W161" s="45" t="n">
        <v>0.968352471012046</v>
      </c>
      <c r="X161" s="45" t="n">
        <v>0</v>
      </c>
      <c r="Y161" s="45" t="n">
        <v>0.833699552193141</v>
      </c>
      <c r="Z161" s="45" t="n"/>
      <c r="AA161" s="45" t="n">
        <v>0</v>
      </c>
      <c r="AB161" s="45" t="n">
        <v>0.949458419439892</v>
      </c>
      <c r="AC161" s="45" t="n">
        <v>0.626456219466366</v>
      </c>
      <c r="AD161" s="45" t="n">
        <v>0.604195804195804</v>
      </c>
      <c r="AE161" s="45" t="n">
        <v>0.649588960657663</v>
      </c>
      <c r="AF161" s="75">
        <f>IFERROR(AVERAGE(L161:U161),"")</f>
        <v/>
      </c>
      <c r="AG161" s="75">
        <f>IFERROR(AVERAGE(V161:AE161),"")</f>
        <v/>
      </c>
      <c r="AH161" s="75">
        <f>IFERROR(AVERAGE(B161:K161),"")</f>
        <v/>
      </c>
      <c r="AI161" s="45" t="n">
        <v>0.790721893310547</v>
      </c>
      <c r="AJ161" s="47" t="n">
        <v>0.0897026062011719</v>
      </c>
    </row>
    <row r="162" ht="15" customHeight="1" s="30">
      <c r="A162" s="73" t="inlineStr">
        <is>
          <t>7431.jpg</t>
        </is>
      </c>
      <c r="B162" s="45" t="n"/>
      <c r="C162" s="45" t="n">
        <v>0.902328628431898</v>
      </c>
      <c r="D162" s="45" t="n"/>
      <c r="E162" s="45" t="n">
        <v>0.454822410462179</v>
      </c>
      <c r="F162" s="45" t="n"/>
      <c r="G162" s="45" t="n">
        <v>0.630803606081104</v>
      </c>
      <c r="H162" s="45" t="n">
        <v>0.725535961272476</v>
      </c>
      <c r="I162" s="45" t="n">
        <v>0.164750957854406</v>
      </c>
      <c r="J162" s="45" t="n">
        <v>0</v>
      </c>
      <c r="K162" s="45" t="n">
        <v>0.183631545679973</v>
      </c>
      <c r="L162" s="45" t="n"/>
      <c r="M162" s="45" t="n">
        <v>0.9405009466463889</v>
      </c>
      <c r="N162" s="45" t="n"/>
      <c r="O162" s="45" t="n">
        <v>0.4554654364164</v>
      </c>
      <c r="P162" s="45" t="n"/>
      <c r="Q162" s="45" t="n">
        <v>0.682669402792528</v>
      </c>
      <c r="R162" s="45" t="n">
        <v>0.770600927328651</v>
      </c>
      <c r="S162" s="45" t="n">
        <v>0.381656804733728</v>
      </c>
      <c r="T162" s="45" t="n"/>
      <c r="U162" s="45" t="n">
        <v>0.765027599128982</v>
      </c>
      <c r="V162" s="45" t="n"/>
      <c r="W162" s="45" t="n">
        <v>0.956955629243644</v>
      </c>
      <c r="X162" s="45" t="n"/>
      <c r="Y162" s="45" t="n">
        <v>0.996905537459283</v>
      </c>
      <c r="Z162" s="45" t="n"/>
      <c r="AA162" s="45" t="n">
        <v>0.892505255891305</v>
      </c>
      <c r="AB162" s="45" t="n">
        <v>0.925409338993329</v>
      </c>
      <c r="AC162" s="45" t="n">
        <v>0.224738675958188</v>
      </c>
      <c r="AD162" s="45" t="n">
        <v>0</v>
      </c>
      <c r="AE162" s="45" t="n">
        <v>0.194607615808729</v>
      </c>
      <c r="AF162" s="75">
        <f>IFERROR(AVERAGE(L162:U162),"")</f>
        <v/>
      </c>
      <c r="AG162" s="75">
        <f>IFERROR(AVERAGE(V162:AE162),"")</f>
        <v/>
      </c>
      <c r="AH162" s="75">
        <f>IFERROR(AVERAGE(B162:K162),"")</f>
        <v/>
      </c>
      <c r="AI162" s="45" t="n">
        <v>0.695106506347656</v>
      </c>
      <c r="AJ162" s="47" t="n">
        <v>0.0303611755371094</v>
      </c>
    </row>
    <row r="163" ht="15" customHeight="1" s="30">
      <c r="A163" s="73" t="inlineStr">
        <is>
          <t>7450.jpg</t>
        </is>
      </c>
      <c r="B163" s="45" t="n">
        <v>0</v>
      </c>
      <c r="C163" s="45" t="n">
        <v>0.911021654636313</v>
      </c>
      <c r="D163" s="45" t="n"/>
      <c r="E163" s="45" t="n">
        <v>0</v>
      </c>
      <c r="F163" s="45" t="n"/>
      <c r="G163" s="45" t="n">
        <v>0.496109619224678</v>
      </c>
      <c r="H163" s="45" t="n">
        <v>0.582643703869381</v>
      </c>
      <c r="I163" s="45" t="n">
        <v>0</v>
      </c>
      <c r="J163" s="45" t="n"/>
      <c r="K163" s="45" t="n"/>
      <c r="L163" s="45" t="n"/>
      <c r="M163" s="45" t="n">
        <v>0.942553497055867</v>
      </c>
      <c r="N163" s="45" t="n"/>
      <c r="O163" s="45" t="n">
        <v>0</v>
      </c>
      <c r="P163" s="45" t="n"/>
      <c r="Q163" s="45" t="n">
        <v>0.695832729731035</v>
      </c>
      <c r="R163" s="45" t="n">
        <v>0.654934003771213</v>
      </c>
      <c r="S163" s="45" t="n">
        <v>0</v>
      </c>
      <c r="T163" s="45" t="n"/>
      <c r="U163" s="45" t="n"/>
      <c r="V163" s="45" t="n">
        <v>0</v>
      </c>
      <c r="W163" s="45" t="n">
        <v>0.964579659024104</v>
      </c>
      <c r="X163" s="45" t="n"/>
      <c r="Y163" s="45" t="n"/>
      <c r="Z163" s="45" t="n"/>
      <c r="AA163" s="45" t="n">
        <v>0.633490130566668</v>
      </c>
      <c r="AB163" s="45" t="n">
        <v>0.840729385186381</v>
      </c>
      <c r="AC163" s="45" t="n"/>
      <c r="AD163" s="45" t="n"/>
      <c r="AE163" s="45" t="n"/>
      <c r="AF163" s="75">
        <f>IFERROR(AVERAGE(L163:U163),"")</f>
        <v/>
      </c>
      <c r="AG163" s="75">
        <f>IFERROR(AVERAGE(V163:AE163),"")</f>
        <v/>
      </c>
      <c r="AH163" s="75">
        <f>IFERROR(AVERAGE(B163:K163),"")</f>
        <v/>
      </c>
      <c r="AI163" s="45" t="n">
        <v>0.149951934814453</v>
      </c>
      <c r="AJ163" s="47" t="n">
        <v>0.0126457214355469</v>
      </c>
    </row>
    <row r="164" ht="15" customHeight="1" s="30">
      <c r="A164" s="73" t="inlineStr">
        <is>
          <t>7457.jpg</t>
        </is>
      </c>
      <c r="B164" s="45" t="n"/>
      <c r="C164" s="45" t="n">
        <v>0.843695061531085</v>
      </c>
      <c r="D164" s="45" t="n"/>
      <c r="E164" s="45" t="n">
        <v>0.957732900086207</v>
      </c>
      <c r="F164" s="45" t="n"/>
      <c r="G164" s="45" t="n">
        <v>0</v>
      </c>
      <c r="H164" s="45" t="n">
        <v>0.735754881958613</v>
      </c>
      <c r="I164" s="45" t="n">
        <v>0.5014520813165541</v>
      </c>
      <c r="J164" s="45" t="n">
        <v>0</v>
      </c>
      <c r="K164" s="45" t="n">
        <v>0</v>
      </c>
      <c r="L164" s="45" t="n"/>
      <c r="M164" s="45" t="n">
        <v>0.9273198366343161</v>
      </c>
      <c r="N164" s="45" t="n"/>
      <c r="O164" s="45" t="n">
        <v>0.967280426987594</v>
      </c>
      <c r="P164" s="45" t="n"/>
      <c r="Q164" s="45" t="n">
        <v>0</v>
      </c>
      <c r="R164" s="45" t="n">
        <v>0.844625679631953</v>
      </c>
      <c r="S164" s="45" t="n">
        <v>0.573643410852713</v>
      </c>
      <c r="T164" s="45" t="n">
        <v>0</v>
      </c>
      <c r="U164" s="45" t="n"/>
      <c r="V164" s="45" t="n"/>
      <c r="W164" s="45" t="n">
        <v>0.903435588071707</v>
      </c>
      <c r="X164" s="45" t="n"/>
      <c r="Y164" s="45" t="n">
        <v>0.989799038420986</v>
      </c>
      <c r="Z164" s="45" t="n"/>
      <c r="AA164" s="45" t="n"/>
      <c r="AB164" s="45" t="n">
        <v>0.850924872540345</v>
      </c>
      <c r="AC164" s="45" t="n">
        <v>0.799382716049383</v>
      </c>
      <c r="AD164" s="45" t="n"/>
      <c r="AE164" s="45" t="n">
        <v>0</v>
      </c>
      <c r="AF164" s="75">
        <f>IFERROR(AVERAGE(L164:U164),"")</f>
        <v/>
      </c>
      <c r="AG164" s="75">
        <f>IFERROR(AVERAGE(V164:AE164),"")</f>
        <v/>
      </c>
      <c r="AH164" s="75">
        <f>IFERROR(AVERAGE(B164:K164),"")</f>
        <v/>
      </c>
      <c r="AI164" s="45" t="n">
        <v>0.875785827636719</v>
      </c>
      <c r="AJ164" s="47" t="n">
        <v>0.0540199279785156</v>
      </c>
    </row>
    <row r="165" ht="15" customHeight="1" s="30">
      <c r="A165" s="73" t="inlineStr">
        <is>
          <t>7461.jpg</t>
        </is>
      </c>
      <c r="B165" s="45" t="n"/>
      <c r="C165" s="45" t="n">
        <v>0.835578924307153</v>
      </c>
      <c r="D165" s="45" t="n"/>
      <c r="E165" s="45" t="n">
        <v>0.957273566185562</v>
      </c>
      <c r="F165" s="45" t="n"/>
      <c r="G165" s="45" t="n"/>
      <c r="H165" s="45" t="n">
        <v>0.742486370625786</v>
      </c>
      <c r="I165" s="45" t="n">
        <v>0.325407608695652</v>
      </c>
      <c r="J165" s="45" t="n"/>
      <c r="K165" s="45" t="n">
        <v>0.147667312931013</v>
      </c>
      <c r="L165" s="45" t="n"/>
      <c r="M165" s="45" t="n">
        <v>0.920107756021069</v>
      </c>
      <c r="N165" s="45" t="n"/>
      <c r="O165" s="45" t="n">
        <v>0.966071982908168</v>
      </c>
      <c r="P165" s="45" t="n"/>
      <c r="Q165" s="45" t="n"/>
      <c r="R165" s="45" t="n">
        <v>0.838238775349168</v>
      </c>
      <c r="S165" s="45" t="n">
        <v>0.488775510204082</v>
      </c>
      <c r="T165" s="45" t="n"/>
      <c r="U165" s="45" t="n">
        <v>0.753254882323485</v>
      </c>
      <c r="V165" s="45" t="n"/>
      <c r="W165" s="45" t="n">
        <v>0.900944881889764</v>
      </c>
      <c r="X165" s="45" t="n"/>
      <c r="Y165" s="45" t="n">
        <v>0.9905757528475581</v>
      </c>
      <c r="Z165" s="45" t="n"/>
      <c r="AA165" s="45" t="n"/>
      <c r="AB165" s="45" t="n">
        <v>0.866664853693027</v>
      </c>
      <c r="AC165" s="45" t="n">
        <v>0.493305870236869</v>
      </c>
      <c r="AD165" s="45" t="n"/>
      <c r="AE165" s="45" t="n">
        <v>0.155173303074066</v>
      </c>
      <c r="AF165" s="75">
        <f>IFERROR(AVERAGE(L165:U165),"")</f>
        <v/>
      </c>
      <c r="AG165" s="75">
        <f>IFERROR(AVERAGE(V165:AE165),"")</f>
        <v/>
      </c>
      <c r="AH165" s="75">
        <f>IFERROR(AVERAGE(B165:K165),"")</f>
        <v/>
      </c>
      <c r="AI165" s="45" t="n">
        <v>0.8390960693359381</v>
      </c>
      <c r="AJ165" s="47" t="n">
        <v>0.0991706848144531</v>
      </c>
    </row>
    <row r="166" ht="15" customHeight="1" s="30">
      <c r="A166" s="73" t="inlineStr">
        <is>
          <t>7464.jpg</t>
        </is>
      </c>
      <c r="B166" s="45" t="n"/>
      <c r="C166" s="45" t="n">
        <v>0.8397187749060691</v>
      </c>
      <c r="D166" s="45" t="n"/>
      <c r="E166" s="45" t="n">
        <v>0.958675342718213</v>
      </c>
      <c r="F166" s="45" t="n"/>
      <c r="G166" s="45" t="n"/>
      <c r="H166" s="45" t="n">
        <v>0.747939859979341</v>
      </c>
      <c r="I166" s="45" t="n">
        <v>0.228782287822878</v>
      </c>
      <c r="J166" s="45" t="n"/>
      <c r="K166" s="45" t="n">
        <v>0.719409244563351</v>
      </c>
      <c r="L166" s="45" t="n"/>
      <c r="M166" s="45" t="n">
        <v>0.958291375669969</v>
      </c>
      <c r="N166" s="45" t="n"/>
      <c r="O166" s="45" t="n">
        <v>0.9714556607432731</v>
      </c>
      <c r="P166" s="45" t="n"/>
      <c r="Q166" s="45" t="n"/>
      <c r="R166" s="45" t="n">
        <v>0.86751863684771</v>
      </c>
      <c r="S166" s="45" t="n">
        <v>0.232209737827715</v>
      </c>
      <c r="T166" s="45" t="n"/>
      <c r="U166" s="45" t="n">
        <v>0.933216086293821</v>
      </c>
      <c r="V166" s="45" t="n"/>
      <c r="W166" s="45" t="n">
        <v>0.87157291420468</v>
      </c>
      <c r="X166" s="45" t="n"/>
      <c r="Y166" s="45" t="n">
        <v>0.986462831135488</v>
      </c>
      <c r="Z166" s="45" t="n"/>
      <c r="AA166" s="45" t="n"/>
      <c r="AB166" s="45" t="n">
        <v>0.844385705771075</v>
      </c>
      <c r="AC166" s="45" t="n">
        <v>0.939393939393939</v>
      </c>
      <c r="AD166" s="45" t="n"/>
      <c r="AE166" s="45" t="n">
        <v>0.758457052467077</v>
      </c>
      <c r="AF166" s="75">
        <f>IFERROR(AVERAGE(L166:U166),"")</f>
        <v/>
      </c>
      <c r="AG166" s="75">
        <f>IFERROR(AVERAGE(V166:AE166),"")</f>
        <v/>
      </c>
      <c r="AH166" s="75">
        <f>IFERROR(AVERAGE(B166:K166),"")</f>
        <v/>
      </c>
      <c r="AI166" s="45" t="n">
        <v>0.905052185058594</v>
      </c>
      <c r="AJ166" s="47" t="n">
        <v>0.0434799194335938</v>
      </c>
    </row>
    <row r="167" ht="15" customHeight="1" s="30">
      <c r="A167" s="73" t="inlineStr">
        <is>
          <t>7476.jpg</t>
        </is>
      </c>
      <c r="B167" s="45" t="n"/>
      <c r="C167" s="45" t="n">
        <v>0.912129860863361</v>
      </c>
      <c r="D167" s="45" t="n">
        <v>0.26530612244898</v>
      </c>
      <c r="E167" s="45" t="n">
        <v>0.536883307938843</v>
      </c>
      <c r="F167" s="45" t="n"/>
      <c r="G167" s="45" t="n">
        <v>0.82497352763211</v>
      </c>
      <c r="H167" s="45" t="n">
        <v>0.820903886954085</v>
      </c>
      <c r="I167" s="45" t="n">
        <v>0.611673151750973</v>
      </c>
      <c r="J167" s="45" t="n">
        <v>0.880972623703452</v>
      </c>
      <c r="K167" s="45" t="n">
        <v>0</v>
      </c>
      <c r="L167" s="45" t="n"/>
      <c r="M167" s="45" t="n">
        <v>0.96603188997204</v>
      </c>
      <c r="N167" s="45" t="n">
        <v>0.845890410958904</v>
      </c>
      <c r="O167" s="45" t="n">
        <v>0.641784951639241</v>
      </c>
      <c r="P167" s="45" t="n"/>
      <c r="Q167" s="45" t="n">
        <v>0.9758074135925811</v>
      </c>
      <c r="R167" s="45" t="n">
        <v>0.904487815635682</v>
      </c>
      <c r="S167" s="45" t="n">
        <v>0.7690802348336599</v>
      </c>
      <c r="T167" s="45" t="n">
        <v>0.911345646437995</v>
      </c>
      <c r="U167" s="45" t="n">
        <v>0</v>
      </c>
      <c r="V167" s="45" t="n"/>
      <c r="W167" s="45" t="n">
        <v>0.942353765065792</v>
      </c>
      <c r="X167" s="45" t="n">
        <v>0.278781038374718</v>
      </c>
      <c r="Y167" s="45" t="n">
        <v>0.766607899771184</v>
      </c>
      <c r="Z167" s="45" t="n"/>
      <c r="AA167" s="45" t="n">
        <v>0.842199072137751</v>
      </c>
      <c r="AB167" s="45" t="n">
        <v>0.898818785474787</v>
      </c>
      <c r="AC167" s="45" t="n">
        <v>0.74928503336511</v>
      </c>
      <c r="AD167" s="45" t="n">
        <v>0.963548447089455</v>
      </c>
      <c r="AE167" s="45" t="n"/>
      <c r="AF167" s="75">
        <f>IFERROR(AVERAGE(L167:U167),"")</f>
        <v/>
      </c>
      <c r="AG167" s="75">
        <f>IFERROR(AVERAGE(V167:AE167),"")</f>
        <v/>
      </c>
      <c r="AH167" s="75">
        <f>IFERROR(AVERAGE(B167:K167),"")</f>
        <v/>
      </c>
      <c r="AI167" s="45" t="n">
        <v>0.854946136474609</v>
      </c>
      <c r="AJ167" s="47" t="n">
        <v>0.0394706726074219</v>
      </c>
    </row>
    <row r="168" ht="15" customHeight="1" s="30">
      <c r="A168" s="73" t="inlineStr">
        <is>
          <t>7486.jpg</t>
        </is>
      </c>
      <c r="B168" s="45" t="n"/>
      <c r="C168" s="45" t="n">
        <v>0.898719056107915</v>
      </c>
      <c r="D168" s="45" t="n"/>
      <c r="E168" s="45" t="n">
        <v>0.7088171752633</v>
      </c>
      <c r="F168" s="45" t="n"/>
      <c r="G168" s="45" t="n">
        <v>0.521938480702992</v>
      </c>
      <c r="H168" s="45" t="n">
        <v>0.890855865656586</v>
      </c>
      <c r="I168" s="45" t="n">
        <v>0.6072202166064981</v>
      </c>
      <c r="J168" s="45" t="n">
        <v>0.747469066366704</v>
      </c>
      <c r="K168" s="45" t="n">
        <v>0</v>
      </c>
      <c r="L168" s="45" t="n"/>
      <c r="M168" s="45" t="n">
        <v>0.946209512015789</v>
      </c>
      <c r="N168" s="45" t="n"/>
      <c r="O168" s="45" t="n">
        <v>0.898079637312348</v>
      </c>
      <c r="P168" s="45" t="n"/>
      <c r="Q168" s="45" t="n">
        <v>0.996090281557013</v>
      </c>
      <c r="R168" s="45" t="n">
        <v>0.940330292085099</v>
      </c>
      <c r="S168" s="45" t="n">
        <v>0.775115207373272</v>
      </c>
      <c r="T168" s="45" t="n">
        <v>0.799158147925436</v>
      </c>
      <c r="U168" s="45" t="n">
        <v>0</v>
      </c>
      <c r="V168" s="45" t="n"/>
      <c r="W168" s="45" t="n">
        <v>0.947107470028858</v>
      </c>
      <c r="X168" s="45" t="n"/>
      <c r="Y168" s="45" t="n">
        <v>0.770823391211776</v>
      </c>
      <c r="Z168" s="45" t="n"/>
      <c r="AA168" s="45" t="n">
        <v>0.523009940896034</v>
      </c>
      <c r="AB168" s="45" t="n">
        <v>0.944233631732321</v>
      </c>
      <c r="AC168" s="45" t="n">
        <v>0.737072743207713</v>
      </c>
      <c r="AD168" s="45" t="n">
        <v>0.920360110803324</v>
      </c>
      <c r="AE168" s="45" t="n"/>
      <c r="AF168" s="75">
        <f>IFERROR(AVERAGE(L168:U168),"")</f>
        <v/>
      </c>
      <c r="AG168" s="75">
        <f>IFERROR(AVERAGE(V168:AE168),"")</f>
        <v/>
      </c>
      <c r="AH168" s="75">
        <f>IFERROR(AVERAGE(B168:K168),"")</f>
        <v/>
      </c>
      <c r="AI168" s="45" t="n">
        <v>0.712059020996094</v>
      </c>
      <c r="AJ168" s="47" t="n">
        <v>0.0544929504394531</v>
      </c>
    </row>
    <row r="169" ht="15" customHeight="1" s="30">
      <c r="A169" s="73" t="inlineStr">
        <is>
          <t>7541.jpg</t>
        </is>
      </c>
      <c r="B169" s="45" t="n">
        <v>0.746349916961513</v>
      </c>
      <c r="C169" s="45" t="n">
        <v>0.907241278217532</v>
      </c>
      <c r="D169" s="45" t="n">
        <v>0</v>
      </c>
      <c r="E169" s="45" t="n">
        <v>0.422269576505744</v>
      </c>
      <c r="F169" s="45" t="n"/>
      <c r="G169" s="45" t="n"/>
      <c r="H169" s="45" t="n">
        <v>0.7945282132757781</v>
      </c>
      <c r="I169" s="45" t="n">
        <v>0.39930983485334</v>
      </c>
      <c r="J169" s="45" t="n">
        <v>0.772435897435898</v>
      </c>
      <c r="K169" s="45" t="n"/>
      <c r="L169" s="45" t="n">
        <v>0.930518545192654</v>
      </c>
      <c r="M169" s="45" t="n">
        <v>0.954063386360834</v>
      </c>
      <c r="N169" s="45" t="n"/>
      <c r="O169" s="45" t="n">
        <v>0.785994346676393</v>
      </c>
      <c r="P169" s="45" t="n"/>
      <c r="Q169" s="45" t="n"/>
      <c r="R169" s="45" t="n">
        <v>0.903609254966135</v>
      </c>
      <c r="S169" s="45" t="n">
        <v>0.528031290743155</v>
      </c>
      <c r="T169" s="45" t="n">
        <v>0.967871485943775</v>
      </c>
      <c r="U169" s="45" t="n"/>
      <c r="V169" s="45" t="n">
        <v>0.790398556265867</v>
      </c>
      <c r="W169" s="45" t="n">
        <v>0.948681790312692</v>
      </c>
      <c r="X169" s="45" t="n">
        <v>0</v>
      </c>
      <c r="Y169" s="45" t="n">
        <v>0.477126172750671</v>
      </c>
      <c r="Z169" s="45" t="n"/>
      <c r="AA169" s="45" t="n"/>
      <c r="AB169" s="45" t="n">
        <v>0.868104154156886</v>
      </c>
      <c r="AC169" s="45" t="n">
        <v>0.620927558451514</v>
      </c>
      <c r="AD169" s="45" t="n">
        <v>0.7927631578947369</v>
      </c>
      <c r="AE169" s="45" t="n"/>
      <c r="AF169" s="75">
        <f>IFERROR(AVERAGE(L169:U169),"")</f>
        <v/>
      </c>
      <c r="AG169" s="75">
        <f>IFERROR(AVERAGE(V169:AE169),"")</f>
        <v/>
      </c>
      <c r="AH169" s="75">
        <f>IFERROR(AVERAGE(B169:K169),"")</f>
        <v/>
      </c>
      <c r="AI169" s="45" t="n">
        <v>0.810352325439453</v>
      </c>
      <c r="AJ169" s="47" t="n">
        <v>0.107711791992188</v>
      </c>
    </row>
    <row r="170" ht="15" customHeight="1" s="30">
      <c r="A170" s="73" t="inlineStr">
        <is>
          <t>7543.jpg</t>
        </is>
      </c>
      <c r="B170" s="45" t="n">
        <v>0.541740652900053</v>
      </c>
      <c r="C170" s="45" t="n">
        <v>0.921273006134969</v>
      </c>
      <c r="D170" s="45" t="n"/>
      <c r="E170" s="45" t="n">
        <v>0.515046422719825</v>
      </c>
      <c r="F170" s="45" t="n"/>
      <c r="G170" s="45" t="n"/>
      <c r="H170" s="45" t="n">
        <v>0.8442501743780521</v>
      </c>
      <c r="I170" s="45" t="n">
        <v>0.444153577661431</v>
      </c>
      <c r="J170" s="45" t="n"/>
      <c r="K170" s="45" t="n">
        <v>0</v>
      </c>
      <c r="L170" s="45" t="n">
        <v>0.735815961681171</v>
      </c>
      <c r="M170" s="45" t="n">
        <v>0.960134908329471</v>
      </c>
      <c r="N170" s="45" t="n"/>
      <c r="O170" s="45" t="n">
        <v>0.87934169425148</v>
      </c>
      <c r="P170" s="45" t="n"/>
      <c r="Q170" s="45" t="n"/>
      <c r="R170" s="45" t="n">
        <v>0.922512525024644</v>
      </c>
      <c r="S170" s="45" t="n">
        <v>0.5</v>
      </c>
      <c r="T170" s="45" t="n"/>
      <c r="U170" s="45" t="n">
        <v>0</v>
      </c>
      <c r="V170" s="45" t="n">
        <v>0.672555457922891</v>
      </c>
      <c r="W170" s="45" t="n">
        <v>0.9579147131056041</v>
      </c>
      <c r="X170" s="45" t="n"/>
      <c r="Y170" s="45" t="n">
        <v>0.554213681241185</v>
      </c>
      <c r="Z170" s="45" t="n"/>
      <c r="AA170" s="45" t="n"/>
      <c r="AB170" s="45" t="n">
        <v>0.908688688688689</v>
      </c>
      <c r="AC170" s="45" t="n">
        <v>0.7990580847723709</v>
      </c>
      <c r="AD170" s="45" t="n"/>
      <c r="AE170" s="45" t="n"/>
      <c r="AF170" s="75">
        <f>IFERROR(AVERAGE(L170:U170),"")</f>
        <v/>
      </c>
      <c r="AG170" s="75">
        <f>IFERROR(AVERAGE(V170:AE170),"")</f>
        <v/>
      </c>
      <c r="AH170" s="75">
        <f>IFERROR(AVERAGE(B170:K170),"")</f>
        <v/>
      </c>
      <c r="AI170" s="45" t="n">
        <v>0.815746307373047</v>
      </c>
      <c r="AJ170" s="47" t="n">
        <v>0.0301856994628906</v>
      </c>
    </row>
    <row r="171" ht="15" customHeight="1" s="30">
      <c r="A171" s="73" t="inlineStr">
        <is>
          <t>7577.jpg</t>
        </is>
      </c>
      <c r="B171" s="45" t="n"/>
      <c r="C171" s="45" t="n">
        <v>0.865686706305513</v>
      </c>
      <c r="D171" s="45" t="n">
        <v>0</v>
      </c>
      <c r="E171" s="45" t="n">
        <v>0.82642362447095</v>
      </c>
      <c r="F171" s="45" t="n">
        <v>0</v>
      </c>
      <c r="G171" s="45" t="n"/>
      <c r="H171" s="45" t="n">
        <v>0.843980638697204</v>
      </c>
      <c r="I171" s="45" t="n">
        <v>0.426404995539697</v>
      </c>
      <c r="J171" s="45" t="n">
        <v>0.718285214348207</v>
      </c>
      <c r="K171" s="45" t="n">
        <v>0.412892715321696</v>
      </c>
      <c r="L171" s="45" t="n"/>
      <c r="M171" s="45" t="n">
        <v>0.905675229428253</v>
      </c>
      <c r="N171" s="45" t="n">
        <v>0</v>
      </c>
      <c r="O171" s="45" t="n">
        <v>0.911355479730566</v>
      </c>
      <c r="P171" s="45" t="n"/>
      <c r="Q171" s="45" t="n"/>
      <c r="R171" s="45" t="n">
        <v>0.8910193379219929</v>
      </c>
      <c r="S171" s="45" t="n">
        <v>0.556461001164144</v>
      </c>
      <c r="T171" s="45" t="n">
        <v>0.795542635658915</v>
      </c>
      <c r="U171" s="45" t="n">
        <v>0.925613127393543</v>
      </c>
      <c r="V171" s="45" t="n"/>
      <c r="W171" s="45" t="n">
        <v>0.95147138909619</v>
      </c>
      <c r="X171" s="45" t="n"/>
      <c r="Y171" s="45" t="n">
        <v>0.898661134549005</v>
      </c>
      <c r="Z171" s="45" t="n">
        <v>0</v>
      </c>
      <c r="AA171" s="45" t="n"/>
      <c r="AB171" s="45" t="n">
        <v>0.941131113489016</v>
      </c>
      <c r="AC171" s="45" t="n">
        <v>0.645945945945946</v>
      </c>
      <c r="AD171" s="45" t="n">
        <v>0.880901287553648</v>
      </c>
      <c r="AE171" s="45" t="n">
        <v>0.427063586791172</v>
      </c>
      <c r="AF171" s="75">
        <f>IFERROR(AVERAGE(L171:U171),"")</f>
        <v/>
      </c>
      <c r="AG171" s="75">
        <f>IFERROR(AVERAGE(V171:AE171),"")</f>
        <v/>
      </c>
      <c r="AH171" s="75">
        <f>IFERROR(AVERAGE(B171:K171),"")</f>
        <v/>
      </c>
      <c r="AI171" s="45" t="n">
        <v>0.750740051269531</v>
      </c>
      <c r="AJ171" s="47" t="n">
        <v>0.163722991943359</v>
      </c>
    </row>
    <row r="172" ht="15" customHeight="1" s="30">
      <c r="A172" s="73" t="inlineStr">
        <is>
          <t>7581.jpg</t>
        </is>
      </c>
      <c r="B172" s="45" t="n"/>
      <c r="C172" s="45" t="n">
        <v>0.903377418297082</v>
      </c>
      <c r="D172" s="45" t="n">
        <v>0</v>
      </c>
      <c r="E172" s="45" t="n">
        <v>0.7864452798663329</v>
      </c>
      <c r="F172" s="45" t="n"/>
      <c r="G172" s="45" t="n"/>
      <c r="H172" s="45" t="n">
        <v>0.804310008165584</v>
      </c>
      <c r="I172" s="45" t="n">
        <v>0.466497461928934</v>
      </c>
      <c r="J172" s="45" t="n">
        <v>0.635405016775843</v>
      </c>
      <c r="K172" s="45" t="n">
        <v>0.738196257152817</v>
      </c>
      <c r="L172" s="45" t="n"/>
      <c r="M172" s="45" t="n">
        <v>0.9239208546926651</v>
      </c>
      <c r="N172" s="45" t="n">
        <v>0</v>
      </c>
      <c r="O172" s="45" t="n">
        <v>0.912406106130361</v>
      </c>
      <c r="P172" s="45" t="n"/>
      <c r="Q172" s="45" t="n"/>
      <c r="R172" s="45" t="n">
        <v>0.8454777854490489</v>
      </c>
      <c r="S172" s="45" t="n">
        <v>0.67722918201916</v>
      </c>
      <c r="T172" s="45" t="n">
        <v>0.663939899833055</v>
      </c>
      <c r="U172" s="45" t="n">
        <v>0.956072635972205</v>
      </c>
      <c r="V172" s="45" t="n"/>
      <c r="W172" s="45" t="n">
        <v>0.975978002327975</v>
      </c>
      <c r="X172" s="45" t="n"/>
      <c r="Y172" s="45" t="n">
        <v>0.8506720885575511</v>
      </c>
      <c r="Z172" s="45" t="n"/>
      <c r="AA172" s="45" t="n"/>
      <c r="AB172" s="45" t="n">
        <v>0.942917195596529</v>
      </c>
      <c r="AC172" s="45" t="n">
        <v>0.599869451697128</v>
      </c>
      <c r="AD172" s="45" t="n">
        <v>0.9366462552991049</v>
      </c>
      <c r="AE172" s="45" t="n">
        <v>0.764112583830596</v>
      </c>
      <c r="AF172" s="75">
        <f>IFERROR(AVERAGE(L172:U172),"")</f>
        <v/>
      </c>
      <c r="AG172" s="75">
        <f>IFERROR(AVERAGE(V172:AE172),"")</f>
        <v/>
      </c>
      <c r="AH172" s="75">
        <f>IFERROR(AVERAGE(B172:K172),"")</f>
        <v/>
      </c>
      <c r="AI172" s="45" t="n">
        <v>0.858325958251953</v>
      </c>
      <c r="AJ172" s="47" t="n">
        <v>0.0534591674804688</v>
      </c>
    </row>
    <row r="173" ht="15" customHeight="1" s="30">
      <c r="A173" s="73" t="inlineStr">
        <is>
          <t>7583.jpg</t>
        </is>
      </c>
      <c r="B173" s="45" t="n"/>
      <c r="C173" s="45" t="n">
        <v>0.849908911774547</v>
      </c>
      <c r="D173" s="45" t="n">
        <v>0</v>
      </c>
      <c r="E173" s="45" t="n">
        <v>0.7060638345097</v>
      </c>
      <c r="F173" s="45" t="n"/>
      <c r="G173" s="45" t="n"/>
      <c r="H173" s="45" t="n">
        <v>0.860579446446692</v>
      </c>
      <c r="I173" s="45" t="n">
        <v>0.51701644923426</v>
      </c>
      <c r="J173" s="45" t="n">
        <v>0.731020166073547</v>
      </c>
      <c r="K173" s="45" t="n">
        <v>0.608743005595524</v>
      </c>
      <c r="L173" s="45" t="n"/>
      <c r="M173" s="45" t="n">
        <v>0.871931140579508</v>
      </c>
      <c r="N173" s="45" t="n"/>
      <c r="O173" s="45" t="n">
        <v>0.777622958834458</v>
      </c>
      <c r="P173" s="45" t="n"/>
      <c r="Q173" s="45" t="n"/>
      <c r="R173" s="45" t="n">
        <v>0.894361715667558</v>
      </c>
      <c r="S173" s="45" t="n">
        <v>0.675185185185185</v>
      </c>
      <c r="T173" s="45" t="n">
        <v>0.756831439975438</v>
      </c>
      <c r="U173" s="45" t="n">
        <v>0.950540620660603</v>
      </c>
      <c r="V173" s="45" t="n"/>
      <c r="W173" s="45" t="n">
        <v>0.971140502421479</v>
      </c>
      <c r="X173" s="45" t="n">
        <v>0</v>
      </c>
      <c r="Y173" s="45" t="n">
        <v>0.884695608643658</v>
      </c>
      <c r="Z173" s="45" t="n"/>
      <c r="AA173" s="45" t="n"/>
      <c r="AB173" s="45" t="n">
        <v>0.957953571706785</v>
      </c>
      <c r="AC173" s="45" t="n">
        <v>0.6881842204605511</v>
      </c>
      <c r="AD173" s="45" t="n">
        <v>0.955426356589147</v>
      </c>
      <c r="AE173" s="45" t="n">
        <v>0.628655453513569</v>
      </c>
      <c r="AF173" s="75">
        <f>IFERROR(AVERAGE(L173:U173),"")</f>
        <v/>
      </c>
      <c r="AG173" s="75">
        <f>IFERROR(AVERAGE(V173:AE173),"")</f>
        <v/>
      </c>
      <c r="AH173" s="75">
        <f>IFERROR(AVERAGE(B173:K173),"")</f>
        <v/>
      </c>
      <c r="AI173" s="45" t="n">
        <v>0.819362640380859</v>
      </c>
      <c r="AJ173" s="47" t="n">
        <v>0.06688690185546881</v>
      </c>
    </row>
    <row r="174" ht="15" customHeight="1" s="30">
      <c r="A174" s="73" t="inlineStr">
        <is>
          <t>7584.jpg</t>
        </is>
      </c>
      <c r="B174" s="45" t="n"/>
      <c r="C174" s="45" t="n">
        <v>0.8872079691478429</v>
      </c>
      <c r="D174" s="45" t="n"/>
      <c r="E174" s="45" t="n">
        <v>0.743565363523793</v>
      </c>
      <c r="F174" s="45" t="n"/>
      <c r="G174" s="45" t="n"/>
      <c r="H174" s="45" t="n">
        <v>0.823426160337553</v>
      </c>
      <c r="I174" s="45" t="n">
        <v>0.621987951807229</v>
      </c>
      <c r="J174" s="45" t="n">
        <v>0.602310231023102</v>
      </c>
      <c r="K174" s="45" t="n">
        <v>0.69176353094571</v>
      </c>
      <c r="L174" s="45" t="n"/>
      <c r="M174" s="45" t="n">
        <v>0.9080988813363</v>
      </c>
      <c r="N174" s="45" t="n"/>
      <c r="O174" s="45" t="n">
        <v>0.859937602291326</v>
      </c>
      <c r="P174" s="45" t="n"/>
      <c r="Q174" s="45" t="n"/>
      <c r="R174" s="45" t="n">
        <v>0.8705613646907679</v>
      </c>
      <c r="S174" s="45" t="n">
        <v>0.702679710761378</v>
      </c>
      <c r="T174" s="45" t="n">
        <v>0.703082003302146</v>
      </c>
      <c r="U174" s="45" t="n">
        <v>0.949376245288526</v>
      </c>
      <c r="V174" s="45" t="n"/>
      <c r="W174" s="45" t="n">
        <v>0.974725580330122</v>
      </c>
      <c r="X174" s="45" t="n"/>
      <c r="Y174" s="45" t="n">
        <v>0.846026115178504</v>
      </c>
      <c r="Z174" s="45" t="n"/>
      <c r="AA174" s="45" t="n"/>
      <c r="AB174" s="45" t="n">
        <v>0.9383029463804911</v>
      </c>
      <c r="AC174" s="45" t="n">
        <v>0.844149207971385</v>
      </c>
      <c r="AD174" s="45" t="n">
        <v>0.807777426493835</v>
      </c>
      <c r="AE174" s="45" t="n">
        <v>0.718257930716645</v>
      </c>
      <c r="AF174" s="75">
        <f>IFERROR(AVERAGE(L174:U174),"")</f>
        <v/>
      </c>
      <c r="AG174" s="75">
        <f>IFERROR(AVERAGE(V174:AE174),"")</f>
        <v/>
      </c>
      <c r="AH174" s="75">
        <f>IFERROR(AVERAGE(B174:K174),"")</f>
        <v/>
      </c>
      <c r="AI174" s="45" t="n">
        <v>0.843101501464844</v>
      </c>
      <c r="AJ174" s="47" t="n">
        <v>0.06333160400390631</v>
      </c>
    </row>
    <row r="175" ht="15" customHeight="1" s="30">
      <c r="A175" s="73" t="inlineStr">
        <is>
          <t>7586.jpg</t>
        </is>
      </c>
      <c r="B175" s="45" t="n"/>
      <c r="C175" s="45" t="n">
        <v>0.732780296580807</v>
      </c>
      <c r="D175" s="45" t="n">
        <v>0</v>
      </c>
      <c r="E175" s="45" t="n">
        <v>0.76259878657622</v>
      </c>
      <c r="F175" s="45" t="n"/>
      <c r="G175" s="45" t="n"/>
      <c r="H175" s="45" t="n">
        <v>0.838147586962829</v>
      </c>
      <c r="I175" s="45" t="n">
        <v>0.680203045685279</v>
      </c>
      <c r="J175" s="45" t="n">
        <v>0.665505226480836</v>
      </c>
      <c r="K175" s="45" t="n">
        <v>0.683606264127624</v>
      </c>
      <c r="L175" s="45" t="n"/>
      <c r="M175" s="45" t="n">
        <v>0.815727414982479</v>
      </c>
      <c r="N175" s="45" t="n">
        <v>0</v>
      </c>
      <c r="O175" s="45" t="n">
        <v>0.914590269573623</v>
      </c>
      <c r="P175" s="45" t="n"/>
      <c r="Q175" s="45" t="n"/>
      <c r="R175" s="45" t="n">
        <v>0.90263167031212</v>
      </c>
      <c r="S175" s="45" t="n">
        <v>0.734246575342466</v>
      </c>
      <c r="T175" s="45" t="n">
        <v>0.746756708725786</v>
      </c>
      <c r="U175" s="45" t="n">
        <v>0.929384714023568</v>
      </c>
      <c r="V175" s="45" t="n"/>
      <c r="W175" s="45" t="n">
        <v>0.878143684160577</v>
      </c>
      <c r="X175" s="45" t="n"/>
      <c r="Y175" s="45" t="n">
        <v>0.821072168924456</v>
      </c>
      <c r="Z175" s="45" t="n"/>
      <c r="AA175" s="45" t="n"/>
      <c r="AB175" s="45" t="n">
        <v>0.921458824363359</v>
      </c>
      <c r="AC175" s="45" t="n">
        <v>0.902356902356902</v>
      </c>
      <c r="AD175" s="45" t="n">
        <v>0.859480466353037</v>
      </c>
      <c r="AE175" s="45" t="n">
        <v>0.721058680251805</v>
      </c>
      <c r="AF175" s="75">
        <f>IFERROR(AVERAGE(L175:U175),"")</f>
        <v/>
      </c>
      <c r="AG175" s="75">
        <f>IFERROR(AVERAGE(V175:AE175),"")</f>
        <v/>
      </c>
      <c r="AH175" s="75">
        <f>IFERROR(AVERAGE(B175:K175),"")</f>
        <v/>
      </c>
      <c r="AI175" s="45" t="n">
        <v>0.8082733154296881</v>
      </c>
      <c r="AJ175" s="47" t="n">
        <v>0.0840263366699219</v>
      </c>
    </row>
    <row r="176" ht="15" customHeight="1" s="30">
      <c r="A176" s="73" t="inlineStr">
        <is>
          <t>7590.jpg</t>
        </is>
      </c>
      <c r="B176" s="45" t="n"/>
      <c r="C176" s="45" t="n">
        <v>0.875793737683381</v>
      </c>
      <c r="D176" s="45" t="n"/>
      <c r="E176" s="45" t="n">
        <v>0.770730807086614</v>
      </c>
      <c r="F176" s="45" t="n"/>
      <c r="G176" s="45" t="n"/>
      <c r="H176" s="45" t="n">
        <v>0.860615524597622</v>
      </c>
      <c r="I176" s="45" t="n">
        <v>0.65595363540569</v>
      </c>
      <c r="J176" s="45" t="n">
        <v>0.716458658346334</v>
      </c>
      <c r="K176" s="45" t="n">
        <v>0.626387066362606</v>
      </c>
      <c r="L176" s="45" t="n"/>
      <c r="M176" s="45" t="n">
        <v>0.9375695895923269</v>
      </c>
      <c r="N176" s="45" t="n"/>
      <c r="O176" s="45" t="n">
        <v>0.922538841027907</v>
      </c>
      <c r="P176" s="45" t="n"/>
      <c r="Q176" s="45" t="n"/>
      <c r="R176" s="45" t="n">
        <v>0.906222486923196</v>
      </c>
      <c r="S176" s="45" t="n">
        <v>0.819618169848585</v>
      </c>
      <c r="T176" s="45" t="n">
        <v>0.833862914207898</v>
      </c>
      <c r="U176" s="45" t="n">
        <v>0.880371723248818</v>
      </c>
      <c r="V176" s="45" t="n"/>
      <c r="W176" s="45" t="n">
        <v>0.930030227871648</v>
      </c>
      <c r="X176" s="45" t="n"/>
      <c r="Y176" s="45" t="n">
        <v>0.824059458037359</v>
      </c>
      <c r="Z176" s="45" t="n"/>
      <c r="AA176" s="45" t="n"/>
      <c r="AB176" s="45" t="n">
        <v>0.944753394703453</v>
      </c>
      <c r="AC176" s="45" t="n">
        <v>0.766625615763547</v>
      </c>
      <c r="AD176" s="45" t="n">
        <v>0.835759781619654</v>
      </c>
      <c r="AE176" s="45" t="n">
        <v>0.684662730462875</v>
      </c>
      <c r="AF176" s="75">
        <f>IFERROR(AVERAGE(L176:U176),"")</f>
        <v/>
      </c>
      <c r="AG176" s="75">
        <f>IFERROR(AVERAGE(V176:AE176),"")</f>
        <v/>
      </c>
      <c r="AH176" s="75">
        <f>IFERROR(AVERAGE(B176:K176),"")</f>
        <v/>
      </c>
      <c r="AI176" s="45" t="n">
        <v>0.840587615966797</v>
      </c>
      <c r="AJ176" s="47" t="n">
        <v>0.0756111145019531</v>
      </c>
    </row>
    <row r="177" ht="15" customHeight="1" s="30">
      <c r="A177" s="73" t="inlineStr">
        <is>
          <t>7593.jpg</t>
        </is>
      </c>
      <c r="B177" s="45" t="n"/>
      <c r="C177" s="45" t="n">
        <v>0.444710499185207</v>
      </c>
      <c r="D177" s="45" t="n">
        <v>0</v>
      </c>
      <c r="E177" s="45" t="n">
        <v>0.76551959849616</v>
      </c>
      <c r="F177" s="45" t="n"/>
      <c r="G177" s="45" t="n"/>
      <c r="H177" s="45" t="n">
        <v>0.801619280738091</v>
      </c>
      <c r="I177" s="45" t="n">
        <v>0.538650306748466</v>
      </c>
      <c r="J177" s="45" t="n">
        <v>0.6109285127362371</v>
      </c>
      <c r="K177" s="45" t="n">
        <v>0.620069293255613</v>
      </c>
      <c r="L177" s="45" t="n"/>
      <c r="M177" s="45" t="n">
        <v>0.485998291809773</v>
      </c>
      <c r="N177" s="45" t="n"/>
      <c r="O177" s="45" t="n">
        <v>0.883527799692729</v>
      </c>
      <c r="P177" s="45" t="n"/>
      <c r="Q177" s="45" t="n"/>
      <c r="R177" s="45" t="n">
        <v>0.915806229564619</v>
      </c>
      <c r="S177" s="45" t="n">
        <v>0.689167974882261</v>
      </c>
      <c r="T177" s="45" t="n">
        <v>0.884066587395957</v>
      </c>
      <c r="U177" s="45" t="n">
        <v>0.870626325044784</v>
      </c>
      <c r="V177" s="45" t="n"/>
      <c r="W177" s="45" t="n">
        <v>0.839606944400841</v>
      </c>
      <c r="X177" s="45" t="n">
        <v>0</v>
      </c>
      <c r="Y177" s="45" t="n">
        <v>0.8514435485484479</v>
      </c>
      <c r="Z177" s="45" t="n"/>
      <c r="AA177" s="45" t="n"/>
      <c r="AB177" s="45" t="n">
        <v>0.865395560614684</v>
      </c>
      <c r="AC177" s="45" t="n">
        <v>0.711507293354943</v>
      </c>
      <c r="AD177" s="45" t="n">
        <v>0.664135774899509</v>
      </c>
      <c r="AE177" s="45" t="n">
        <v>0.683001985508368</v>
      </c>
      <c r="AF177" s="75">
        <f>IFERROR(AVERAGE(L177:U177),"")</f>
        <v/>
      </c>
      <c r="AG177" s="75">
        <f>IFERROR(AVERAGE(V177:AE177),"")</f>
        <v/>
      </c>
      <c r="AH177" s="75">
        <f>IFERROR(AVERAGE(B177:K177),"")</f>
        <v/>
      </c>
      <c r="AI177" s="45" t="n">
        <v>0.7207489013671881</v>
      </c>
      <c r="AJ177" s="47" t="n">
        <v>0.0945167541503906</v>
      </c>
    </row>
    <row r="178" ht="15" customHeight="1" s="30">
      <c r="A178" s="73" t="inlineStr">
        <is>
          <t>7595.jpg</t>
        </is>
      </c>
      <c r="B178" s="45" t="n"/>
      <c r="C178" s="45" t="n">
        <v>0.7103888148174839</v>
      </c>
      <c r="D178" s="45" t="n">
        <v>0</v>
      </c>
      <c r="E178" s="45" t="n">
        <v>0.739036019449559</v>
      </c>
      <c r="F178" s="45" t="n"/>
      <c r="G178" s="45" t="n"/>
      <c r="H178" s="45" t="n">
        <v>0.8250525221459361</v>
      </c>
      <c r="I178" s="45" t="n">
        <v>0.568640208197788</v>
      </c>
      <c r="J178" s="45" t="n">
        <v>0.559366754617414</v>
      </c>
      <c r="K178" s="45" t="n">
        <v>0.603348366817002</v>
      </c>
      <c r="L178" s="45" t="n"/>
      <c r="M178" s="45" t="n">
        <v>0.761540541584579</v>
      </c>
      <c r="N178" s="45" t="n"/>
      <c r="O178" s="45" t="n">
        <v>0.9209726443769</v>
      </c>
      <c r="P178" s="45" t="n"/>
      <c r="Q178" s="45" t="n"/>
      <c r="R178" s="45" t="n">
        <v>0.896444203887608</v>
      </c>
      <c r="S178" s="45" t="n">
        <v>0.7927437641723361</v>
      </c>
      <c r="T178" s="45" t="n">
        <v>0.894514767932489</v>
      </c>
      <c r="U178" s="45" t="n">
        <v>0.819814298978644</v>
      </c>
      <c r="V178" s="45" t="n"/>
      <c r="W178" s="45" t="n">
        <v>0.913615719714524</v>
      </c>
      <c r="X178" s="45" t="n">
        <v>0</v>
      </c>
      <c r="Y178" s="45" t="n">
        <v>0.789075757321192</v>
      </c>
      <c r="Z178" s="45" t="n"/>
      <c r="AA178" s="45" t="n"/>
      <c r="AB178" s="45" t="n">
        <v>0.911971367352558</v>
      </c>
      <c r="AC178" s="45" t="n">
        <v>0.667940389759266</v>
      </c>
      <c r="AD178" s="45" t="n">
        <v>0.598870056497175</v>
      </c>
      <c r="AE178" s="45" t="n">
        <v>0.695589834087006</v>
      </c>
      <c r="AF178" s="75">
        <f>IFERROR(AVERAGE(L178:U178),"")</f>
        <v/>
      </c>
      <c r="AG178" s="75">
        <f>IFERROR(AVERAGE(V178:AE178),"")</f>
        <v/>
      </c>
      <c r="AH178" s="75">
        <f>IFERROR(AVERAGE(B178:K178),"")</f>
        <v/>
      </c>
      <c r="AI178" s="45" t="n">
        <v>0.799312591552734</v>
      </c>
      <c r="AJ178" s="47" t="n">
        <v>0.0654106140136719</v>
      </c>
    </row>
    <row r="179" ht="15" customHeight="1" s="30">
      <c r="A179" s="73" t="inlineStr">
        <is>
          <t>7604.jpg</t>
        </is>
      </c>
      <c r="B179" s="45" t="n"/>
      <c r="C179" s="45" t="n">
        <v>0.170641669086233</v>
      </c>
      <c r="D179" s="45" t="n">
        <v>0.107063572149344</v>
      </c>
      <c r="E179" s="45" t="n">
        <v>0.665792506059522</v>
      </c>
      <c r="F179" s="45" t="n">
        <v>0</v>
      </c>
      <c r="G179" s="45" t="n">
        <v>0.808591347139635</v>
      </c>
      <c r="H179" s="45" t="n">
        <v>0.787241665409564</v>
      </c>
      <c r="I179" s="45" t="n">
        <v>0.554227941176471</v>
      </c>
      <c r="J179" s="45" t="n">
        <v>0.475697710881154</v>
      </c>
      <c r="K179" s="45" t="n">
        <v>0.6554645740930291</v>
      </c>
      <c r="L179" s="45" t="n"/>
      <c r="M179" s="45" t="n">
        <v>0.173308619091752</v>
      </c>
      <c r="N179" s="45" t="n">
        <v>0.794161676646707</v>
      </c>
      <c r="O179" s="45" t="n">
        <v>0.684686893451834</v>
      </c>
      <c r="P179" s="45" t="n"/>
      <c r="Q179" s="45" t="n">
        <v>0.881426016987036</v>
      </c>
      <c r="R179" s="45" t="n">
        <v>0.8708412423604009</v>
      </c>
      <c r="S179" s="45" t="n">
        <v>0.689931350114417</v>
      </c>
      <c r="T179" s="45" t="n">
        <v>0.501321877065433</v>
      </c>
      <c r="U179" s="45" t="n">
        <v>0.889643529014519</v>
      </c>
      <c r="V179" s="45" t="n"/>
      <c r="W179" s="45" t="n">
        <v>0.917279821627648</v>
      </c>
      <c r="X179" s="45" t="n">
        <v>0.110119356512714</v>
      </c>
      <c r="Y179" s="45" t="n">
        <v>0.960201713417954</v>
      </c>
      <c r="Z179" s="45" t="n">
        <v>0</v>
      </c>
      <c r="AA179" s="45" t="n">
        <v>0.907281720924882</v>
      </c>
      <c r="AB179" s="45" t="n">
        <v>0.891310845431255</v>
      </c>
      <c r="AC179" s="45" t="n">
        <v>0.738066095471236</v>
      </c>
      <c r="AD179" s="45" t="n">
        <v>0.902976190476191</v>
      </c>
      <c r="AE179" s="45" t="n">
        <v>0.713475539462588</v>
      </c>
      <c r="AF179" s="75">
        <f>IFERROR(AVERAGE(L179:U179),"")</f>
        <v/>
      </c>
      <c r="AG179" s="75">
        <f>IFERROR(AVERAGE(V179:AE179),"")</f>
        <v/>
      </c>
      <c r="AH179" s="75">
        <f>IFERROR(AVERAGE(B179:K179),"")</f>
        <v/>
      </c>
      <c r="AI179" s="45" t="n">
        <v>0.700836181640625</v>
      </c>
      <c r="AJ179" s="47" t="n">
        <v>0.0852394104003906</v>
      </c>
    </row>
    <row r="180" ht="15" customHeight="1" s="30">
      <c r="A180" s="73" t="inlineStr">
        <is>
          <t>7605.jpg</t>
        </is>
      </c>
      <c r="B180" s="45" t="n"/>
      <c r="C180" s="45" t="n">
        <v>0</v>
      </c>
      <c r="D180" s="45" t="n">
        <v>0</v>
      </c>
      <c r="E180" s="45" t="n">
        <v>0.584420096205238</v>
      </c>
      <c r="F180" s="45" t="n"/>
      <c r="G180" s="45" t="n">
        <v>0.687797866707013</v>
      </c>
      <c r="H180" s="45" t="n">
        <v>0.704459807509828</v>
      </c>
      <c r="I180" s="45" t="n">
        <v>0.32969696969697</v>
      </c>
      <c r="J180" s="45" t="n">
        <v>0.485141903171953</v>
      </c>
      <c r="K180" s="45" t="n">
        <v>0.295388518966151</v>
      </c>
      <c r="L180" s="45" t="n"/>
      <c r="M180" s="45" t="n">
        <v>0</v>
      </c>
      <c r="N180" s="45" t="n"/>
      <c r="O180" s="45" t="n">
        <v>0.66487291742673</v>
      </c>
      <c r="P180" s="45" t="n"/>
      <c r="Q180" s="45" t="n">
        <v>0.743478616403631</v>
      </c>
      <c r="R180" s="45" t="n">
        <v>0.804769647696477</v>
      </c>
      <c r="S180" s="45" t="n">
        <v>0.493647912885663</v>
      </c>
      <c r="T180" s="45" t="n">
        <v>0.498114501199863</v>
      </c>
      <c r="U180" s="45" t="n">
        <v>0.939116945107399</v>
      </c>
      <c r="V180" s="45" t="n"/>
      <c r="W180" s="45" t="n"/>
      <c r="X180" s="45" t="n">
        <v>0</v>
      </c>
      <c r="Y180" s="45" t="n">
        <v>0.828465355911657</v>
      </c>
      <c r="Z180" s="45" t="n"/>
      <c r="AA180" s="45" t="n">
        <v>0.901805197381472</v>
      </c>
      <c r="AB180" s="45" t="n">
        <v>0.8496640125566109</v>
      </c>
      <c r="AC180" s="45" t="n">
        <v>0.498168498168498</v>
      </c>
      <c r="AD180" s="45" t="n">
        <v>0.949052906596996</v>
      </c>
      <c r="AE180" s="45" t="n">
        <v>0.301155671207715</v>
      </c>
      <c r="AF180" s="75">
        <f>IFERROR(AVERAGE(L180:U180),"")</f>
        <v/>
      </c>
      <c r="AG180" s="75">
        <f>IFERROR(AVERAGE(V180:AE180),"")</f>
        <v/>
      </c>
      <c r="AH180" s="75">
        <f>IFERROR(AVERAGE(B180:K180),"")</f>
        <v/>
      </c>
      <c r="AI180" s="45" t="n">
        <v>0.473033905029297</v>
      </c>
      <c r="AJ180" s="47" t="n">
        <v>0.291210174560547</v>
      </c>
    </row>
    <row r="181" ht="15" customHeight="1" s="30">
      <c r="A181" s="73" t="inlineStr">
        <is>
          <t>7611.jpg</t>
        </is>
      </c>
      <c r="B181" s="45" t="n">
        <v>0</v>
      </c>
      <c r="C181" s="45" t="n">
        <v>0.618013118798004</v>
      </c>
      <c r="D181" s="45" t="n">
        <v>0</v>
      </c>
      <c r="E181" s="45" t="n">
        <v>0.814819303880573</v>
      </c>
      <c r="F181" s="45" t="n"/>
      <c r="G181" s="45" t="n"/>
      <c r="H181" s="45" t="n">
        <v>0.839783825703415</v>
      </c>
      <c r="I181" s="45" t="n">
        <v>0.452078928823115</v>
      </c>
      <c r="J181" s="45" t="n">
        <v>0.706615001383892</v>
      </c>
      <c r="K181" s="45" t="n">
        <v>0.0588124219271998</v>
      </c>
      <c r="L181" s="45" t="n">
        <v>0</v>
      </c>
      <c r="M181" s="45" t="n">
        <v>0.931924336891049</v>
      </c>
      <c r="N181" s="45" t="n">
        <v>0</v>
      </c>
      <c r="O181" s="45" t="n">
        <v>0.897851975514747</v>
      </c>
      <c r="P181" s="45" t="n"/>
      <c r="Q181" s="45" t="n"/>
      <c r="R181" s="45" t="n">
        <v>0.9163801766541489</v>
      </c>
      <c r="S181" s="45" t="n">
        <v>0.7785194174757279</v>
      </c>
      <c r="T181" s="45" t="n">
        <v>0.786748844375963</v>
      </c>
      <c r="U181" s="45" t="n">
        <v>0.751484780994803</v>
      </c>
      <c r="V181" s="45" t="n"/>
      <c r="W181" s="45" t="n">
        <v>0.647232374829363</v>
      </c>
      <c r="X181" s="45" t="n"/>
      <c r="Y181" s="45" t="n">
        <v>0.8980718706862</v>
      </c>
      <c r="Z181" s="45" t="n"/>
      <c r="AA181" s="45" t="n"/>
      <c r="AB181" s="45" t="n">
        <v>0.909477441536968</v>
      </c>
      <c r="AC181" s="45" t="n">
        <v>0.518803073190457</v>
      </c>
      <c r="AD181" s="45" t="n">
        <v>0.874015748031496</v>
      </c>
      <c r="AE181" s="45" t="n">
        <v>0.0599789651443554</v>
      </c>
      <c r="AF181" s="75">
        <f>IFERROR(AVERAGE(L181:U181),"")</f>
        <v/>
      </c>
      <c r="AG181" s="75">
        <f>IFERROR(AVERAGE(V181:AE181),"")</f>
        <v/>
      </c>
      <c r="AH181" s="75">
        <f>IFERROR(AVERAGE(B181:K181),"")</f>
        <v/>
      </c>
      <c r="AI181" s="45" t="n">
        <v>0.616527557373047</v>
      </c>
      <c r="AJ181" s="47" t="n">
        <v>0.107978820800781</v>
      </c>
    </row>
    <row r="182" ht="15" customHeight="1" s="30">
      <c r="A182" s="73" t="inlineStr">
        <is>
          <t>7616.jpg</t>
        </is>
      </c>
      <c r="B182" s="45" t="n">
        <v>0</v>
      </c>
      <c r="C182" s="45" t="n">
        <v>0</v>
      </c>
      <c r="D182" s="45" t="n">
        <v>0.15897000565931</v>
      </c>
      <c r="E182" s="45" t="n">
        <v>0.598338128569588</v>
      </c>
      <c r="F182" s="45" t="n"/>
      <c r="G182" s="45" t="n">
        <v>0</v>
      </c>
      <c r="H182" s="45" t="n">
        <v>0.738138686131387</v>
      </c>
      <c r="I182" s="45" t="n">
        <v>0.386536944517486</v>
      </c>
      <c r="J182" s="45" t="n">
        <v>0</v>
      </c>
      <c r="K182" s="45" t="n">
        <v>0.197770766372777</v>
      </c>
      <c r="L182" s="45" t="n">
        <v>0</v>
      </c>
      <c r="M182" s="45" t="n">
        <v>0</v>
      </c>
      <c r="N182" s="45" t="n">
        <v>0.826601927462665</v>
      </c>
      <c r="O182" s="45" t="n">
        <v>0.823419909582484</v>
      </c>
      <c r="P182" s="45" t="n"/>
      <c r="Q182" s="45" t="n">
        <v>0</v>
      </c>
      <c r="R182" s="45" t="n">
        <v>0.911449102125496</v>
      </c>
      <c r="S182" s="45" t="n">
        <v>0.474959612277868</v>
      </c>
      <c r="T182" s="45" t="n">
        <v>0</v>
      </c>
      <c r="U182" s="45" t="n">
        <v>0.984730582880634</v>
      </c>
      <c r="V182" s="45" t="n"/>
      <c r="W182" s="45" t="n"/>
      <c r="X182" s="45" t="n">
        <v>0.164454136967054</v>
      </c>
      <c r="Y182" s="45" t="n">
        <v>0.6864131237992021</v>
      </c>
      <c r="Z182" s="45" t="n"/>
      <c r="AA182" s="45" t="n"/>
      <c r="AB182" s="45" t="n">
        <v>0.795162237644887</v>
      </c>
      <c r="AC182" s="45" t="n">
        <v>0.674931129476584</v>
      </c>
      <c r="AD182" s="45" t="n"/>
      <c r="AE182" s="45" t="n">
        <v>0.198379129817504</v>
      </c>
      <c r="AF182" s="75">
        <f>IFERROR(AVERAGE(L182:U182),"")</f>
        <v/>
      </c>
      <c r="AG182" s="75">
        <f>IFERROR(AVERAGE(V182:AE182),"")</f>
        <v/>
      </c>
      <c r="AH182" s="75">
        <f>IFERROR(AVERAGE(B182:K182),"")</f>
        <v/>
      </c>
      <c r="AI182" s="45" t="n">
        <v>0.459003448486328</v>
      </c>
      <c r="AJ182" s="47" t="n">
        <v>0.228885650634766</v>
      </c>
    </row>
    <row r="183" ht="15" customHeight="1" s="30">
      <c r="A183" s="73" t="inlineStr">
        <is>
          <t>7644.jpg</t>
        </is>
      </c>
      <c r="B183" s="45" t="n"/>
      <c r="C183" s="45" t="n"/>
      <c r="D183" s="45" t="n">
        <v>0.974405319045928</v>
      </c>
      <c r="E183" s="45" t="n"/>
      <c r="F183" s="45" t="n">
        <v>0.8898410651023489</v>
      </c>
      <c r="G183" s="45" t="n"/>
      <c r="H183" s="45" t="n">
        <v>0.752329775131315</v>
      </c>
      <c r="I183" s="45" t="n">
        <v>0.721302998965874</v>
      </c>
      <c r="J183" s="45" t="n"/>
      <c r="K183" s="45" t="n">
        <v>0.627763859230239</v>
      </c>
      <c r="L183" s="45" t="n"/>
      <c r="M183" s="45" t="n"/>
      <c r="N183" s="45" t="n">
        <v>0.982811380949281</v>
      </c>
      <c r="O183" s="45" t="n"/>
      <c r="P183" s="45" t="n">
        <v>0.977086647782391</v>
      </c>
      <c r="Q183" s="45" t="n"/>
      <c r="R183" s="45" t="n">
        <v>0.799387875826239</v>
      </c>
      <c r="S183" s="45" t="n">
        <v>0.731132075471698</v>
      </c>
      <c r="T183" s="45" t="n"/>
      <c r="U183" s="45" t="n">
        <v>0.9031860076928661</v>
      </c>
      <c r="V183" s="45" t="n"/>
      <c r="W183" s="45" t="n"/>
      <c r="X183" s="45" t="n">
        <v>0.991298637333771</v>
      </c>
      <c r="Y183" s="45" t="n"/>
      <c r="Z183" s="45" t="n">
        <v>0.908805457055464</v>
      </c>
      <c r="AA183" s="45" t="n"/>
      <c r="AB183" s="45" t="n">
        <v>0.9274311461224</v>
      </c>
      <c r="AC183" s="45" t="n">
        <v>0.981703026038001</v>
      </c>
      <c r="AD183" s="45" t="n"/>
      <c r="AE183" s="45" t="n">
        <v>0.673054388779723</v>
      </c>
      <c r="AF183" s="75">
        <f>IFERROR(AVERAGE(L183:U183),"")</f>
        <v/>
      </c>
      <c r="AG183" s="75">
        <f>IFERROR(AVERAGE(V183:AE183),"")</f>
        <v/>
      </c>
      <c r="AH183" s="75">
        <f>IFERROR(AVERAGE(B183:K183),"")</f>
        <v/>
      </c>
      <c r="AI183" s="45" t="n">
        <v>0.880863189697266</v>
      </c>
      <c r="AJ183" s="47" t="n">
        <v>0.0591201782226563</v>
      </c>
    </row>
    <row r="184" ht="15" customHeight="1" s="30">
      <c r="A184" s="73" t="inlineStr">
        <is>
          <t>7647.jpg</t>
        </is>
      </c>
      <c r="B184" s="45" t="n"/>
      <c r="C184" s="45" t="n"/>
      <c r="D184" s="45" t="n">
        <v>0.9465041654740201</v>
      </c>
      <c r="E184" s="45" t="n"/>
      <c r="F184" s="45" t="n">
        <v>0.7969958999365</v>
      </c>
      <c r="G184" s="45" t="n"/>
      <c r="H184" s="45" t="n">
        <v>0.655320186746568</v>
      </c>
      <c r="I184" s="45" t="n">
        <v>0.878927911275416</v>
      </c>
      <c r="J184" s="45" t="n"/>
      <c r="K184" s="45" t="n">
        <v>0.678698696924032</v>
      </c>
      <c r="L184" s="45" t="n"/>
      <c r="M184" s="45" t="n"/>
      <c r="N184" s="45" t="n">
        <v>0.96347186014415</v>
      </c>
      <c r="O184" s="45" t="n"/>
      <c r="P184" s="45" t="n">
        <v>0.965002705242475</v>
      </c>
      <c r="Q184" s="45" t="n"/>
      <c r="R184" s="45" t="n">
        <v>0.786460946646596</v>
      </c>
      <c r="S184" s="45" t="n">
        <v>0.959152798789713</v>
      </c>
      <c r="T184" s="45" t="n"/>
      <c r="U184" s="45" t="n">
        <v>0.830592319375136</v>
      </c>
      <c r="V184" s="45" t="n"/>
      <c r="W184" s="45" t="n"/>
      <c r="X184" s="45" t="n">
        <v>0.981733518758692</v>
      </c>
      <c r="Y184" s="45" t="n"/>
      <c r="Z184" s="45" t="n">
        <v>0.820718160681994</v>
      </c>
      <c r="AA184" s="45" t="n"/>
      <c r="AB184" s="45" t="n">
        <v>0.797160415342234</v>
      </c>
      <c r="AC184" s="45" t="n">
        <v>0.913106096975516</v>
      </c>
      <c r="AD184" s="45" t="n"/>
      <c r="AE184" s="45" t="n">
        <v>0.787744099430006</v>
      </c>
      <c r="AF184" s="75">
        <f>IFERROR(AVERAGE(L184:U184),"")</f>
        <v/>
      </c>
      <c r="AG184" s="75">
        <f>IFERROR(AVERAGE(V184:AE184),"")</f>
        <v/>
      </c>
      <c r="AH184" s="75">
        <f>IFERROR(AVERAGE(B184:K184),"")</f>
        <v/>
      </c>
      <c r="AI184" s="45" t="n">
        <v>0.852527618408203</v>
      </c>
      <c r="AJ184" s="47" t="n">
        <v>0.07474517822265631</v>
      </c>
    </row>
    <row r="185" ht="15" customHeight="1" s="30">
      <c r="A185" s="73" t="inlineStr">
        <is>
          <t>7651.jpg</t>
        </is>
      </c>
      <c r="B185" s="45" t="n"/>
      <c r="C185" s="45" t="n"/>
      <c r="D185" s="45" t="n">
        <v>0.948985410825453</v>
      </c>
      <c r="E185" s="45" t="n"/>
      <c r="F185" s="45" t="n">
        <v>0.757345491388045</v>
      </c>
      <c r="G185" s="45" t="n"/>
      <c r="H185" s="45" t="n">
        <v>0.251035557560596</v>
      </c>
      <c r="I185" s="45" t="n">
        <v>0</v>
      </c>
      <c r="J185" s="45" t="n"/>
      <c r="K185" s="45" t="n">
        <v>0.673579469736391</v>
      </c>
      <c r="L185" s="45" t="n"/>
      <c r="M185" s="45" t="n"/>
      <c r="N185" s="45" t="n">
        <v>0.978297611757502</v>
      </c>
      <c r="O185" s="45" t="n"/>
      <c r="P185" s="45" t="n">
        <v>0.902448533018097</v>
      </c>
      <c r="Q185" s="45" t="n"/>
      <c r="R185" s="45" t="n">
        <v>0.909509658246657</v>
      </c>
      <c r="S185" s="45" t="n">
        <v>0</v>
      </c>
      <c r="T185" s="45" t="n"/>
      <c r="U185" s="45" t="n">
        <v>0.843912988169444</v>
      </c>
      <c r="V185" s="45" t="n"/>
      <c r="W185" s="45" t="n"/>
      <c r="X185" s="45" t="n">
        <v>0.969393203883495</v>
      </c>
      <c r="Y185" s="45" t="n"/>
      <c r="Z185" s="45" t="n">
        <v>0.824874992815679</v>
      </c>
      <c r="AA185" s="45" t="n"/>
      <c r="AB185" s="45" t="n">
        <v>0.257466139480104</v>
      </c>
      <c r="AC185" s="45" t="n"/>
      <c r="AD185" s="45" t="n"/>
      <c r="AE185" s="45" t="n">
        <v>0.7694382022471909</v>
      </c>
      <c r="AF185" s="75">
        <f>IFERROR(AVERAGE(L185:U185),"")</f>
        <v/>
      </c>
      <c r="AG185" s="75">
        <f>IFERROR(AVERAGE(V185:AE185),"")</f>
        <v/>
      </c>
      <c r="AH185" s="75">
        <f>IFERROR(AVERAGE(B185:K185),"")</f>
        <v/>
      </c>
      <c r="AI185" s="45" t="n">
        <v>0.804256439208984</v>
      </c>
      <c r="AJ185" s="47" t="n">
        <v>0.112834930419922</v>
      </c>
    </row>
    <row r="186" ht="15" customHeight="1" s="30">
      <c r="A186" s="73" t="inlineStr">
        <is>
          <t>7652.jpg</t>
        </is>
      </c>
      <c r="B186" s="45" t="n"/>
      <c r="C186" s="45" t="n"/>
      <c r="D186" s="45" t="n">
        <v>0.931598876267253</v>
      </c>
      <c r="E186" s="45" t="n"/>
      <c r="F186" s="45" t="n">
        <v>0.821435934439749</v>
      </c>
      <c r="G186" s="45" t="n"/>
      <c r="H186" s="45" t="n">
        <v>0.9066902185913009</v>
      </c>
      <c r="I186" s="45" t="n"/>
      <c r="J186" s="45" t="n"/>
      <c r="K186" s="45" t="n">
        <v>0.764436234263821</v>
      </c>
      <c r="L186" s="45" t="n"/>
      <c r="M186" s="45" t="n"/>
      <c r="N186" s="45" t="n">
        <v>0.943309459292324</v>
      </c>
      <c r="O186" s="45" t="n"/>
      <c r="P186" s="45" t="n">
        <v>0.886598798397864</v>
      </c>
      <c r="Q186" s="45" t="n"/>
      <c r="R186" s="45" t="n">
        <v>0.922579195686363</v>
      </c>
      <c r="S186" s="45" t="n"/>
      <c r="T186" s="45" t="n"/>
      <c r="U186" s="45" t="n">
        <v>0.986128477074477</v>
      </c>
      <c r="V186" s="45" t="n"/>
      <c r="W186" s="45" t="n"/>
      <c r="X186" s="45" t="n">
        <v>0.9868493795212609</v>
      </c>
      <c r="Y186" s="45" t="n"/>
      <c r="Z186" s="45" t="n">
        <v>0.9178737005788</v>
      </c>
      <c r="AA186" s="45" t="n"/>
      <c r="AB186" s="45" t="n">
        <v>0.9813593346716381</v>
      </c>
      <c r="AC186" s="45" t="n"/>
      <c r="AD186" s="45" t="n"/>
      <c r="AE186" s="45" t="n">
        <v>0.7727456111027859</v>
      </c>
      <c r="AF186" s="75">
        <f>IFERROR(AVERAGE(L186:U186),"")</f>
        <v/>
      </c>
      <c r="AG186" s="75">
        <f>IFERROR(AVERAGE(V186:AE186),"")</f>
        <v/>
      </c>
      <c r="AH186" s="75">
        <f>IFERROR(AVERAGE(B186:K186),"")</f>
        <v/>
      </c>
      <c r="AI186" s="45" t="n">
        <v>0.897281646728516</v>
      </c>
      <c r="AJ186" s="47" t="n">
        <v>0.0422096252441406</v>
      </c>
    </row>
    <row r="187" ht="15" customHeight="1" s="30">
      <c r="A187" s="73" t="inlineStr">
        <is>
          <t>7658.jpg</t>
        </is>
      </c>
      <c r="B187" s="45" t="n">
        <v>0.380070546737213</v>
      </c>
      <c r="C187" s="45" t="n"/>
      <c r="D187" s="45" t="n"/>
      <c r="E187" s="45" t="n"/>
      <c r="F187" s="45" t="n">
        <v>0.897477394163584</v>
      </c>
      <c r="G187" s="45" t="n">
        <v>0</v>
      </c>
      <c r="H187" s="45" t="n">
        <v>0.90754211785892</v>
      </c>
      <c r="I187" s="45" t="n">
        <v>0.207387862796834</v>
      </c>
      <c r="J187" s="45" t="n"/>
      <c r="K187" s="45" t="n">
        <v>0.929444120070501</v>
      </c>
      <c r="L187" s="45" t="n">
        <v>0.940021810250818</v>
      </c>
      <c r="M187" s="45" t="n"/>
      <c r="N187" s="45" t="n"/>
      <c r="O187" s="45" t="n"/>
      <c r="P187" s="45" t="n">
        <v>0.9570207637100751</v>
      </c>
      <c r="Q187" s="45" t="n">
        <v>0</v>
      </c>
      <c r="R187" s="45" t="n">
        <v>0.949360499702558</v>
      </c>
      <c r="S187" s="45" t="n">
        <v>0.213935764833968</v>
      </c>
      <c r="T187" s="45" t="n"/>
      <c r="U187" s="45" t="n">
        <v>0.992437087404662</v>
      </c>
      <c r="V187" s="45" t="n">
        <v>0.389516493447808</v>
      </c>
      <c r="W187" s="45" t="n"/>
      <c r="X187" s="45" t="n"/>
      <c r="Y187" s="45" t="n"/>
      <c r="Z187" s="45" t="n">
        <v>0.935169570919993</v>
      </c>
      <c r="AA187" s="45" t="n"/>
      <c r="AB187" s="45" t="n">
        <v>0.95371015936255</v>
      </c>
      <c r="AC187" s="45" t="n">
        <v>0.87139689578714</v>
      </c>
      <c r="AD187" s="45" t="n"/>
      <c r="AE187" s="45" t="n">
        <v>0.936074213705135</v>
      </c>
      <c r="AF187" s="75">
        <f>IFERROR(AVERAGE(L187:U187),"")</f>
        <v/>
      </c>
      <c r="AG187" s="75">
        <f>IFERROR(AVERAGE(V187:AE187),"")</f>
        <v/>
      </c>
      <c r="AH187" s="75">
        <f>IFERROR(AVERAGE(B187:K187),"")</f>
        <v/>
      </c>
      <c r="AI187" s="45" t="n">
        <v>0.933921813964844</v>
      </c>
      <c r="AJ187" s="47" t="n">
        <v>0.0205345153808594</v>
      </c>
    </row>
    <row r="188" ht="15" customHeight="1" s="30">
      <c r="A188" s="73" t="inlineStr">
        <is>
          <t>7666.jpg</t>
        </is>
      </c>
      <c r="B188" s="45" t="n"/>
      <c r="C188" s="45" t="n"/>
      <c r="D188" s="45" t="n"/>
      <c r="E188" s="45" t="n"/>
      <c r="F188" s="45" t="n"/>
      <c r="G188" s="45" t="n">
        <v>0.941289140572951</v>
      </c>
      <c r="H188" s="45" t="n">
        <v>0.923913043478261</v>
      </c>
      <c r="I188" s="45" t="n"/>
      <c r="J188" s="45" t="n"/>
      <c r="K188" s="45" t="n">
        <v>0.970368867266185</v>
      </c>
      <c r="L188" s="45" t="n"/>
      <c r="M188" s="45" t="n"/>
      <c r="N188" s="45" t="n"/>
      <c r="O188" s="45" t="n"/>
      <c r="P188" s="45" t="n"/>
      <c r="Q188" s="45" t="n">
        <v>0.976872418024994</v>
      </c>
      <c r="R188" s="45" t="n">
        <v>0.9901164842922699</v>
      </c>
      <c r="S188" s="45" t="n"/>
      <c r="T188" s="45" t="n"/>
      <c r="U188" s="45" t="n">
        <v>0.991820154693673</v>
      </c>
      <c r="V188" s="45" t="n"/>
      <c r="W188" s="45" t="n"/>
      <c r="X188" s="45" t="n"/>
      <c r="Y188" s="45" t="n"/>
      <c r="Z188" s="45" t="n"/>
      <c r="AA188" s="45" t="n">
        <v>0.9627440291642529</v>
      </c>
      <c r="AB188" s="45" t="n">
        <v>0.9325132978723401</v>
      </c>
      <c r="AC188" s="45" t="n"/>
      <c r="AD188" s="45" t="n"/>
      <c r="AE188" s="45" t="n">
        <v>0.978197311833322</v>
      </c>
      <c r="AF188" s="75">
        <f>IFERROR(AVERAGE(L188:U188),"")</f>
        <v/>
      </c>
      <c r="AG188" s="75">
        <f>IFERROR(AVERAGE(V188:AE188),"")</f>
        <v/>
      </c>
      <c r="AH188" s="75">
        <f>IFERROR(AVERAGE(B188:K188),"")</f>
        <v/>
      </c>
      <c r="AI188" s="45" t="n">
        <v>0.974212646484375</v>
      </c>
      <c r="AJ188" s="47" t="n">
        <v>0.0144081115722656</v>
      </c>
    </row>
    <row r="189" ht="15" customHeight="1" s="30">
      <c r="A189" s="73" t="inlineStr">
        <is>
          <t>7684.jpg</t>
        </is>
      </c>
      <c r="B189" s="45" t="n">
        <v>0</v>
      </c>
      <c r="C189" s="45" t="n"/>
      <c r="D189" s="45" t="n">
        <v>0.850127243066884</v>
      </c>
      <c r="E189" s="45" t="n"/>
      <c r="F189" s="45" t="n">
        <v>0.8677747325612239</v>
      </c>
      <c r="G189" s="45" t="n">
        <v>0.961867721674602</v>
      </c>
      <c r="H189" s="45" t="n">
        <v>0.684300195928103</v>
      </c>
      <c r="I189" s="45" t="n">
        <v>0.889763779527559</v>
      </c>
      <c r="J189" s="45" t="n"/>
      <c r="K189" s="45" t="n">
        <v>0.795880051466534</v>
      </c>
      <c r="L189" s="45" t="n"/>
      <c r="M189" s="45" t="n"/>
      <c r="N189" s="45" t="n">
        <v>0.982919137506979</v>
      </c>
      <c r="O189" s="45" t="n"/>
      <c r="P189" s="45" t="n">
        <v>0.930034679451951</v>
      </c>
      <c r="Q189" s="45" t="n">
        <v>0.994017370414857</v>
      </c>
      <c r="R189" s="45" t="n">
        <v>0.706104689491496</v>
      </c>
      <c r="S189" s="45" t="n">
        <v>0.952782462057336</v>
      </c>
      <c r="T189" s="45" t="n"/>
      <c r="U189" s="45" t="n">
        <v>0.8954326567993151</v>
      </c>
      <c r="V189" s="45" t="n">
        <v>0</v>
      </c>
      <c r="W189" s="45" t="n"/>
      <c r="X189" s="45" t="n">
        <v>0.862874703614905</v>
      </c>
      <c r="Y189" s="45" t="n"/>
      <c r="Z189" s="45" t="n">
        <v>0.9283809091425</v>
      </c>
      <c r="AA189" s="45" t="n">
        <v>0.967468525179856</v>
      </c>
      <c r="AB189" s="45" t="n">
        <v>0.956822107081174</v>
      </c>
      <c r="AC189" s="45" t="n">
        <v>0.930807248764415</v>
      </c>
      <c r="AD189" s="45" t="n"/>
      <c r="AE189" s="45" t="n">
        <v>0.8774299072184349</v>
      </c>
      <c r="AF189" s="75">
        <f>IFERROR(AVERAGE(L189:U189),"")</f>
        <v/>
      </c>
      <c r="AG189" s="75">
        <f>IFERROR(AVERAGE(V189:AE189),"")</f>
        <v/>
      </c>
      <c r="AH189" s="75">
        <f>IFERROR(AVERAGE(B189:K189),"")</f>
        <v/>
      </c>
      <c r="AI189" s="45" t="n">
        <v>0.896705627441406</v>
      </c>
      <c r="AJ189" s="47" t="n">
        <v>0.0311775207519531</v>
      </c>
    </row>
    <row r="190" ht="15" customHeight="1" s="30">
      <c r="A190" s="73" t="inlineStr">
        <is>
          <t>7689.jpg</t>
        </is>
      </c>
      <c r="B190" s="45" t="n"/>
      <c r="C190" s="45" t="n"/>
      <c r="D190" s="45" t="n">
        <v>0.959641751437417</v>
      </c>
      <c r="E190" s="45" t="n"/>
      <c r="F190" s="45" t="n">
        <v>0.814823137659472</v>
      </c>
      <c r="G190" s="45" t="n"/>
      <c r="H190" s="45" t="n">
        <v>0.534944465895928</v>
      </c>
      <c r="I190" s="45" t="n">
        <v>0</v>
      </c>
      <c r="J190" s="45" t="n"/>
      <c r="K190" s="45" t="n">
        <v>0.784237563085797</v>
      </c>
      <c r="L190" s="45" t="n"/>
      <c r="M190" s="45" t="n"/>
      <c r="N190" s="45" t="n">
        <v>0.9841251842612539</v>
      </c>
      <c r="O190" s="45" t="n"/>
      <c r="P190" s="45" t="n">
        <v>0.969801595020424</v>
      </c>
      <c r="Q190" s="45" t="n"/>
      <c r="R190" s="45" t="n">
        <v>0.689118412967785</v>
      </c>
      <c r="S190" s="45" t="n">
        <v>0</v>
      </c>
      <c r="T190" s="45" t="n"/>
      <c r="U190" s="45" t="n">
        <v>0.867846813603271</v>
      </c>
      <c r="V190" s="45" t="n"/>
      <c r="W190" s="45" t="n"/>
      <c r="X190" s="45" t="n">
        <v>0.974730458221024</v>
      </c>
      <c r="Y190" s="45" t="n"/>
      <c r="Z190" s="45" t="n">
        <v>0.836035507299538</v>
      </c>
      <c r="AA190" s="45" t="n"/>
      <c r="AB190" s="45" t="n">
        <v>0.7051074785940959</v>
      </c>
      <c r="AC190" s="45" t="n"/>
      <c r="AD190" s="45" t="n"/>
      <c r="AE190" s="45" t="n">
        <v>0.890593497016652</v>
      </c>
      <c r="AF190" s="75">
        <f>IFERROR(AVERAGE(L190:U190),"")</f>
        <v/>
      </c>
      <c r="AG190" s="75">
        <f>IFERROR(AVERAGE(V190:AE190),"")</f>
        <v/>
      </c>
      <c r="AH190" s="75">
        <f>IFERROR(AVERAGE(B190:K190),"")</f>
        <v/>
      </c>
      <c r="AI190" s="45" t="n">
        <v>0.858531951904297</v>
      </c>
      <c r="AJ190" s="47" t="n">
        <v>0.0366172790527344</v>
      </c>
    </row>
    <row r="191" ht="15" customHeight="1" s="30">
      <c r="A191" s="73" t="inlineStr">
        <is>
          <t>7690.jpg</t>
        </is>
      </c>
      <c r="B191" s="45" t="n"/>
      <c r="C191" s="45" t="n"/>
      <c r="D191" s="45" t="n">
        <v>0.975378045060357</v>
      </c>
      <c r="E191" s="45" t="n"/>
      <c r="F191" s="45" t="n">
        <v>0.86290758421906</v>
      </c>
      <c r="G191" s="45" t="n">
        <v>0.9756227520980419</v>
      </c>
      <c r="H191" s="45" t="n">
        <v>0.727921498661909</v>
      </c>
      <c r="I191" s="45" t="n">
        <v>0.903328050713154</v>
      </c>
      <c r="J191" s="45" t="n"/>
      <c r="K191" s="45" t="n">
        <v>0.814710429301938</v>
      </c>
      <c r="L191" s="45" t="n"/>
      <c r="M191" s="45" t="n"/>
      <c r="N191" s="45" t="n">
        <v>0.990003538570418</v>
      </c>
      <c r="O191" s="45" t="n"/>
      <c r="P191" s="45" t="n">
        <v>0.98856961422448</v>
      </c>
      <c r="Q191" s="45" t="n">
        <v>0.986729538565173</v>
      </c>
      <c r="R191" s="45" t="n">
        <v>0.8917301860503239</v>
      </c>
      <c r="S191" s="45" t="n">
        <v>0.943708609271523</v>
      </c>
      <c r="T191" s="45" t="n"/>
      <c r="U191" s="45" t="n">
        <v>0.873304609422802</v>
      </c>
      <c r="V191" s="45" t="n"/>
      <c r="W191" s="45" t="n"/>
      <c r="X191" s="45" t="n">
        <v>0.985079882047445</v>
      </c>
      <c r="Y191" s="45" t="n"/>
      <c r="Z191" s="45" t="n">
        <v>0.871603936004927</v>
      </c>
      <c r="AA191" s="45" t="n">
        <v>0.988594182358102</v>
      </c>
      <c r="AB191" s="45" t="n">
        <v>0.7984930400958981</v>
      </c>
      <c r="AC191" s="45" t="n">
        <v>0.954773869346734</v>
      </c>
      <c r="AD191" s="45" t="n"/>
      <c r="AE191" s="45" t="n">
        <v>0.923912017369961</v>
      </c>
      <c r="AF191" s="75">
        <f>IFERROR(AVERAGE(L191:U191),"")</f>
        <v/>
      </c>
      <c r="AG191" s="75">
        <f>IFERROR(AVERAGE(V191:AE191),"")</f>
        <v/>
      </c>
      <c r="AH191" s="75">
        <f>IFERROR(AVERAGE(B191:K191),"")</f>
        <v/>
      </c>
      <c r="AI191" s="45" t="n">
        <v>0.908084869384766</v>
      </c>
      <c r="AJ191" s="47" t="n">
        <v>0.0327796936035156</v>
      </c>
    </row>
    <row r="192" ht="15" customHeight="1" s="30">
      <c r="A192" s="73" t="inlineStr">
        <is>
          <t>7698.jpg</t>
        </is>
      </c>
      <c r="B192" s="45" t="n">
        <v>0</v>
      </c>
      <c r="C192" s="45" t="n"/>
      <c r="D192" s="45" t="n">
        <v>0.90878314839195</v>
      </c>
      <c r="E192" s="45" t="n"/>
      <c r="F192" s="45" t="n">
        <v>0.912683519152224</v>
      </c>
      <c r="G192" s="45" t="n">
        <v>0.986852879280658</v>
      </c>
      <c r="H192" s="45" t="n">
        <v>0</v>
      </c>
      <c r="I192" s="45" t="n"/>
      <c r="J192" s="45" t="n"/>
      <c r="K192" s="45" t="n">
        <v>0.890949953039045</v>
      </c>
      <c r="L192" s="45" t="n">
        <v>0</v>
      </c>
      <c r="M192" s="45" t="n"/>
      <c r="N192" s="45" t="n">
        <v>0.94251400228495</v>
      </c>
      <c r="O192" s="45" t="n"/>
      <c r="P192" s="45" t="n">
        <v>0.913793103448276</v>
      </c>
      <c r="Q192" s="45" t="n">
        <v>1</v>
      </c>
      <c r="R192" s="45" t="n">
        <v>0</v>
      </c>
      <c r="S192" s="45" t="n"/>
      <c r="T192" s="45" t="n"/>
      <c r="U192" s="45" t="n">
        <v>0.982709502374052</v>
      </c>
      <c r="V192" s="45" t="n"/>
      <c r="W192" s="45" t="n"/>
      <c r="X192" s="45" t="n">
        <v>0.962111730572306</v>
      </c>
      <c r="Y192" s="45" t="n"/>
      <c r="Z192" s="45" t="n">
        <v>0.998671337118009</v>
      </c>
      <c r="AA192" s="45" t="n">
        <v>0.986852879280658</v>
      </c>
      <c r="AB192" s="45" t="n"/>
      <c r="AC192" s="45" t="n"/>
      <c r="AD192" s="45" t="n"/>
      <c r="AE192" s="45" t="n">
        <v>0.905138923597701</v>
      </c>
      <c r="AF192" s="75">
        <f>IFERROR(AVERAGE(L192:U192),"")</f>
        <v/>
      </c>
      <c r="AG192" s="75">
        <f>IFERROR(AVERAGE(V192:AE192),"")</f>
        <v/>
      </c>
      <c r="AH192" s="75">
        <f>IFERROR(AVERAGE(B192:K192),"")</f>
        <v/>
      </c>
      <c r="AI192" s="45" t="n">
        <v>0.9564666748046881</v>
      </c>
      <c r="AJ192" s="47" t="n">
        <v>0.0152854919433594</v>
      </c>
    </row>
    <row r="193" ht="15" customHeight="1" s="30">
      <c r="A193" s="73" t="inlineStr">
        <is>
          <t>7708.jpg</t>
        </is>
      </c>
      <c r="B193" s="45" t="n">
        <v>0.244083526682135</v>
      </c>
      <c r="C193" s="45" t="n"/>
      <c r="D193" s="45" t="n"/>
      <c r="E193" s="45" t="n"/>
      <c r="F193" s="45" t="n"/>
      <c r="G193" s="45" t="n">
        <v>0.975831841874927</v>
      </c>
      <c r="H193" s="45" t="n"/>
      <c r="I193" s="45" t="n">
        <v>0</v>
      </c>
      <c r="J193" s="45" t="n"/>
      <c r="K193" s="45" t="n">
        <v>0.953745804915016</v>
      </c>
      <c r="L193" s="45" t="n">
        <v>0.4</v>
      </c>
      <c r="M193" s="45" t="n"/>
      <c r="N193" s="45" t="n"/>
      <c r="O193" s="45" t="n"/>
      <c r="P193" s="45" t="n"/>
      <c r="Q193" s="45" t="n">
        <v>1</v>
      </c>
      <c r="R193" s="45" t="n"/>
      <c r="S193" s="45" t="n">
        <v>0</v>
      </c>
      <c r="T193" s="45" t="n"/>
      <c r="U193" s="45" t="n">
        <v>0.970976422935974</v>
      </c>
      <c r="V193" s="45" t="n">
        <v>0.38506588579795</v>
      </c>
      <c r="W193" s="45" t="n"/>
      <c r="X193" s="45" t="n"/>
      <c r="Y193" s="45" t="n"/>
      <c r="Z193" s="45" t="n"/>
      <c r="AA193" s="45" t="n">
        <v>0.975831841874927</v>
      </c>
      <c r="AB193" s="45" t="n"/>
      <c r="AC193" s="45" t="n"/>
      <c r="AD193" s="45" t="n"/>
      <c r="AE193" s="45" t="n">
        <v>0.981733590877011</v>
      </c>
      <c r="AF193" s="75">
        <f>IFERROR(AVERAGE(L193:U193),"")</f>
        <v/>
      </c>
      <c r="AG193" s="75">
        <f>IFERROR(AVERAGE(V193:AE193),"")</f>
        <v/>
      </c>
      <c r="AH193" s="75">
        <f>IFERROR(AVERAGE(B193:K193),"")</f>
        <v/>
      </c>
      <c r="AI193" s="45" t="n">
        <v>0.975177764892578</v>
      </c>
      <c r="AJ193" s="47" t="n">
        <v>0.00291824340820313</v>
      </c>
    </row>
    <row r="194" ht="15" customHeight="1" s="30">
      <c r="A194" s="73" t="inlineStr">
        <is>
          <t>7723.jpg</t>
        </is>
      </c>
      <c r="B194" s="45" t="n"/>
      <c r="C194" s="45" t="n"/>
      <c r="D194" s="45" t="n">
        <v>0.906102229227651</v>
      </c>
      <c r="E194" s="45" t="n"/>
      <c r="F194" s="45" t="n"/>
      <c r="G194" s="45" t="n">
        <v>0.925357366162869</v>
      </c>
      <c r="H194" s="45" t="n">
        <v>0.539415053066515</v>
      </c>
      <c r="I194" s="45" t="n"/>
      <c r="J194" s="45" t="n">
        <v>0.653179190751445</v>
      </c>
      <c r="K194" s="45" t="n">
        <v>0.923930250115682</v>
      </c>
      <c r="L194" s="45" t="n"/>
      <c r="M194" s="45" t="n"/>
      <c r="N194" s="45" t="n">
        <v>0.925908881730327</v>
      </c>
      <c r="O194" s="45" t="n"/>
      <c r="P194" s="45" t="n"/>
      <c r="Q194" s="45" t="n">
        <v>0.973639436491913</v>
      </c>
      <c r="R194" s="45" t="n">
        <v>0.7453263181462</v>
      </c>
      <c r="S194" s="45" t="n"/>
      <c r="T194" s="45" t="n">
        <v>0.784722222222222</v>
      </c>
      <c r="U194" s="45" t="n">
        <v>0.956707036446283</v>
      </c>
      <c r="V194" s="45" t="n"/>
      <c r="W194" s="45" t="n"/>
      <c r="X194" s="45" t="n">
        <v>0.9769361495508621</v>
      </c>
      <c r="Y194" s="45" t="n"/>
      <c r="Z194" s="45" t="n"/>
      <c r="AA194" s="45" t="n">
        <v>0.949136424954112</v>
      </c>
      <c r="AB194" s="45" t="n">
        <v>0.661303138657132</v>
      </c>
      <c r="AC194" s="45" t="n"/>
      <c r="AD194" s="45" t="n">
        <v>0.795774647887324</v>
      </c>
      <c r="AE194" s="45" t="n">
        <v>0.964245092993258</v>
      </c>
      <c r="AF194" s="75">
        <f>IFERROR(AVERAGE(L194:U194),"")</f>
        <v/>
      </c>
      <c r="AG194" s="75">
        <f>IFERROR(AVERAGE(V194:AE194),"")</f>
        <v/>
      </c>
      <c r="AH194" s="75">
        <f>IFERROR(AVERAGE(B194:K194),"")</f>
        <v/>
      </c>
      <c r="AI194" s="45" t="n">
        <v>0.947505950927734</v>
      </c>
      <c r="AJ194" s="47" t="n">
        <v>0.00740814208984375</v>
      </c>
    </row>
    <row r="195" ht="15" customHeight="1" s="30">
      <c r="A195" s="73" t="inlineStr">
        <is>
          <t>7730.jpg</t>
        </is>
      </c>
      <c r="B195" s="45" t="n">
        <v>0.786416896370525</v>
      </c>
      <c r="C195" s="45" t="n"/>
      <c r="D195" s="45" t="n"/>
      <c r="E195" s="45" t="n"/>
      <c r="F195" s="45" t="n"/>
      <c r="G195" s="45" t="n">
        <v>0</v>
      </c>
      <c r="H195" s="45" t="n"/>
      <c r="I195" s="45" t="n"/>
      <c r="J195" s="45" t="n"/>
      <c r="K195" s="45" t="n">
        <v>0.973493882457875</v>
      </c>
      <c r="L195" s="45" t="n">
        <v>0.998291418473745</v>
      </c>
      <c r="M195" s="45" t="n"/>
      <c r="N195" s="45" t="n"/>
      <c r="O195" s="45" t="n"/>
      <c r="P195" s="45" t="n"/>
      <c r="Q195" s="45" t="n">
        <v>0</v>
      </c>
      <c r="R195" s="45" t="n"/>
      <c r="S195" s="45" t="n"/>
      <c r="T195" s="45" t="n"/>
      <c r="U195" s="45" t="n">
        <v>0.994046990496304</v>
      </c>
      <c r="V195" s="45" t="n">
        <v>0.78747680633637</v>
      </c>
      <c r="W195" s="45" t="n"/>
      <c r="X195" s="45" t="n"/>
      <c r="Y195" s="45" t="n"/>
      <c r="Z195" s="45" t="n"/>
      <c r="AA195" s="45" t="n"/>
      <c r="AB195" s="45" t="n"/>
      <c r="AC195" s="45" t="n"/>
      <c r="AD195" s="45" t="n"/>
      <c r="AE195" s="45" t="n">
        <v>0.979202558884909</v>
      </c>
      <c r="AF195" s="75">
        <f>IFERROR(AVERAGE(L195:U195),"")</f>
        <v/>
      </c>
      <c r="AG195" s="75">
        <f>IFERROR(AVERAGE(V195:AE195),"")</f>
        <v/>
      </c>
      <c r="AH195" s="75">
        <f>IFERROR(AVERAGE(B195:K195),"")</f>
        <v/>
      </c>
      <c r="AI195" s="45" t="n">
        <v>0.899974822998047</v>
      </c>
      <c r="AJ195" s="47" t="n">
        <v>0.0102615356445313</v>
      </c>
    </row>
    <row r="196" ht="15" customHeight="1" s="30">
      <c r="A196" s="73" t="inlineStr">
        <is>
          <t>7733.jpg</t>
        </is>
      </c>
      <c r="B196" s="45" t="n">
        <v>0.97496354718982</v>
      </c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>
        <v>0.949170222854433</v>
      </c>
      <c r="L196" s="45" t="n">
        <v>0.985066880953577</v>
      </c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>
        <v>0.992611692368721</v>
      </c>
      <c r="V196" s="45" t="n">
        <v>0.989589640094181</v>
      </c>
      <c r="W196" s="45" t="n"/>
      <c r="X196" s="45" t="n"/>
      <c r="Y196" s="45" t="n"/>
      <c r="Z196" s="45" t="n"/>
      <c r="AA196" s="45" t="n"/>
      <c r="AB196" s="45" t="n"/>
      <c r="AC196" s="45" t="n"/>
      <c r="AD196" s="45" t="n"/>
      <c r="AE196" s="45" t="n">
        <v>0.9559237858746</v>
      </c>
      <c r="AF196" s="75">
        <f>IFERROR(AVERAGE(L196:U196),"")</f>
        <v/>
      </c>
      <c r="AG196" s="75">
        <f>IFERROR(AVERAGE(V196:AE196),"")</f>
        <v/>
      </c>
      <c r="AH196" s="75">
        <f>IFERROR(AVERAGE(B196:K196),"")</f>
        <v/>
      </c>
      <c r="AI196" s="45" t="n">
        <v>0.978832244873047</v>
      </c>
      <c r="AJ196" s="47" t="n">
        <v>0.00868606567382813</v>
      </c>
    </row>
    <row r="197" ht="15" customHeight="1" s="30">
      <c r="A197" s="73" t="inlineStr">
        <is>
          <t>7740.jpg</t>
        </is>
      </c>
      <c r="B197" s="45" t="n">
        <v>0.980918670188145</v>
      </c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>
        <v>0.959078063640034</v>
      </c>
      <c r="L197" s="45" t="n">
        <v>0.9902041085573871</v>
      </c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>
        <v>0.9818400420810059</v>
      </c>
      <c r="V197" s="45" t="n">
        <v>0.990530813349244</v>
      </c>
      <c r="W197" s="45" t="n"/>
      <c r="X197" s="45" t="n"/>
      <c r="Y197" s="45" t="n"/>
      <c r="Z197" s="45" t="n"/>
      <c r="AA197" s="45" t="n"/>
      <c r="AB197" s="45" t="n"/>
      <c r="AC197" s="45" t="n"/>
      <c r="AD197" s="45" t="n"/>
      <c r="AE197" s="45" t="n">
        <v>0.976398350998244</v>
      </c>
      <c r="AF197" s="75">
        <f>IFERROR(AVERAGE(L197:U197),"")</f>
        <v/>
      </c>
      <c r="AG197" s="75">
        <f>IFERROR(AVERAGE(V197:AE197),"")</f>
        <v/>
      </c>
      <c r="AH197" s="75">
        <f>IFERROR(AVERAGE(B197:K197),"")</f>
        <v/>
      </c>
      <c r="AI197" s="45" t="n">
        <v>0.986202239990234</v>
      </c>
      <c r="AJ197" s="47" t="n">
        <v>0.00146865844726563</v>
      </c>
    </row>
    <row r="198" ht="15" customHeight="1" s="30">
      <c r="A198" s="73" t="inlineStr">
        <is>
          <t>7755.jpg</t>
        </is>
      </c>
      <c r="B198" s="45" t="n"/>
      <c r="C198" s="45" t="n"/>
      <c r="D198" s="45" t="n">
        <v>0</v>
      </c>
      <c r="E198" s="45" t="n"/>
      <c r="F198" s="45" t="n"/>
      <c r="G198" s="45" t="n">
        <v>0.966831587491786</v>
      </c>
      <c r="H198" s="45" t="n">
        <v>0.598503740648379</v>
      </c>
      <c r="I198" s="45" t="n"/>
      <c r="J198" s="45" t="n"/>
      <c r="K198" s="45" t="n"/>
      <c r="L198" s="45" t="n"/>
      <c r="M198" s="45" t="n"/>
      <c r="N198" s="45" t="n">
        <v>0</v>
      </c>
      <c r="O198" s="45" t="n"/>
      <c r="P198" s="45" t="n"/>
      <c r="Q198" s="45" t="n">
        <v>0.999728214167236</v>
      </c>
      <c r="R198" s="45" t="n">
        <v>0.614035087719298</v>
      </c>
      <c r="S198" s="45" t="n"/>
      <c r="T198" s="45" t="n"/>
      <c r="U198" s="45" t="n"/>
      <c r="V198" s="45" t="n"/>
      <c r="W198" s="45" t="n"/>
      <c r="X198" s="45" t="n"/>
      <c r="Y198" s="45" t="n"/>
      <c r="Z198" s="45" t="n"/>
      <c r="AA198" s="45" t="n">
        <v>0.967085778798494</v>
      </c>
      <c r="AB198" s="45" t="n">
        <v>0.9594517418617931</v>
      </c>
      <c r="AC198" s="45" t="n"/>
      <c r="AD198" s="45" t="n"/>
      <c r="AE198" s="45" t="n"/>
      <c r="AF198" s="75">
        <f>IFERROR(AVERAGE(L198:U198),"")</f>
        <v/>
      </c>
      <c r="AG198" s="75">
        <f>IFERROR(AVERAGE(V198:AE198),"")</f>
        <v/>
      </c>
      <c r="AH198" s="75">
        <f>IFERROR(AVERAGE(B198:K198),"")</f>
        <v/>
      </c>
      <c r="AI198" s="45" t="n">
        <v>0.966983795166016</v>
      </c>
      <c r="AJ198" s="47" t="n">
        <v>0.0221786499023438</v>
      </c>
    </row>
    <row r="199" ht="15" customHeight="1" s="30">
      <c r="A199" s="73" t="inlineStr">
        <is>
          <t>7758.jpg</t>
        </is>
      </c>
      <c r="B199" s="45" t="n"/>
      <c r="C199" s="45" t="n"/>
      <c r="D199" s="45" t="n"/>
      <c r="E199" s="45" t="n"/>
      <c r="F199" s="45" t="n"/>
      <c r="G199" s="45" t="n">
        <v>0.988754498601326</v>
      </c>
      <c r="H199" s="45" t="n">
        <v>0.847150432973082</v>
      </c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>
        <v>0.997078067725783</v>
      </c>
      <c r="R199" s="45" t="n">
        <v>0.890488286762631</v>
      </c>
      <c r="S199" s="45" t="n"/>
      <c r="T199" s="45" t="n"/>
      <c r="U199" s="45" t="n"/>
      <c r="V199" s="45" t="n"/>
      <c r="W199" s="45" t="n"/>
      <c r="X199" s="45" t="n"/>
      <c r="Y199" s="45" t="n"/>
      <c r="Z199" s="45" t="n"/>
      <c r="AA199" s="45" t="n">
        <v>0.991627779854421</v>
      </c>
      <c r="AB199" s="45" t="n">
        <v>0.945672536530536</v>
      </c>
      <c r="AC199" s="45" t="n"/>
      <c r="AD199" s="45" t="n"/>
      <c r="AE199" s="45" t="n"/>
      <c r="AF199" s="75">
        <f>IFERROR(AVERAGE(L199:U199),"")</f>
        <v/>
      </c>
      <c r="AG199" s="75">
        <f>IFERROR(AVERAGE(V199:AE199),"")</f>
        <v/>
      </c>
      <c r="AH199" s="75">
        <f>IFERROR(AVERAGE(B199:K199),"")</f>
        <v/>
      </c>
      <c r="AI199" s="45" t="n">
        <v>0.989288330078125</v>
      </c>
      <c r="AJ199" s="47" t="n">
        <v>0.00203323364257813</v>
      </c>
    </row>
    <row r="200" ht="15" customHeight="1" s="30">
      <c r="A200" s="73" t="inlineStr">
        <is>
          <t>7759.jpg</t>
        </is>
      </c>
      <c r="B200" s="45" t="n"/>
      <c r="C200" s="45" t="n"/>
      <c r="D200" s="45" t="n"/>
      <c r="E200" s="45" t="n"/>
      <c r="F200" s="45" t="n"/>
      <c r="G200" s="45" t="n">
        <v>0.969397024403817</v>
      </c>
      <c r="H200" s="45" t="n">
        <v>0.717326211863721</v>
      </c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>
        <v>0.978146340657798</v>
      </c>
      <c r="R200" s="45" t="n">
        <v>0.914144278863508</v>
      </c>
      <c r="S200" s="45" t="n"/>
      <c r="T200" s="45" t="n"/>
      <c r="U200" s="45" t="n"/>
      <c r="V200" s="45" t="n"/>
      <c r="W200" s="45" t="n"/>
      <c r="X200" s="45" t="n"/>
      <c r="Y200" s="45" t="n"/>
      <c r="Z200" s="45" t="n"/>
      <c r="AA200" s="45" t="n">
        <v>0.990857190656434</v>
      </c>
      <c r="AB200" s="45" t="n">
        <v>0.769143997570394</v>
      </c>
      <c r="AC200" s="45" t="n"/>
      <c r="AD200" s="45" t="n"/>
      <c r="AE200" s="45" t="n"/>
      <c r="AF200" s="75">
        <f>IFERROR(AVERAGE(L200:U200),"")</f>
        <v/>
      </c>
      <c r="AG200" s="75">
        <f>IFERROR(AVERAGE(V200:AE200),"")</f>
        <v/>
      </c>
      <c r="AH200" s="75">
        <f>IFERROR(AVERAGE(B200:K200),"")</f>
        <v/>
      </c>
      <c r="AI200" s="45" t="n">
        <v>0.971363067626953</v>
      </c>
      <c r="AJ200" s="47" t="n">
        <v>0.00209426879882813</v>
      </c>
    </row>
    <row r="201" ht="15" customHeight="1" s="30">
      <c r="A201" s="73" t="inlineStr">
        <is>
          <t>7763.jpg</t>
        </is>
      </c>
      <c r="B201" s="45" t="n"/>
      <c r="C201" s="45" t="n"/>
      <c r="D201" s="45" t="n"/>
      <c r="E201" s="45" t="n"/>
      <c r="F201" s="45" t="n"/>
      <c r="G201" s="45" t="n">
        <v>0.943479604708084</v>
      </c>
      <c r="H201" s="45" t="n">
        <v>0.619365846722594</v>
      </c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>
        <v>0.954503006511644</v>
      </c>
      <c r="R201" s="45" t="n">
        <v>0.928705440900563</v>
      </c>
      <c r="S201" s="45" t="n"/>
      <c r="T201" s="45" t="n"/>
      <c r="U201" s="45" t="n"/>
      <c r="V201" s="45" t="n"/>
      <c r="W201" s="45" t="n"/>
      <c r="X201" s="45" t="n"/>
      <c r="Y201" s="45" t="n"/>
      <c r="Z201" s="45" t="n"/>
      <c r="AA201" s="45" t="n">
        <v>0.987907334759087</v>
      </c>
      <c r="AB201" s="45" t="n">
        <v>0.650285134207148</v>
      </c>
      <c r="AC201" s="45" t="n"/>
      <c r="AD201" s="45" t="n"/>
      <c r="AE201" s="45" t="n"/>
      <c r="AF201" s="75">
        <f>IFERROR(AVERAGE(L201:U201),"")</f>
        <v/>
      </c>
      <c r="AG201" s="75">
        <f>IFERROR(AVERAGE(V201:AE201),"")</f>
        <v/>
      </c>
      <c r="AH201" s="75">
        <f>IFERROR(AVERAGE(B201:K201),"")</f>
        <v/>
      </c>
      <c r="AI201" s="45" t="n">
        <v>0.944770812988281</v>
      </c>
      <c r="AJ201" s="47" t="n">
        <v>0.00777816772460938</v>
      </c>
    </row>
    <row r="202" ht="15" customHeight="1" s="30">
      <c r="A202" s="73" t="inlineStr">
        <is>
          <t>7771.jpg</t>
        </is>
      </c>
      <c r="B202" s="45" t="n"/>
      <c r="C202" s="45" t="n"/>
      <c r="D202" s="45" t="n"/>
      <c r="E202" s="45" t="n"/>
      <c r="F202" s="45" t="n"/>
      <c r="G202" s="45" t="n">
        <v>0.988658457550227</v>
      </c>
      <c r="H202" s="45" t="n">
        <v>0.8567516686633579</v>
      </c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>
        <v>0.9968918604318719</v>
      </c>
      <c r="R202" s="45" t="n">
        <v>0.908969858370657</v>
      </c>
      <c r="S202" s="45" t="n"/>
      <c r="T202" s="45" t="n"/>
      <c r="U202" s="45" t="n"/>
      <c r="V202" s="45" t="n"/>
      <c r="W202" s="45" t="n"/>
      <c r="X202" s="45" t="n"/>
      <c r="Y202" s="45" t="n"/>
      <c r="Z202" s="45" t="n"/>
      <c r="AA202" s="45" t="n">
        <v>0.991715389709856</v>
      </c>
      <c r="AB202" s="45" t="n">
        <v>0.937160686427457</v>
      </c>
      <c r="AC202" s="45" t="n"/>
      <c r="AD202" s="45" t="n"/>
      <c r="AE202" s="45" t="n"/>
      <c r="AF202" s="75">
        <f>IFERROR(AVERAGE(L202:U202),"")</f>
        <v/>
      </c>
      <c r="AG202" s="75">
        <f>IFERROR(AVERAGE(V202:AE202),"")</f>
        <v/>
      </c>
      <c r="AH202" s="75">
        <f>IFERROR(AVERAGE(B202:K202),"")</f>
        <v/>
      </c>
      <c r="AI202" s="45" t="n">
        <v>0.988380432128906</v>
      </c>
      <c r="AJ202" s="47" t="n">
        <v>0.00297927856445313</v>
      </c>
    </row>
    <row r="203" ht="15" customHeight="1" s="30">
      <c r="A203" s="73" t="inlineStr">
        <is>
          <t>7772.jpg</t>
        </is>
      </c>
      <c r="B203" s="45" t="n"/>
      <c r="C203" s="45" t="n"/>
      <c r="D203" s="45" t="n"/>
      <c r="E203" s="45" t="n"/>
      <c r="F203" s="45" t="n"/>
      <c r="G203" s="45" t="n">
        <v>0.250086031343749</v>
      </c>
      <c r="H203" s="45" t="n">
        <v>0.869522097563999</v>
      </c>
      <c r="I203" s="45" t="n"/>
      <c r="J203" s="45" t="n"/>
      <c r="K203" s="45" t="n">
        <v>0</v>
      </c>
      <c r="L203" s="45" t="n"/>
      <c r="M203" s="45" t="n"/>
      <c r="N203" s="45" t="n"/>
      <c r="O203" s="45" t="n"/>
      <c r="P203" s="45" t="n"/>
      <c r="Q203" s="45" t="n">
        <v>0.998835780350559</v>
      </c>
      <c r="R203" s="45" t="n">
        <v>0.938453304789939</v>
      </c>
      <c r="S203" s="45" t="n"/>
      <c r="T203" s="45" t="n"/>
      <c r="U203" s="45" t="n">
        <v>0</v>
      </c>
      <c r="V203" s="45" t="n"/>
      <c r="W203" s="45" t="n"/>
      <c r="X203" s="45" t="n"/>
      <c r="Y203" s="45" t="n"/>
      <c r="Z203" s="45" t="n"/>
      <c r="AA203" s="45" t="n">
        <v>0.250158951285987</v>
      </c>
      <c r="AB203" s="45" t="n">
        <v>0.922106093472688</v>
      </c>
      <c r="AC203" s="45" t="n"/>
      <c r="AD203" s="45" t="n"/>
      <c r="AE203" s="45" t="n"/>
      <c r="AF203" s="75">
        <f>IFERROR(AVERAGE(L203:U203),"")</f>
        <v/>
      </c>
      <c r="AG203" s="75">
        <f>IFERROR(AVERAGE(V203:AE203),"")</f>
        <v/>
      </c>
      <c r="AH203" s="75">
        <f>IFERROR(AVERAGE(B203:K203),"")</f>
        <v/>
      </c>
      <c r="AI203" s="45" t="n">
        <v>0.289154052734375</v>
      </c>
      <c r="AJ203" s="47" t="n">
        <v>0.0271873474121094</v>
      </c>
    </row>
    <row r="204" ht="15" customHeight="1" s="30">
      <c r="A204" s="73" t="inlineStr">
        <is>
          <t>7773.jpg</t>
        </is>
      </c>
      <c r="B204" s="45" t="n"/>
      <c r="C204" s="45" t="n"/>
      <c r="D204" s="45" t="n"/>
      <c r="E204" s="45" t="n"/>
      <c r="F204" s="45" t="n"/>
      <c r="G204" s="45" t="n">
        <v>0.328393893154687</v>
      </c>
      <c r="H204" s="45" t="n">
        <v>0.576300085251492</v>
      </c>
      <c r="I204" s="45" t="n"/>
      <c r="J204" s="45" t="n"/>
      <c r="K204" s="45" t="n">
        <v>0</v>
      </c>
      <c r="L204" s="45" t="n"/>
      <c r="M204" s="45" t="n"/>
      <c r="N204" s="45" t="n"/>
      <c r="O204" s="45" t="n"/>
      <c r="P204" s="45" t="n"/>
      <c r="Q204" s="45" t="n">
        <v>1</v>
      </c>
      <c r="R204" s="45" t="n">
        <v>0.862382395152288</v>
      </c>
      <c r="S204" s="45" t="n"/>
      <c r="T204" s="45" t="n"/>
      <c r="U204" s="45" t="n">
        <v>0</v>
      </c>
      <c r="V204" s="45" t="n"/>
      <c r="W204" s="45" t="n"/>
      <c r="X204" s="45" t="n"/>
      <c r="Y204" s="45" t="n"/>
      <c r="Z204" s="45" t="n"/>
      <c r="AA204" s="45" t="n">
        <v>0.328393893154687</v>
      </c>
      <c r="AB204" s="45" t="n">
        <v>0.634667292571294</v>
      </c>
      <c r="AC204" s="45" t="n"/>
      <c r="AD204" s="45" t="n"/>
      <c r="AE204" s="45" t="n"/>
      <c r="AF204" s="75">
        <f>IFERROR(AVERAGE(L204:U204),"")</f>
        <v/>
      </c>
      <c r="AG204" s="75">
        <f>IFERROR(AVERAGE(V204:AE204),"")</f>
        <v/>
      </c>
      <c r="AH204" s="75">
        <f>IFERROR(AVERAGE(B204:K204),"")</f>
        <v/>
      </c>
      <c r="AI204" s="45" t="n">
        <v>0.348304748535156</v>
      </c>
      <c r="AJ204" s="47" t="n">
        <v>0.00263595581054688</v>
      </c>
    </row>
    <row r="205" ht="15" customHeight="1" s="30">
      <c r="A205" s="73" t="inlineStr">
        <is>
          <t>7780.jpg</t>
        </is>
      </c>
      <c r="B205" s="45" t="n"/>
      <c r="C205" s="45" t="n"/>
      <c r="D205" s="45" t="n"/>
      <c r="E205" s="45" t="n"/>
      <c r="F205" s="45" t="n"/>
      <c r="G205" s="45" t="n">
        <v>0.934012123303924</v>
      </c>
      <c r="H205" s="45" t="n"/>
      <c r="I205" s="45" t="n"/>
      <c r="J205" s="45" t="n"/>
      <c r="K205" s="45" t="n">
        <v>0.959558655906625</v>
      </c>
      <c r="L205" s="45" t="n"/>
      <c r="M205" s="45" t="n"/>
      <c r="N205" s="45" t="n"/>
      <c r="O205" s="45" t="n"/>
      <c r="P205" s="45" t="n"/>
      <c r="Q205" s="45" t="n">
        <v>0.957126277977342</v>
      </c>
      <c r="R205" s="45" t="n"/>
      <c r="S205" s="45" t="n"/>
      <c r="T205" s="45" t="n"/>
      <c r="U205" s="45" t="n">
        <v>0.987362408590044</v>
      </c>
      <c r="V205" s="45" t="n"/>
      <c r="W205" s="45" t="n"/>
      <c r="X205" s="45" t="n"/>
      <c r="Y205" s="45" t="n"/>
      <c r="Z205" s="45" t="n"/>
      <c r="AA205" s="45" t="n">
        <v>0.974795970056847</v>
      </c>
      <c r="AB205" s="45" t="n"/>
      <c r="AC205" s="45" t="n"/>
      <c r="AD205" s="45" t="n"/>
      <c r="AE205" s="45" t="n">
        <v>0.971490228435915</v>
      </c>
      <c r="AF205" s="75">
        <f>IFERROR(AVERAGE(L205:U205),"")</f>
        <v/>
      </c>
      <c r="AG205" s="75">
        <f>IFERROR(AVERAGE(V205:AE205),"")</f>
        <v/>
      </c>
      <c r="AH205" s="75">
        <f>IFERROR(AVERAGE(B205:K205),"")</f>
        <v/>
      </c>
      <c r="AI205" s="45" t="n">
        <v>0.9726104736328131</v>
      </c>
      <c r="AJ205" s="47" t="n">
        <v>0.00437164306640625</v>
      </c>
    </row>
    <row r="206" ht="15" customHeight="1" s="30">
      <c r="A206" s="73" t="inlineStr">
        <is>
          <t>7794.jpg</t>
        </is>
      </c>
      <c r="B206" s="45" t="n"/>
      <c r="C206" s="45" t="n"/>
      <c r="D206" s="45" t="n"/>
      <c r="E206" s="45" t="n"/>
      <c r="F206" s="45" t="n"/>
      <c r="G206" s="45" t="n">
        <v>0.835677727098639</v>
      </c>
      <c r="H206" s="45" t="n">
        <v>0.8472880168185</v>
      </c>
      <c r="I206" s="45" t="n"/>
      <c r="J206" s="45" t="n"/>
      <c r="K206" s="45" t="n">
        <v>0.920448594868214</v>
      </c>
      <c r="L206" s="45" t="n"/>
      <c r="M206" s="45" t="n"/>
      <c r="N206" s="45" t="n"/>
      <c r="O206" s="45" t="n"/>
      <c r="P206" s="45" t="n"/>
      <c r="Q206" s="45" t="n">
        <v>0.985525991623553</v>
      </c>
      <c r="R206" s="45" t="n">
        <v>0.893681814150135</v>
      </c>
      <c r="S206" s="45" t="n"/>
      <c r="T206" s="45" t="n"/>
      <c r="U206" s="45" t="n">
        <v>0.944054066150472</v>
      </c>
      <c r="V206" s="45" t="n"/>
      <c r="W206" s="45" t="n"/>
      <c r="X206" s="45" t="n"/>
      <c r="Y206" s="45" t="n"/>
      <c r="Z206" s="45" t="n"/>
      <c r="AA206" s="45" t="n">
        <v>0.846061652889649</v>
      </c>
      <c r="AB206" s="45" t="n">
        <v>0.942267527042614</v>
      </c>
      <c r="AC206" s="45" t="n"/>
      <c r="AD206" s="45" t="n"/>
      <c r="AE206" s="45" t="n">
        <v>0.973553032400997</v>
      </c>
      <c r="AF206" s="75">
        <f>IFERROR(AVERAGE(L206:U206),"")</f>
        <v/>
      </c>
      <c r="AG206" s="75">
        <f>IFERROR(AVERAGE(V206:AE206),"")</f>
        <v/>
      </c>
      <c r="AH206" s="75">
        <f>IFERROR(AVERAGE(B206:K206),"")</f>
        <v/>
      </c>
      <c r="AI206" s="45" t="n">
        <v>0.942131042480469</v>
      </c>
      <c r="AJ206" s="47" t="n">
        <v>0.00331497192382813</v>
      </c>
    </row>
    <row r="207" ht="15" customHeight="1" s="30">
      <c r="A207" s="73" t="inlineStr">
        <is>
          <t>7803.jpg</t>
        </is>
      </c>
      <c r="B207" s="45" t="n"/>
      <c r="C207" s="45" t="n"/>
      <c r="D207" s="45" t="n"/>
      <c r="E207" s="45" t="n"/>
      <c r="F207" s="45" t="n"/>
      <c r="G207" s="45" t="n">
        <v>0.989119804400978</v>
      </c>
      <c r="H207" s="45" t="n">
        <v>0.828701809208487</v>
      </c>
      <c r="I207" s="45" t="n"/>
      <c r="J207" s="45" t="n"/>
      <c r="K207" s="45" t="n">
        <v>0.834363903224279</v>
      </c>
      <c r="L207" s="45" t="n"/>
      <c r="M207" s="45" t="n"/>
      <c r="N207" s="45" t="n"/>
      <c r="O207" s="45" t="n"/>
      <c r="P207" s="45" t="n"/>
      <c r="Q207" s="45" t="n">
        <v>0.999943824011864</v>
      </c>
      <c r="R207" s="45" t="n">
        <v>0.8350076217607521</v>
      </c>
      <c r="S207" s="45" t="n"/>
      <c r="T207" s="45" t="n"/>
      <c r="U207" s="45" t="n">
        <v>0.9901783406565</v>
      </c>
      <c r="V207" s="45" t="n"/>
      <c r="W207" s="45" t="n"/>
      <c r="X207" s="45" t="n"/>
      <c r="Y207" s="45" t="n"/>
      <c r="Z207" s="45" t="n"/>
      <c r="AA207" s="45" t="n">
        <v>0.989174770769658</v>
      </c>
      <c r="AB207" s="45" t="n">
        <v>0.9909694830807561</v>
      </c>
      <c r="AC207" s="45" t="n"/>
      <c r="AD207" s="45" t="n"/>
      <c r="AE207" s="45" t="n">
        <v>0.841326827777831</v>
      </c>
      <c r="AF207" s="75">
        <f>IFERROR(AVERAGE(L207:U207),"")</f>
        <v/>
      </c>
      <c r="AG207" s="75">
        <f>IFERROR(AVERAGE(V207:AE207),"")</f>
        <v/>
      </c>
      <c r="AH207" s="75">
        <f>IFERROR(AVERAGE(B207:K207),"")</f>
        <v/>
      </c>
      <c r="AI207" s="45" t="n">
        <v>0.930568695068359</v>
      </c>
      <c r="AJ207" s="47" t="n">
        <v>0.0157051086425781</v>
      </c>
    </row>
    <row r="208" ht="15" customHeight="1" s="30">
      <c r="A208" s="73" t="inlineStr">
        <is>
          <t>7804.jpg</t>
        </is>
      </c>
      <c r="B208" s="45" t="n"/>
      <c r="C208" s="45" t="n"/>
      <c r="D208" s="45" t="n"/>
      <c r="E208" s="45" t="n"/>
      <c r="F208" s="45" t="n"/>
      <c r="G208" s="45" t="n">
        <v>0.986301369863014</v>
      </c>
      <c r="H208" s="45" t="n">
        <v>0.6869811819006399</v>
      </c>
      <c r="I208" s="45" t="n"/>
      <c r="J208" s="45" t="n"/>
      <c r="K208" s="45" t="n">
        <v>0.729552403197934</v>
      </c>
      <c r="L208" s="45" t="n"/>
      <c r="M208" s="45" t="n"/>
      <c r="N208" s="45" t="n"/>
      <c r="O208" s="45" t="n"/>
      <c r="P208" s="45" t="n"/>
      <c r="Q208" s="45" t="n">
        <v>1</v>
      </c>
      <c r="R208" s="45" t="n">
        <v>0.691570637663403</v>
      </c>
      <c r="S208" s="45" t="n"/>
      <c r="T208" s="45" t="n"/>
      <c r="U208" s="45" t="n">
        <v>0.9829469859789171</v>
      </c>
      <c r="V208" s="45" t="n"/>
      <c r="W208" s="45" t="n"/>
      <c r="X208" s="45" t="n"/>
      <c r="Y208" s="45" t="n"/>
      <c r="Z208" s="45" t="n"/>
      <c r="AA208" s="45" t="n">
        <v>0.986301369863014</v>
      </c>
      <c r="AB208" s="45" t="n">
        <v>0.990432364430908</v>
      </c>
      <c r="AC208" s="45" t="n"/>
      <c r="AD208" s="45" t="n"/>
      <c r="AE208" s="45" t="n">
        <v>0.738904649709093</v>
      </c>
      <c r="AF208" s="75">
        <f>IFERROR(AVERAGE(L208:U208),"")</f>
        <v/>
      </c>
      <c r="AG208" s="75">
        <f>IFERROR(AVERAGE(V208:AE208),"")</f>
        <v/>
      </c>
      <c r="AH208" s="75">
        <f>IFERROR(AVERAGE(B208:K208),"")</f>
        <v/>
      </c>
      <c r="AI208" s="45" t="n">
        <v>0.889118194580078</v>
      </c>
      <c r="AJ208" s="47" t="n">
        <v>0.00400161743164063</v>
      </c>
    </row>
    <row r="209" ht="15" customHeight="1" s="30">
      <c r="A209" s="73" t="inlineStr">
        <is>
          <t>7812.jpg</t>
        </is>
      </c>
      <c r="B209" s="45" t="n"/>
      <c r="C209" s="45" t="n"/>
      <c r="D209" s="45" t="n"/>
      <c r="E209" s="45" t="n"/>
      <c r="F209" s="45" t="n"/>
      <c r="G209" s="45" t="n">
        <v>0.993561590495423</v>
      </c>
      <c r="H209" s="45" t="n">
        <v>0.888752656530979</v>
      </c>
      <c r="I209" s="45" t="n"/>
      <c r="J209" s="45" t="n"/>
      <c r="K209" s="45" t="n">
        <v>0.96021858471411</v>
      </c>
      <c r="L209" s="45" t="n"/>
      <c r="M209" s="45" t="n"/>
      <c r="N209" s="45" t="n"/>
      <c r="O209" s="45" t="n"/>
      <c r="P209" s="45" t="n"/>
      <c r="Q209" s="45" t="n">
        <v>0.999872418758088</v>
      </c>
      <c r="R209" s="45" t="n">
        <v>0.947538126361656</v>
      </c>
      <c r="S209" s="45" t="n"/>
      <c r="T209" s="45" t="n"/>
      <c r="U209" s="45" t="n">
        <v>0.975816449569485</v>
      </c>
      <c r="V209" s="45" t="n"/>
      <c r="W209" s="45" t="n"/>
      <c r="X209" s="45" t="n"/>
      <c r="Y209" s="45" t="n"/>
      <c r="Z209" s="45" t="n"/>
      <c r="AA209" s="45" t="n">
        <v>0.993687566226215</v>
      </c>
      <c r="AB209" s="45" t="n">
        <v>0.934748968363136</v>
      </c>
      <c r="AC209" s="45" t="n"/>
      <c r="AD209" s="45" t="n"/>
      <c r="AE209" s="45" t="n">
        <v>0.983625921202421</v>
      </c>
      <c r="AF209" s="75">
        <f>IFERROR(AVERAGE(L209:U209),"")</f>
        <v/>
      </c>
      <c r="AG209" s="75">
        <f>IFERROR(AVERAGE(V209:AE209),"")</f>
        <v/>
      </c>
      <c r="AH209" s="75">
        <f>IFERROR(AVERAGE(B209:K209),"")</f>
        <v/>
      </c>
      <c r="AI209" s="45" t="n">
        <v>0.981357574462891</v>
      </c>
      <c r="AJ209" s="47" t="n">
        <v>0.000835418701171875</v>
      </c>
    </row>
    <row r="210" ht="15" customHeight="1" s="30">
      <c r="A210" s="73" t="inlineStr">
        <is>
          <t>7813.jpg</t>
        </is>
      </c>
      <c r="B210" s="45" t="n"/>
      <c r="C210" s="45" t="n"/>
      <c r="D210" s="45" t="n"/>
      <c r="E210" s="45" t="n"/>
      <c r="F210" s="45" t="n"/>
      <c r="G210" s="45" t="n">
        <v>0.986182996127258</v>
      </c>
      <c r="H210" s="45" t="n">
        <v>0.898979104613356</v>
      </c>
      <c r="I210" s="45" t="n"/>
      <c r="J210" s="45" t="n"/>
      <c r="K210" s="45" t="n">
        <v>0.954704853558714</v>
      </c>
      <c r="L210" s="45" t="n"/>
      <c r="M210" s="45" t="n"/>
      <c r="N210" s="45" t="n"/>
      <c r="O210" s="45" t="n"/>
      <c r="P210" s="45" t="n"/>
      <c r="Q210" s="45" t="n">
        <v>1</v>
      </c>
      <c r="R210" s="45" t="n">
        <v>0.941403366746827</v>
      </c>
      <c r="S210" s="45" t="n"/>
      <c r="T210" s="45" t="n"/>
      <c r="U210" s="45" t="n">
        <v>0.977005124105099</v>
      </c>
      <c r="V210" s="45" t="n"/>
      <c r="W210" s="45" t="n"/>
      <c r="X210" s="45" t="n"/>
      <c r="Y210" s="45" t="n"/>
      <c r="Z210" s="45" t="n"/>
      <c r="AA210" s="45" t="n">
        <v>0.986182996127258</v>
      </c>
      <c r="AB210" s="45" t="n">
        <v>0.952263969171484</v>
      </c>
      <c r="AC210" s="45" t="n"/>
      <c r="AD210" s="45" t="n"/>
      <c r="AE210" s="45" t="n">
        <v>0.976650197987431</v>
      </c>
      <c r="AF210" s="75">
        <f>IFERROR(AVERAGE(L210:U210),"")</f>
        <v/>
      </c>
      <c r="AG210" s="75">
        <f>IFERROR(AVERAGE(V210:AE210),"")</f>
        <v/>
      </c>
      <c r="AH210" s="75">
        <f>IFERROR(AVERAGE(B210:K210),"")</f>
        <v/>
      </c>
      <c r="AI210" s="45" t="n">
        <v>0.976806640625</v>
      </c>
      <c r="AJ210" s="47" t="n">
        <v>0.004150390625</v>
      </c>
    </row>
    <row r="211" ht="15" customHeight="1" s="30">
      <c r="A211" s="73" t="inlineStr">
        <is>
          <t>7817.jpg</t>
        </is>
      </c>
      <c r="B211" s="45" t="n"/>
      <c r="C211" s="45" t="n"/>
      <c r="D211" s="45" t="n"/>
      <c r="E211" s="45" t="n"/>
      <c r="F211" s="45" t="n"/>
      <c r="G211" s="45" t="n">
        <v>0.9904498393430921</v>
      </c>
      <c r="H211" s="45" t="n">
        <v>0.948799594738842</v>
      </c>
      <c r="I211" s="45" t="n"/>
      <c r="J211" s="45" t="n"/>
      <c r="K211" s="45" t="n">
        <v>0.936896625701064</v>
      </c>
      <c r="L211" s="45" t="n"/>
      <c r="M211" s="45" t="n"/>
      <c r="N211" s="45" t="n"/>
      <c r="O211" s="45" t="n"/>
      <c r="P211" s="45" t="n"/>
      <c r="Q211" s="45" t="n">
        <v>1</v>
      </c>
      <c r="R211" s="45" t="n">
        <v>0.967297476759628</v>
      </c>
      <c r="S211" s="45" t="n"/>
      <c r="T211" s="45" t="n"/>
      <c r="U211" s="45" t="n">
        <v>0.96426205721856</v>
      </c>
      <c r="V211" s="45" t="n"/>
      <c r="W211" s="45" t="n"/>
      <c r="X211" s="45" t="n"/>
      <c r="Y211" s="45" t="n"/>
      <c r="Z211" s="45" t="n"/>
      <c r="AA211" s="45" t="n">
        <v>0.9904498393430921</v>
      </c>
      <c r="AB211" s="45" t="n">
        <v>0.9802429906542059</v>
      </c>
      <c r="AC211" s="45" t="n"/>
      <c r="AD211" s="45" t="n"/>
      <c r="AE211" s="45" t="n">
        <v>0.970599441198882</v>
      </c>
      <c r="AF211" s="75">
        <f>IFERROR(AVERAGE(L211:U211),"")</f>
        <v/>
      </c>
      <c r="AG211" s="75">
        <f>IFERROR(AVERAGE(V211:AE211),"")</f>
        <v/>
      </c>
      <c r="AH211" s="75">
        <f>IFERROR(AVERAGE(B211:K211),"")</f>
        <v/>
      </c>
      <c r="AI211" s="45" t="n">
        <v>0.9835968017578131</v>
      </c>
      <c r="AJ211" s="47" t="n">
        <v>0.000995635986328125</v>
      </c>
    </row>
    <row r="212" ht="15" customHeight="1" s="30">
      <c r="A212" s="73" t="inlineStr">
        <is>
          <t>7821.jpg</t>
        </is>
      </c>
      <c r="B212" s="45" t="n"/>
      <c r="C212" s="45" t="n"/>
      <c r="D212" s="45" t="n"/>
      <c r="E212" s="45" t="n"/>
      <c r="F212" s="45" t="n">
        <v>0.959281462405539</v>
      </c>
      <c r="G212" s="45" t="n">
        <v>0.984488399962298</v>
      </c>
      <c r="H212" s="45" t="n">
        <v>0.651490621915104</v>
      </c>
      <c r="I212" s="45" t="n">
        <v>0.801652892561984</v>
      </c>
      <c r="J212" s="45" t="n"/>
      <c r="K212" s="45" t="n">
        <v>0.906911763528498</v>
      </c>
      <c r="L212" s="45" t="n"/>
      <c r="M212" s="45" t="n"/>
      <c r="N212" s="45" t="n"/>
      <c r="O212" s="45" t="n"/>
      <c r="P212" s="45" t="n">
        <v>0.988343011243775</v>
      </c>
      <c r="Q212" s="45" t="n">
        <v>0.997775594312072</v>
      </c>
      <c r="R212" s="45" t="n">
        <v>0.924261946109462</v>
      </c>
      <c r="S212" s="45" t="n">
        <v>0.952848722986248</v>
      </c>
      <c r="T212" s="45" t="n"/>
      <c r="U212" s="45" t="n">
        <v>0.932074943841489</v>
      </c>
      <c r="V212" s="45" t="n"/>
      <c r="W212" s="45" t="n"/>
      <c r="X212" s="45" t="n"/>
      <c r="Y212" s="45" t="n"/>
      <c r="Z212" s="45" t="n">
        <v>0.970259191254964</v>
      </c>
      <c r="AA212" s="45" t="n">
        <v>0.986653891827702</v>
      </c>
      <c r="AB212" s="45" t="n">
        <v>0.6882325950027109</v>
      </c>
      <c r="AC212" s="45" t="n">
        <v>0.834767641996558</v>
      </c>
      <c r="AD212" s="45" t="n"/>
      <c r="AE212" s="45" t="n">
        <v>0.971092517659968</v>
      </c>
      <c r="AF212" s="75">
        <f>IFERROR(AVERAGE(L212:U212),"")</f>
        <v/>
      </c>
      <c r="AG212" s="75">
        <f>IFERROR(AVERAGE(V212:AE212),"")</f>
        <v/>
      </c>
      <c r="AH212" s="75">
        <f>IFERROR(AVERAGE(B212:K212),"")</f>
        <v/>
      </c>
      <c r="AI212" s="45" t="n">
        <v>0.9491729736328131</v>
      </c>
      <c r="AJ212" s="47" t="n">
        <v>0.0114212036132813</v>
      </c>
    </row>
    <row r="213" ht="15" customHeight="1" s="30">
      <c r="A213" s="73" t="inlineStr">
        <is>
          <t>7822.jpg</t>
        </is>
      </c>
      <c r="B213" s="45" t="n"/>
      <c r="C213" s="45" t="n"/>
      <c r="D213" s="45" t="n"/>
      <c r="E213" s="45" t="n"/>
      <c r="F213" s="45" t="n">
        <v>0.8545905125500241</v>
      </c>
      <c r="G213" s="45" t="n">
        <v>0.988172736691885</v>
      </c>
      <c r="H213" s="45" t="n">
        <v>0.538040358546386</v>
      </c>
      <c r="I213" s="45" t="n"/>
      <c r="J213" s="45" t="n"/>
      <c r="K213" s="45" t="n">
        <v>0.863519886595971</v>
      </c>
      <c r="L213" s="45" t="n"/>
      <c r="M213" s="45" t="n"/>
      <c r="N213" s="45" t="n"/>
      <c r="O213" s="45" t="n"/>
      <c r="P213" s="45" t="n">
        <v>0.880434032569694</v>
      </c>
      <c r="Q213" s="45" t="n">
        <v>0.998005883630476</v>
      </c>
      <c r="R213" s="45" t="n">
        <v>0.678565461936849</v>
      </c>
      <c r="S213" s="45" t="n"/>
      <c r="T213" s="45" t="n"/>
      <c r="U213" s="45" t="n">
        <v>0.9598139548976981</v>
      </c>
      <c r="V213" s="45" t="n"/>
      <c r="W213" s="45" t="n"/>
      <c r="X213" s="45" t="n"/>
      <c r="Y213" s="45" t="n"/>
      <c r="Z213" s="45" t="n">
        <v>0.966792953210835</v>
      </c>
      <c r="AA213" s="45" t="n">
        <v>0.99012771292016</v>
      </c>
      <c r="AB213" s="45" t="n">
        <v>0.722074074074074</v>
      </c>
      <c r="AC213" s="45" t="n"/>
      <c r="AD213" s="45" t="n"/>
      <c r="AE213" s="45" t="n">
        <v>0.895910964667284</v>
      </c>
      <c r="AF213" s="75">
        <f>IFERROR(AVERAGE(L213:U213),"")</f>
        <v/>
      </c>
      <c r="AG213" s="75">
        <f>IFERROR(AVERAGE(V213:AE213),"")</f>
        <v/>
      </c>
      <c r="AH213" s="75">
        <f>IFERROR(AVERAGE(B213:K213),"")</f>
        <v/>
      </c>
      <c r="AI213" s="45" t="n">
        <v>0.9173431396484381</v>
      </c>
      <c r="AJ213" s="47" t="n">
        <v>0.0135765075683594</v>
      </c>
    </row>
    <row r="214" ht="15" customHeight="1" s="30">
      <c r="A214" s="73" t="inlineStr">
        <is>
          <t>7835.jpg</t>
        </is>
      </c>
      <c r="B214" s="45" t="n"/>
      <c r="C214" s="45" t="n"/>
      <c r="D214" s="45" t="n"/>
      <c r="E214" s="45" t="n"/>
      <c r="F214" s="45" t="n"/>
      <c r="G214" s="45" t="n">
        <v>0.981344764626498</v>
      </c>
      <c r="H214" s="45" t="n">
        <v>0.837608760876088</v>
      </c>
      <c r="I214" s="45" t="n"/>
      <c r="J214" s="45" t="n"/>
      <c r="K214" s="45" t="n">
        <v>0.966697010676531</v>
      </c>
      <c r="L214" s="45" t="n"/>
      <c r="M214" s="45" t="n"/>
      <c r="N214" s="45" t="n"/>
      <c r="O214" s="45" t="n"/>
      <c r="P214" s="45" t="n"/>
      <c r="Q214" s="45" t="n">
        <v>0.997203549341221</v>
      </c>
      <c r="R214" s="45" t="n">
        <v>0.952219885168552</v>
      </c>
      <c r="S214" s="45" t="n"/>
      <c r="T214" s="45" t="n"/>
      <c r="U214" s="45" t="n">
        <v>0.979207419449404</v>
      </c>
      <c r="V214" s="45" t="n"/>
      <c r="W214" s="45" t="n"/>
      <c r="X214" s="45" t="n"/>
      <c r="Y214" s="45" t="n"/>
      <c r="Z214" s="45" t="n"/>
      <c r="AA214" s="45" t="n">
        <v>0.984052856422639</v>
      </c>
      <c r="AB214" s="45" t="n">
        <v>0.874357301318022</v>
      </c>
      <c r="AC214" s="45" t="n"/>
      <c r="AD214" s="45" t="n"/>
      <c r="AE214" s="45" t="n">
        <v>0.986956194733053</v>
      </c>
      <c r="AF214" s="75">
        <f>IFERROR(AVERAGE(L214:U214),"")</f>
        <v/>
      </c>
      <c r="AG214" s="75">
        <f>IFERROR(AVERAGE(V214:AE214),"")</f>
        <v/>
      </c>
      <c r="AH214" s="75">
        <f>IFERROR(AVERAGE(B214:K214),"")</f>
        <v/>
      </c>
      <c r="AI214" s="45" t="n">
        <v>0.970081329345703</v>
      </c>
      <c r="AJ214" s="47" t="n">
        <v>0.00822830200195313</v>
      </c>
    </row>
    <row r="215" ht="15" customHeight="1" s="30">
      <c r="A215" s="73" t="inlineStr">
        <is>
          <t>7839.jpg</t>
        </is>
      </c>
      <c r="B215" s="45" t="n"/>
      <c r="C215" s="45" t="n"/>
      <c r="D215" s="45" t="n"/>
      <c r="E215" s="45" t="n"/>
      <c r="F215" s="45" t="n"/>
      <c r="G215" s="45" t="n">
        <v>0.958403716216216</v>
      </c>
      <c r="H215" s="45" t="n">
        <v>0.898401314806514</v>
      </c>
      <c r="I215" s="45" t="n"/>
      <c r="J215" s="45" t="n"/>
      <c r="K215" s="45" t="n">
        <v>0.96827514672246</v>
      </c>
      <c r="L215" s="45" t="n"/>
      <c r="M215" s="45" t="n"/>
      <c r="N215" s="45" t="n"/>
      <c r="O215" s="45" t="n"/>
      <c r="P215" s="45" t="n"/>
      <c r="Q215" s="45" t="n">
        <v>0.969768187159492</v>
      </c>
      <c r="R215" s="45" t="n">
        <v>0.951775444520656</v>
      </c>
      <c r="S215" s="45" t="n"/>
      <c r="T215" s="45" t="n"/>
      <c r="U215" s="45" t="n">
        <v>0.995465606970661</v>
      </c>
      <c r="V215" s="45" t="n"/>
      <c r="W215" s="45" t="n"/>
      <c r="X215" s="45" t="n"/>
      <c r="Y215" s="45" t="n"/>
      <c r="Z215" s="45" t="n"/>
      <c r="AA215" s="45" t="n">
        <v>0.987920339536402</v>
      </c>
      <c r="AB215" s="45" t="n">
        <v>0.941247064962171</v>
      </c>
      <c r="AC215" s="45" t="n"/>
      <c r="AD215" s="45" t="n"/>
      <c r="AE215" s="45" t="n">
        <v>0.972564681368293</v>
      </c>
      <c r="AF215" s="75">
        <f>IFERROR(AVERAGE(L215:U215),"")</f>
        <v/>
      </c>
      <c r="AG215" s="75">
        <f>IFERROR(AVERAGE(V215:AE215),"")</f>
        <v/>
      </c>
      <c r="AH215" s="75">
        <f>IFERROR(AVERAGE(B215:K215),"")</f>
        <v/>
      </c>
      <c r="AI215" s="45" t="n">
        <v>0.971351623535156</v>
      </c>
      <c r="AJ215" s="47" t="n">
        <v>0.0192070007324219</v>
      </c>
    </row>
    <row r="216" ht="15" customHeight="1" s="30">
      <c r="A216" s="73" t="inlineStr">
        <is>
          <t>7840.jpg</t>
        </is>
      </c>
      <c r="B216" s="45" t="n"/>
      <c r="C216" s="45" t="n"/>
      <c r="D216" s="45" t="n"/>
      <c r="E216" s="45" t="n"/>
      <c r="F216" s="45" t="n"/>
      <c r="G216" s="45" t="n">
        <v>0.938145956607495</v>
      </c>
      <c r="H216" s="45" t="n">
        <v>0.881762212353654</v>
      </c>
      <c r="I216" s="45" t="n"/>
      <c r="J216" s="45" t="n"/>
      <c r="K216" s="45" t="n">
        <v>0.9808987699410811</v>
      </c>
      <c r="L216" s="45" t="n"/>
      <c r="M216" s="45" t="n"/>
      <c r="N216" s="45" t="n"/>
      <c r="O216" s="45" t="n"/>
      <c r="P216" s="45" t="n"/>
      <c r="Q216" s="45" t="n">
        <v>0.9427574724490611</v>
      </c>
      <c r="R216" s="45" t="n">
        <v>0.945918146383716</v>
      </c>
      <c r="S216" s="45" t="n"/>
      <c r="T216" s="45" t="n"/>
      <c r="U216" s="45" t="n">
        <v>0.996456057298116</v>
      </c>
      <c r="V216" s="45" t="n"/>
      <c r="W216" s="45" t="n"/>
      <c r="X216" s="45" t="n"/>
      <c r="Y216" s="45" t="n"/>
      <c r="Z216" s="45" t="n"/>
      <c r="AA216" s="45" t="n">
        <v>0.994813017652472</v>
      </c>
      <c r="AB216" s="45" t="n">
        <v>0.928575224531009</v>
      </c>
      <c r="AC216" s="45" t="n"/>
      <c r="AD216" s="45" t="n"/>
      <c r="AE216" s="45" t="n">
        <v>0.984332725371044</v>
      </c>
      <c r="AF216" s="75">
        <f>IFERROR(AVERAGE(L216:U216),"")</f>
        <v/>
      </c>
      <c r="AG216" s="75">
        <f>IFERROR(AVERAGE(V216:AE216),"")</f>
        <v/>
      </c>
      <c r="AH216" s="75">
        <f>IFERROR(AVERAGE(B216:K216),"")</f>
        <v/>
      </c>
      <c r="AI216" s="45" t="n">
        <v>0.980808258056641</v>
      </c>
      <c r="AJ216" s="47" t="n">
        <v>0.0095367431640625</v>
      </c>
    </row>
    <row r="217" ht="15" customHeight="1" s="30">
      <c r="A217" s="73" t="inlineStr">
        <is>
          <t>7853.jpg</t>
        </is>
      </c>
      <c r="B217" s="45" t="n"/>
      <c r="C217" s="45" t="n"/>
      <c r="D217" s="45" t="n"/>
      <c r="E217" s="45" t="n"/>
      <c r="F217" s="45" t="n"/>
      <c r="G217" s="45" t="n">
        <v>0.90776391407906</v>
      </c>
      <c r="H217" s="45" t="n">
        <v>0.418164415612039</v>
      </c>
      <c r="I217" s="45" t="n"/>
      <c r="J217" s="45" t="n"/>
      <c r="K217" s="45" t="n">
        <v>0.727532650671773</v>
      </c>
      <c r="L217" s="45" t="n"/>
      <c r="M217" s="45" t="n"/>
      <c r="N217" s="45" t="n"/>
      <c r="O217" s="45" t="n"/>
      <c r="P217" s="45" t="n"/>
      <c r="Q217" s="45" t="n">
        <v>0.982057161769225</v>
      </c>
      <c r="R217" s="45" t="n">
        <v>0.953520329803573</v>
      </c>
      <c r="S217" s="45" t="n"/>
      <c r="T217" s="45" t="n"/>
      <c r="U217" s="45" t="n">
        <v>0.7488364970404749</v>
      </c>
      <c r="V217" s="45" t="n"/>
      <c r="W217" s="45" t="n"/>
      <c r="X217" s="45" t="n"/>
      <c r="Y217" s="45" t="n"/>
      <c r="Z217" s="45" t="n"/>
      <c r="AA217" s="45" t="n">
        <v>0.923073504577371</v>
      </c>
      <c r="AB217" s="45" t="n">
        <v>0.426865455598176</v>
      </c>
      <c r="AC217" s="45" t="n"/>
      <c r="AD217" s="45" t="n"/>
      <c r="AE217" s="45" t="n">
        <v>0.962367799568744</v>
      </c>
      <c r="AF217" s="75">
        <f>IFERROR(AVERAGE(L217:U217),"")</f>
        <v/>
      </c>
      <c r="AG217" s="75">
        <f>IFERROR(AVERAGE(V217:AE217),"")</f>
        <v/>
      </c>
      <c r="AH217" s="75">
        <f>IFERROR(AVERAGE(B217:K217),"")</f>
        <v/>
      </c>
      <c r="AI217" s="45" t="n">
        <v>0.835975646972656</v>
      </c>
      <c r="AJ217" s="47" t="n">
        <v>0.00994491577148438</v>
      </c>
    </row>
    <row r="218" ht="15" customHeight="1" s="30">
      <c r="A218" s="73" t="inlineStr">
        <is>
          <t>7866.jpg</t>
        </is>
      </c>
      <c r="B218" s="45" t="n"/>
      <c r="C218" s="45" t="n"/>
      <c r="D218" s="45" t="n"/>
      <c r="E218" s="45" t="n"/>
      <c r="F218" s="45" t="n"/>
      <c r="G218" s="45" t="n">
        <v>0.8865162716417599</v>
      </c>
      <c r="H218" s="45" t="n">
        <v>0.9267030298204399</v>
      </c>
      <c r="I218" s="45" t="n"/>
      <c r="J218" s="45" t="n"/>
      <c r="K218" s="45" t="n">
        <v>0.8838419682990299</v>
      </c>
      <c r="L218" s="45" t="n"/>
      <c r="M218" s="45" t="n"/>
      <c r="N218" s="45" t="n"/>
      <c r="O218" s="45" t="n"/>
      <c r="P218" s="45" t="n"/>
      <c r="Q218" s="45" t="n">
        <v>0.986674984991701</v>
      </c>
      <c r="R218" s="45" t="n">
        <v>0.933148916551406</v>
      </c>
      <c r="S218" s="45" t="n"/>
      <c r="T218" s="45" t="n"/>
      <c r="U218" s="45" t="n">
        <v>0.926327913170755</v>
      </c>
      <c r="V218" s="45" t="n"/>
      <c r="W218" s="45" t="n"/>
      <c r="X218" s="45" t="n"/>
      <c r="Y218" s="45" t="n"/>
      <c r="Z218" s="45" t="n"/>
      <c r="AA218" s="45" t="n">
        <v>0.897258587653475</v>
      </c>
      <c r="AB218" s="45" t="n">
        <v>0.992601121559095</v>
      </c>
      <c r="AC218" s="45" t="n"/>
      <c r="AD218" s="45" t="n"/>
      <c r="AE218" s="45" t="n">
        <v>0.950667345230082</v>
      </c>
      <c r="AF218" s="75">
        <f>IFERROR(AVERAGE(L218:U218),"")</f>
        <v/>
      </c>
      <c r="AG218" s="75">
        <f>IFERROR(AVERAGE(V218:AE218),"")</f>
        <v/>
      </c>
      <c r="AH218" s="75">
        <f>IFERROR(AVERAGE(B218:K218),"")</f>
        <v/>
      </c>
      <c r="AI218" s="45" t="n">
        <v>0.939136505126953</v>
      </c>
      <c r="AJ218" s="47" t="n">
        <v>0.00868606567382813</v>
      </c>
    </row>
    <row r="219" ht="15" customHeight="1" s="30">
      <c r="A219" s="73" t="inlineStr">
        <is>
          <t>7874.jpg</t>
        </is>
      </c>
      <c r="B219" s="45" t="n"/>
      <c r="C219" s="45" t="n"/>
      <c r="D219" s="45" t="n"/>
      <c r="E219" s="45" t="n"/>
      <c r="F219" s="45" t="n"/>
      <c r="G219" s="45" t="n">
        <v>0</v>
      </c>
      <c r="H219" s="45" t="n">
        <v>0.956389878793613</v>
      </c>
      <c r="I219" s="45" t="n"/>
      <c r="J219" s="45" t="n"/>
      <c r="K219" s="45" t="n">
        <v>0.929046882779947</v>
      </c>
      <c r="L219" s="45" t="n"/>
      <c r="M219" s="45" t="n"/>
      <c r="N219" s="45" t="n"/>
      <c r="O219" s="45" t="n"/>
      <c r="P219" s="45" t="n"/>
      <c r="Q219" s="45" t="n">
        <v>0</v>
      </c>
      <c r="R219" s="45" t="n">
        <v>0.988773142487624</v>
      </c>
      <c r="S219" s="45" t="n"/>
      <c r="T219" s="45" t="n"/>
      <c r="U219" s="45" t="n">
        <v>0.967760868081622</v>
      </c>
      <c r="V219" s="45" t="n"/>
      <c r="W219" s="45" t="n"/>
      <c r="X219" s="45" t="n"/>
      <c r="Y219" s="45" t="n"/>
      <c r="Z219" s="45" t="n"/>
      <c r="AA219" s="45" t="n"/>
      <c r="AB219" s="45" t="n">
        <v>0.966889493485238</v>
      </c>
      <c r="AC219" s="45" t="n"/>
      <c r="AD219" s="45" t="n"/>
      <c r="AE219" s="45" t="n">
        <v>0.958718697603981</v>
      </c>
      <c r="AF219" s="75">
        <f>IFERROR(AVERAGE(L219:U219),"")</f>
        <v/>
      </c>
      <c r="AG219" s="75">
        <f>IFERROR(AVERAGE(V219:AE219),"")</f>
        <v/>
      </c>
      <c r="AH219" s="75">
        <f>IFERROR(AVERAGE(B219:K219),"")</f>
        <v/>
      </c>
      <c r="AI219" s="45" t="n">
        <v>0.9645843505859381</v>
      </c>
      <c r="AJ219" s="47" t="n">
        <v>0.0140571594238281</v>
      </c>
    </row>
    <row r="220" ht="15" customHeight="1" s="30">
      <c r="A220" s="73" t="inlineStr">
        <is>
          <t>7876.jpg</t>
        </is>
      </c>
      <c r="B220" s="45" t="n"/>
      <c r="C220" s="45" t="n"/>
      <c r="D220" s="45" t="n"/>
      <c r="E220" s="45" t="n"/>
      <c r="F220" s="45" t="n"/>
      <c r="G220" s="45" t="n"/>
      <c r="H220" s="45" t="n">
        <v>0.966914014316378</v>
      </c>
      <c r="I220" s="45" t="n"/>
      <c r="J220" s="45" t="n"/>
      <c r="K220" s="45" t="n">
        <v>0.931782426778243</v>
      </c>
      <c r="L220" s="45" t="n"/>
      <c r="M220" s="45" t="n"/>
      <c r="N220" s="45" t="n"/>
      <c r="O220" s="45" t="n"/>
      <c r="P220" s="45" t="n"/>
      <c r="Q220" s="45" t="n"/>
      <c r="R220" s="45" t="n">
        <v>0.988712769021442</v>
      </c>
      <c r="S220" s="45" t="n"/>
      <c r="T220" s="45" t="n"/>
      <c r="U220" s="45" t="n">
        <v>0.97802371541502</v>
      </c>
      <c r="V220" s="45" t="n"/>
      <c r="W220" s="45" t="n"/>
      <c r="X220" s="45" t="n"/>
      <c r="Y220" s="45" t="n"/>
      <c r="Z220" s="45" t="n"/>
      <c r="AA220" s="45" t="n"/>
      <c r="AB220" s="45" t="n">
        <v>0.977706302634486</v>
      </c>
      <c r="AC220" s="45" t="n"/>
      <c r="AD220" s="45" t="n"/>
      <c r="AE220" s="45" t="n">
        <v>0.951708576214978</v>
      </c>
      <c r="AF220" s="75">
        <f>IFERROR(AVERAGE(L220:U220),"")</f>
        <v/>
      </c>
      <c r="AG220" s="75">
        <f>IFERROR(AVERAGE(V220:AE220),"")</f>
        <v/>
      </c>
      <c r="AH220" s="75">
        <f>IFERROR(AVERAGE(B220:K220),"")</f>
        <v/>
      </c>
      <c r="AI220" s="45" t="n">
        <v>0.971904754638672</v>
      </c>
      <c r="AJ220" s="47" t="n">
        <v>0.0146522521972656</v>
      </c>
    </row>
    <row r="221" ht="15" customHeight="1" s="30">
      <c r="A221" s="73" t="inlineStr">
        <is>
          <t>7877.jpg</t>
        </is>
      </c>
      <c r="B221" s="45" t="n"/>
      <c r="C221" s="45" t="n"/>
      <c r="D221" s="45" t="n"/>
      <c r="E221" s="45" t="n"/>
      <c r="F221" s="45" t="n"/>
      <c r="G221" s="45" t="n"/>
      <c r="H221" s="45" t="n">
        <v>0.974449249176719</v>
      </c>
      <c r="I221" s="45" t="n"/>
      <c r="J221" s="45" t="n"/>
      <c r="K221" s="45" t="n">
        <v>0.84962289692516</v>
      </c>
      <c r="L221" s="45" t="n"/>
      <c r="M221" s="45" t="n"/>
      <c r="N221" s="45" t="n"/>
      <c r="O221" s="45" t="n"/>
      <c r="P221" s="45" t="n"/>
      <c r="Q221" s="45" t="n"/>
      <c r="R221" s="45" t="n">
        <v>0.985036364404671</v>
      </c>
      <c r="S221" s="45" t="n"/>
      <c r="T221" s="45" t="n"/>
      <c r="U221" s="45" t="n">
        <v>0.9632536724402539</v>
      </c>
      <c r="V221" s="45" t="n"/>
      <c r="W221" s="45" t="n"/>
      <c r="X221" s="45" t="n"/>
      <c r="Y221" s="45" t="n"/>
      <c r="Z221" s="45" t="n"/>
      <c r="AA221" s="45" t="n"/>
      <c r="AB221" s="45" t="n">
        <v>0.989090566215643</v>
      </c>
      <c r="AC221" s="45" t="n"/>
      <c r="AD221" s="45" t="n"/>
      <c r="AE221" s="45" t="n">
        <v>0.878082903625535</v>
      </c>
      <c r="AF221" s="75">
        <f>IFERROR(AVERAGE(L221:U221),"")</f>
        <v/>
      </c>
      <c r="AG221" s="75">
        <f>IFERROR(AVERAGE(V221:AE221),"")</f>
        <v/>
      </c>
      <c r="AH221" s="75">
        <f>IFERROR(AVERAGE(B221:K221),"")</f>
        <v/>
      </c>
      <c r="AI221" s="45" t="n">
        <v>0.967903137207031</v>
      </c>
      <c r="AJ221" s="47" t="n">
        <v>0.0135459899902344</v>
      </c>
    </row>
    <row r="222" ht="15" customHeight="1" s="30">
      <c r="A222" s="73" t="inlineStr">
        <is>
          <t>7880.jpg</t>
        </is>
      </c>
      <c r="B222" s="45" t="n"/>
      <c r="C222" s="45" t="n"/>
      <c r="D222" s="45" t="n"/>
      <c r="E222" s="45" t="n"/>
      <c r="F222" s="45" t="n"/>
      <c r="G222" s="45" t="n"/>
      <c r="H222" s="45" t="n">
        <v>0.965838739331414</v>
      </c>
      <c r="I222" s="45" t="n"/>
      <c r="J222" s="45" t="n"/>
      <c r="K222" s="45" t="n">
        <v>0.785988269939865</v>
      </c>
      <c r="L222" s="45" t="n"/>
      <c r="M222" s="45" t="n"/>
      <c r="N222" s="45" t="n"/>
      <c r="O222" s="45" t="n"/>
      <c r="P222" s="45" t="n"/>
      <c r="Q222" s="45" t="n"/>
      <c r="R222" s="45" t="n">
        <v>0.9716339410939689</v>
      </c>
      <c r="S222" s="45" t="n"/>
      <c r="T222" s="45" t="n"/>
      <c r="U222" s="45" t="n">
        <v>0.960039899646344</v>
      </c>
      <c r="V222" s="45" t="n"/>
      <c r="W222" s="45" t="n"/>
      <c r="X222" s="45" t="n"/>
      <c r="Y222" s="45" t="n"/>
      <c r="Z222" s="45" t="n"/>
      <c r="AA222" s="45" t="n"/>
      <c r="AB222" s="45" t="n">
        <v>0.993862555310974</v>
      </c>
      <c r="AC222" s="45" t="n"/>
      <c r="AD222" s="45" t="n"/>
      <c r="AE222" s="45" t="n">
        <v>0.812571954869906</v>
      </c>
      <c r="AF222" s="75">
        <f>IFERROR(AVERAGE(L222:U222),"")</f>
        <v/>
      </c>
      <c r="AG222" s="75">
        <f>IFERROR(AVERAGE(V222:AE222),"")</f>
        <v/>
      </c>
      <c r="AH222" s="75">
        <f>IFERROR(AVERAGE(B222:K222),"")</f>
        <v/>
      </c>
      <c r="AI222" s="45" t="n">
        <v>0.966831207275391</v>
      </c>
      <c r="AJ222" s="47" t="n">
        <v>0.00343704223632813</v>
      </c>
    </row>
    <row r="223" ht="15" customHeight="1" s="30">
      <c r="A223" s="73" t="inlineStr">
        <is>
          <t>7881.jpg</t>
        </is>
      </c>
      <c r="B223" s="45" t="n"/>
      <c r="C223" s="45" t="n"/>
      <c r="D223" s="45" t="n"/>
      <c r="E223" s="45" t="n"/>
      <c r="F223" s="45" t="n">
        <v>0</v>
      </c>
      <c r="G223" s="45" t="n"/>
      <c r="H223" s="45" t="n">
        <v>0.910313450138898</v>
      </c>
      <c r="I223" s="45" t="n"/>
      <c r="J223" s="45" t="n"/>
      <c r="K223" s="45" t="n">
        <v>0.626704804543382</v>
      </c>
      <c r="L223" s="45" t="n"/>
      <c r="M223" s="45" t="n"/>
      <c r="N223" s="45" t="n"/>
      <c r="O223" s="45" t="n"/>
      <c r="P223" s="45" t="n"/>
      <c r="Q223" s="45" t="n"/>
      <c r="R223" s="45" t="n">
        <v>0.915169853807857</v>
      </c>
      <c r="S223" s="45" t="n"/>
      <c r="T223" s="45" t="n"/>
      <c r="U223" s="45" t="n">
        <v>0.963083293518076</v>
      </c>
      <c r="V223" s="45" t="n"/>
      <c r="W223" s="45" t="n"/>
      <c r="X223" s="45" t="n"/>
      <c r="Y223" s="45" t="n"/>
      <c r="Z223" s="45" t="n">
        <v>0</v>
      </c>
      <c r="AA223" s="45" t="n"/>
      <c r="AB223" s="45" t="n">
        <v>0.994204408089939</v>
      </c>
      <c r="AC223" s="45" t="n"/>
      <c r="AD223" s="45" t="n"/>
      <c r="AE223" s="45" t="n">
        <v>0.642130524348546</v>
      </c>
      <c r="AF223" s="75">
        <f>IFERROR(AVERAGE(L223:U223),"")</f>
        <v/>
      </c>
      <c r="AG223" s="75">
        <f>IFERROR(AVERAGE(V223:AE223),"")</f>
        <v/>
      </c>
      <c r="AH223" s="75">
        <f>IFERROR(AVERAGE(B223:K223),"")</f>
        <v/>
      </c>
      <c r="AI223" s="45" t="n">
        <v>0.90911865234375</v>
      </c>
      <c r="AJ223" s="47" t="n">
        <v>0.0128822326660156</v>
      </c>
    </row>
    <row r="224" ht="15" customHeight="1" s="30">
      <c r="A224" s="73" t="inlineStr">
        <is>
          <t>7888.jpg</t>
        </is>
      </c>
      <c r="B224" s="45" t="n"/>
      <c r="C224" s="45" t="n"/>
      <c r="D224" s="45" t="n"/>
      <c r="E224" s="45" t="n"/>
      <c r="F224" s="45" t="n">
        <v>0.6120803287586259</v>
      </c>
      <c r="G224" s="45" t="n"/>
      <c r="H224" s="45" t="n">
        <v>0.502249563860068</v>
      </c>
      <c r="I224" s="45" t="n"/>
      <c r="J224" s="45" t="n"/>
      <c r="K224" s="45" t="n">
        <v>0.918251601852439</v>
      </c>
      <c r="L224" s="45" t="n"/>
      <c r="M224" s="45" t="n"/>
      <c r="N224" s="45" t="n"/>
      <c r="O224" s="45" t="n"/>
      <c r="P224" s="45" t="n">
        <v>0.817438127782955</v>
      </c>
      <c r="Q224" s="45" t="n"/>
      <c r="R224" s="45" t="n">
        <v>0.919224736724177</v>
      </c>
      <c r="S224" s="45" t="n"/>
      <c r="T224" s="45" t="n"/>
      <c r="U224" s="45" t="n">
        <v>0.928711363578034</v>
      </c>
      <c r="V224" s="45" t="n"/>
      <c r="W224" s="45" t="n"/>
      <c r="X224" s="45" t="n"/>
      <c r="Y224" s="45" t="n"/>
      <c r="Z224" s="45" t="n">
        <v>0.708999461110113</v>
      </c>
      <c r="AA224" s="45" t="n"/>
      <c r="AB224" s="45" t="n">
        <v>0.5254394671960551</v>
      </c>
      <c r="AC224" s="45" t="n"/>
      <c r="AD224" s="45" t="n"/>
      <c r="AE224" s="45" t="n">
        <v>0.987883282752219</v>
      </c>
      <c r="AF224" s="75">
        <f>IFERROR(AVERAGE(L224:U224),"")</f>
        <v/>
      </c>
      <c r="AG224" s="75">
        <f>IFERROR(AVERAGE(V224:AE224),"")</f>
        <v/>
      </c>
      <c r="AH224" s="75">
        <f>IFERROR(AVERAGE(B224:K224),"")</f>
        <v/>
      </c>
      <c r="AI224" s="45" t="n">
        <v>0.9209442138671881</v>
      </c>
      <c r="AJ224" s="47" t="n">
        <v>0.00325393676757813</v>
      </c>
    </row>
    <row r="225" ht="15" customHeight="1" s="30">
      <c r="A225" s="73" t="inlineStr">
        <is>
          <t>7889.jpg</t>
        </is>
      </c>
      <c r="B225" s="45" t="n"/>
      <c r="C225" s="45" t="n"/>
      <c r="D225" s="45" t="n"/>
      <c r="E225" s="45" t="n"/>
      <c r="F225" s="45" t="n">
        <v>0.653349093774626</v>
      </c>
      <c r="G225" s="45" t="n"/>
      <c r="H225" s="45" t="n">
        <v>0.931067513392699</v>
      </c>
      <c r="I225" s="45" t="n"/>
      <c r="J225" s="45" t="n"/>
      <c r="K225" s="45" t="n">
        <v>0.969360912178213</v>
      </c>
      <c r="L225" s="45" t="n"/>
      <c r="M225" s="45" t="n"/>
      <c r="N225" s="45" t="n"/>
      <c r="O225" s="45" t="n"/>
      <c r="P225" s="45" t="n">
        <v>0.9468935587026041</v>
      </c>
      <c r="Q225" s="45" t="n"/>
      <c r="R225" s="45" t="n">
        <v>0.96702162938944</v>
      </c>
      <c r="S225" s="45" t="n"/>
      <c r="T225" s="45" t="n"/>
      <c r="U225" s="45" t="n">
        <v>0.979129638845443</v>
      </c>
      <c r="V225" s="45" t="n"/>
      <c r="W225" s="45" t="n"/>
      <c r="X225" s="45" t="n"/>
      <c r="Y225" s="45" t="n"/>
      <c r="Z225" s="45" t="n">
        <v>0.678200408997955</v>
      </c>
      <c r="AA225" s="45" t="n"/>
      <c r="AB225" s="45" t="n">
        <v>0.961600469001905</v>
      </c>
      <c r="AC225" s="45" t="n"/>
      <c r="AD225" s="45" t="n"/>
      <c r="AE225" s="45" t="n">
        <v>0.989812556428466</v>
      </c>
      <c r="AF225" s="75">
        <f>IFERROR(AVERAGE(L225:U225),"")</f>
        <v/>
      </c>
      <c r="AG225" s="75">
        <f>IFERROR(AVERAGE(V225:AE225),"")</f>
        <v/>
      </c>
      <c r="AH225" s="75">
        <f>IFERROR(AVERAGE(B225:K225),"")</f>
        <v/>
      </c>
      <c r="AI225" s="45" t="n">
        <v>0.972343444824219</v>
      </c>
      <c r="AJ225" s="47" t="n">
        <v>0.00455093383789063</v>
      </c>
    </row>
    <row r="226" ht="15" customHeight="1" s="30">
      <c r="A226" s="73" t="inlineStr">
        <is>
          <t>7899.jpg</t>
        </is>
      </c>
      <c r="B226" s="45" t="n"/>
      <c r="C226" s="45" t="n"/>
      <c r="D226" s="45" t="n"/>
      <c r="E226" s="45" t="n"/>
      <c r="F226" s="45" t="n">
        <v>0.898297903890354</v>
      </c>
      <c r="G226" s="45" t="n">
        <v>0.885352112676056</v>
      </c>
      <c r="H226" s="45" t="n">
        <v>0.884541281804273</v>
      </c>
      <c r="I226" s="45" t="n">
        <v>0.904628330995792</v>
      </c>
      <c r="J226" s="45" t="n"/>
      <c r="K226" s="45" t="n">
        <v>0.9048672887431251</v>
      </c>
      <c r="L226" s="45" t="n"/>
      <c r="M226" s="45" t="n"/>
      <c r="N226" s="45" t="n"/>
      <c r="O226" s="45" t="n"/>
      <c r="P226" s="45" t="n">
        <v>0.991222739066408</v>
      </c>
      <c r="Q226" s="45" t="n">
        <v>0.914992721979622</v>
      </c>
      <c r="R226" s="45" t="n">
        <v>0.987943037974684</v>
      </c>
      <c r="S226" s="45" t="n">
        <v>0.968468468468469</v>
      </c>
      <c r="T226" s="45" t="n"/>
      <c r="U226" s="45" t="n">
        <v>0.91585881730854</v>
      </c>
      <c r="V226" s="45" t="n"/>
      <c r="W226" s="45" t="n"/>
      <c r="X226" s="45" t="n"/>
      <c r="Y226" s="45" t="n"/>
      <c r="Z226" s="45" t="n">
        <v>0.905500629924623</v>
      </c>
      <c r="AA226" s="45" t="n">
        <v>0.964702271332106</v>
      </c>
      <c r="AB226" s="45" t="n">
        <v>0.894194139718729</v>
      </c>
      <c r="AC226" s="45" t="n">
        <v>0.932080924855491</v>
      </c>
      <c r="AD226" s="45" t="n"/>
      <c r="AE226" s="45" t="n">
        <v>0.986910518277</v>
      </c>
      <c r="AF226" s="75">
        <f>IFERROR(AVERAGE(L226:U226),"")</f>
        <v/>
      </c>
      <c r="AG226" s="75">
        <f>IFERROR(AVERAGE(V226:AE226),"")</f>
        <v/>
      </c>
      <c r="AH226" s="75">
        <f>IFERROR(AVERAGE(B226:K226),"")</f>
        <v/>
      </c>
      <c r="AI226" s="45" t="n">
        <v>0.9447784423828131</v>
      </c>
      <c r="AJ226" s="47" t="n">
        <v>0.00489044189453125</v>
      </c>
    </row>
    <row r="227" ht="15" customHeight="1" s="30">
      <c r="A227" s="73" t="inlineStr">
        <is>
          <t>7903.jpg</t>
        </is>
      </c>
      <c r="B227" s="45" t="n"/>
      <c r="C227" s="45" t="n"/>
      <c r="D227" s="45" t="n"/>
      <c r="E227" s="45" t="n"/>
      <c r="F227" s="45" t="n">
        <v>0.863445478787105</v>
      </c>
      <c r="G227" s="45" t="n"/>
      <c r="H227" s="45" t="n">
        <v>0.866412618510637</v>
      </c>
      <c r="I227" s="45" t="n"/>
      <c r="J227" s="45" t="n"/>
      <c r="K227" s="45" t="n">
        <v>0.695725466586394</v>
      </c>
      <c r="L227" s="45" t="n"/>
      <c r="M227" s="45" t="n"/>
      <c r="N227" s="45" t="n"/>
      <c r="O227" s="45" t="n"/>
      <c r="P227" s="45" t="n">
        <v>0.954545454545455</v>
      </c>
      <c r="Q227" s="45" t="n"/>
      <c r="R227" s="45" t="n">
        <v>0.889472767390547</v>
      </c>
      <c r="S227" s="45" t="n"/>
      <c r="T227" s="45" t="n"/>
      <c r="U227" s="45" t="n">
        <v>0.889566301787446</v>
      </c>
      <c r="V227" s="45" t="n"/>
      <c r="W227" s="45" t="n"/>
      <c r="X227" s="45" t="n"/>
      <c r="Y227" s="45" t="n"/>
      <c r="Z227" s="45" t="n">
        <v>0.900469593019383</v>
      </c>
      <c r="AA227" s="45" t="n"/>
      <c r="AB227" s="45" t="n">
        <v>0.970946400982451</v>
      </c>
      <c r="AC227" s="45" t="n"/>
      <c r="AD227" s="45" t="n"/>
      <c r="AE227" s="45" t="n">
        <v>0.7614955783702571</v>
      </c>
      <c r="AF227" s="75">
        <f>IFERROR(AVERAGE(L227:U227),"")</f>
        <v/>
      </c>
      <c r="AG227" s="75">
        <f>IFERROR(AVERAGE(V227:AE227),"")</f>
        <v/>
      </c>
      <c r="AH227" s="75">
        <f>IFERROR(AVERAGE(B227:K227),"")</f>
        <v/>
      </c>
      <c r="AI227" s="45" t="n">
        <v>0.894176483154297</v>
      </c>
      <c r="AJ227" s="47" t="n">
        <v>0.0105476379394531</v>
      </c>
    </row>
    <row r="228" ht="15" customHeight="1" s="30">
      <c r="A228" s="73" t="inlineStr">
        <is>
          <t>7904.jpg</t>
        </is>
      </c>
      <c r="B228" s="45" t="n"/>
      <c r="C228" s="45" t="n"/>
      <c r="D228" s="45" t="n"/>
      <c r="E228" s="45" t="n"/>
      <c r="F228" s="45" t="n">
        <v>0.857036607503026</v>
      </c>
      <c r="G228" s="45" t="n"/>
      <c r="H228" s="45" t="n">
        <v>0.808951249080828</v>
      </c>
      <c r="I228" s="45" t="n"/>
      <c r="J228" s="45" t="n"/>
      <c r="K228" s="45" t="n">
        <v>0.725393286595575</v>
      </c>
      <c r="L228" s="45" t="n"/>
      <c r="M228" s="45" t="n"/>
      <c r="N228" s="45" t="n"/>
      <c r="O228" s="45" t="n"/>
      <c r="P228" s="45" t="n">
        <v>0.9179493411103909</v>
      </c>
      <c r="Q228" s="45" t="n"/>
      <c r="R228" s="45" t="n">
        <v>0.821796670738232</v>
      </c>
      <c r="S228" s="45" t="n"/>
      <c r="T228" s="45" t="n"/>
      <c r="U228" s="45" t="n">
        <v>0.933461609364918</v>
      </c>
      <c r="V228" s="45" t="n"/>
      <c r="W228" s="45" t="n"/>
      <c r="X228" s="45" t="n"/>
      <c r="Y228" s="45" t="n"/>
      <c r="Z228" s="45" t="n">
        <v>0.928137499829354</v>
      </c>
      <c r="AA228" s="45" t="n"/>
      <c r="AB228" s="45" t="n">
        <v>0.981043853412227</v>
      </c>
      <c r="AC228" s="45" t="n"/>
      <c r="AD228" s="45" t="n"/>
      <c r="AE228" s="45" t="n">
        <v>0.764946370571796</v>
      </c>
      <c r="AF228" s="75">
        <f>IFERROR(AVERAGE(L228:U228),"")</f>
        <v/>
      </c>
      <c r="AG228" s="75">
        <f>IFERROR(AVERAGE(V228:AE228),"")</f>
        <v/>
      </c>
      <c r="AH228" s="75">
        <f>IFERROR(AVERAGE(B228:K228),"")</f>
        <v/>
      </c>
      <c r="AI228" s="45" t="n">
        <v>0.8789520263671881</v>
      </c>
      <c r="AJ228" s="47" t="n">
        <v>0.00849533081054688</v>
      </c>
    </row>
    <row r="229" ht="15" customHeight="1" s="30">
      <c r="A229" s="73" t="inlineStr">
        <is>
          <t>7906.jpg</t>
        </is>
      </c>
      <c r="B229" s="45" t="n"/>
      <c r="C229" s="45" t="n"/>
      <c r="D229" s="45" t="n"/>
      <c r="E229" s="45" t="n"/>
      <c r="F229" s="45" t="n">
        <v>0.871901267511674</v>
      </c>
      <c r="G229" s="45" t="n"/>
      <c r="H229" s="45" t="n">
        <v>0.646749342352499</v>
      </c>
      <c r="I229" s="45" t="n"/>
      <c r="J229" s="45" t="n"/>
      <c r="K229" s="45" t="n">
        <v>0.893609550561798</v>
      </c>
      <c r="L229" s="45" t="n"/>
      <c r="M229" s="45" t="n"/>
      <c r="N229" s="45" t="n"/>
      <c r="O229" s="45" t="n"/>
      <c r="P229" s="45" t="n">
        <v>0.913805881448128</v>
      </c>
      <c r="Q229" s="45" t="n"/>
      <c r="R229" s="45" t="n">
        <v>0.647065458510358</v>
      </c>
      <c r="S229" s="45" t="n"/>
      <c r="T229" s="45" t="n"/>
      <c r="U229" s="45" t="n">
        <v>0.979899036816115</v>
      </c>
      <c r="V229" s="45" t="n"/>
      <c r="W229" s="45" t="n"/>
      <c r="X229" s="45" t="n"/>
      <c r="Y229" s="45" t="n"/>
      <c r="Z229" s="45" t="n">
        <v>0.950033437036606</v>
      </c>
      <c r="AA229" s="45" t="n"/>
      <c r="AB229" s="45" t="n">
        <v>0.9992451953782731</v>
      </c>
      <c r="AC229" s="45" t="n"/>
      <c r="AD229" s="45" t="n"/>
      <c r="AE229" s="45" t="n">
        <v>0.910296079711585</v>
      </c>
      <c r="AF229" s="75">
        <f>IFERROR(AVERAGE(L229:U229),"")</f>
        <v/>
      </c>
      <c r="AG229" s="75">
        <f>IFERROR(AVERAGE(V229:AE229),"")</f>
        <v/>
      </c>
      <c r="AH229" s="75">
        <f>IFERROR(AVERAGE(B229:K229),"")</f>
        <v/>
      </c>
      <c r="AI229" s="45" t="n">
        <v>0.926567077636719</v>
      </c>
      <c r="AJ229" s="47" t="n">
        <v>0.00156402587890625</v>
      </c>
    </row>
    <row r="230" ht="15" customHeight="1" s="30">
      <c r="A230" s="73" t="inlineStr">
        <is>
          <t>7911.jpg</t>
        </is>
      </c>
      <c r="B230" s="45" t="n"/>
      <c r="C230" s="45" t="n"/>
      <c r="D230" s="45" t="n"/>
      <c r="E230" s="45" t="n"/>
      <c r="F230" s="45" t="n">
        <v>0</v>
      </c>
      <c r="G230" s="45" t="n"/>
      <c r="H230" s="45" t="n">
        <v>0</v>
      </c>
      <c r="I230" s="45" t="n"/>
      <c r="J230" s="45" t="n"/>
      <c r="K230" s="45" t="n">
        <v>0.916772258182706</v>
      </c>
      <c r="L230" s="45" t="n"/>
      <c r="M230" s="45" t="n"/>
      <c r="N230" s="45" t="n"/>
      <c r="O230" s="45" t="n"/>
      <c r="P230" s="45" t="n">
        <v>0</v>
      </c>
      <c r="Q230" s="45" t="n"/>
      <c r="R230" s="45" t="n">
        <v>0</v>
      </c>
      <c r="S230" s="45" t="n"/>
      <c r="T230" s="45" t="n"/>
      <c r="U230" s="45" t="n">
        <v>0.971118199496266</v>
      </c>
      <c r="V230" s="45" t="n"/>
      <c r="W230" s="45" t="n"/>
      <c r="X230" s="45" t="n"/>
      <c r="Y230" s="45" t="n"/>
      <c r="Z230" s="45" t="n"/>
      <c r="AA230" s="45" t="n"/>
      <c r="AB230" s="45" t="n">
        <v>0</v>
      </c>
      <c r="AC230" s="45" t="n"/>
      <c r="AD230" s="45" t="n"/>
      <c r="AE230" s="45" t="n">
        <v>0.942469160990615</v>
      </c>
      <c r="AF230" s="75">
        <f>IFERROR(AVERAGE(L230:U230),"")</f>
        <v/>
      </c>
      <c r="AG230" s="75">
        <f>IFERROR(AVERAGE(V230:AE230),"")</f>
        <v/>
      </c>
      <c r="AH230" s="75">
        <f>IFERROR(AVERAGE(B230:K230),"")</f>
        <v/>
      </c>
      <c r="AI230" s="45" t="n">
        <v>0.916324615478516</v>
      </c>
      <c r="AJ230" s="47" t="n">
        <v>0.00415802001953125</v>
      </c>
    </row>
    <row r="231" ht="15" customHeight="1" s="30">
      <c r="A231" s="73" t="inlineStr">
        <is>
          <t>7915.jpg</t>
        </is>
      </c>
      <c r="B231" s="45" t="n"/>
      <c r="C231" s="45" t="n"/>
      <c r="D231" s="45" t="n"/>
      <c r="E231" s="45" t="n"/>
      <c r="F231" s="45" t="n">
        <v>0.752759381898455</v>
      </c>
      <c r="G231" s="45" t="n"/>
      <c r="H231" s="45" t="n">
        <v>0</v>
      </c>
      <c r="I231" s="45" t="n"/>
      <c r="J231" s="45" t="n"/>
      <c r="K231" s="45" t="n">
        <v>0.980614395385063</v>
      </c>
      <c r="L231" s="45" t="n"/>
      <c r="M231" s="45" t="n"/>
      <c r="N231" s="45" t="n"/>
      <c r="O231" s="45" t="n"/>
      <c r="P231" s="45" t="n">
        <v>0.922586838889859</v>
      </c>
      <c r="Q231" s="45" t="n"/>
      <c r="R231" s="45" t="n">
        <v>0</v>
      </c>
      <c r="S231" s="45" t="n"/>
      <c r="T231" s="45" t="n"/>
      <c r="U231" s="45" t="n">
        <v>0.991848264079172</v>
      </c>
      <c r="V231" s="45" t="n"/>
      <c r="W231" s="45" t="n"/>
      <c r="X231" s="45" t="n"/>
      <c r="Y231" s="45" t="n"/>
      <c r="Z231" s="45" t="n">
        <v>0.803511705685619</v>
      </c>
      <c r="AA231" s="45" t="n"/>
      <c r="AB231" s="45" t="n"/>
      <c r="AC231" s="45" t="n"/>
      <c r="AD231" s="45" t="n"/>
      <c r="AE231" s="45" t="n">
        <v>0.98858177904156</v>
      </c>
      <c r="AF231" s="75">
        <f>IFERROR(AVERAGE(L231:U231),"")</f>
        <v/>
      </c>
      <c r="AG231" s="75">
        <f>IFERROR(AVERAGE(V231:AE231),"")</f>
        <v/>
      </c>
      <c r="AH231" s="75">
        <f>IFERROR(AVERAGE(B231:K231),"")</f>
        <v/>
      </c>
      <c r="AI231" s="45" t="n">
        <v>0.9792938232421881</v>
      </c>
      <c r="AJ231" s="47" t="n">
        <v>0.00539016723632813</v>
      </c>
    </row>
    <row r="232" ht="15" customHeight="1" s="30">
      <c r="A232" s="73" t="inlineStr">
        <is>
          <t>7928.jpg</t>
        </is>
      </c>
      <c r="B232" s="45" t="n"/>
      <c r="C232" s="45" t="n"/>
      <c r="D232" s="45" t="n"/>
      <c r="E232" s="45" t="n"/>
      <c r="F232" s="45" t="n"/>
      <c r="G232" s="45" t="n"/>
      <c r="H232" s="45" t="n">
        <v>0.0942468454417998</v>
      </c>
      <c r="I232" s="45" t="n"/>
      <c r="J232" s="45" t="n"/>
      <c r="K232" s="45" t="n">
        <v>0.0299868254327887</v>
      </c>
      <c r="L232" s="45" t="n"/>
      <c r="M232" s="45" t="n"/>
      <c r="N232" s="45" t="n"/>
      <c r="O232" s="45" t="n"/>
      <c r="P232" s="45" t="n"/>
      <c r="Q232" s="45" t="n"/>
      <c r="R232" s="45" t="n">
        <v>0.0944406881222393</v>
      </c>
      <c r="S232" s="45" t="n"/>
      <c r="T232" s="45" t="n"/>
      <c r="U232" s="45" t="n">
        <v>0.99609756097561</v>
      </c>
      <c r="V232" s="45" t="n"/>
      <c r="W232" s="45" t="n"/>
      <c r="X232" s="45" t="n"/>
      <c r="Y232" s="45" t="n"/>
      <c r="Z232" s="45" t="n"/>
      <c r="AA232" s="45" t="n"/>
      <c r="AB232" s="45" t="n">
        <v>0.978685910883612</v>
      </c>
      <c r="AC232" s="45" t="n"/>
      <c r="AD232" s="45" t="n"/>
      <c r="AE232" s="45" t="n">
        <v>0.0299903487054677</v>
      </c>
      <c r="AF232" s="75">
        <f>IFERROR(AVERAGE(L232:U232),"")</f>
        <v/>
      </c>
      <c r="AG232" s="75">
        <f>IFERROR(AVERAGE(V232:AE232),"")</f>
        <v/>
      </c>
      <c r="AH232" s="75">
        <f>IFERROR(AVERAGE(B232:K232),"")</f>
        <v/>
      </c>
      <c r="AI232" s="45" t="n">
        <v>0.116245269775391</v>
      </c>
      <c r="AJ232" s="47" t="n">
        <v>0.0304336547851563</v>
      </c>
    </row>
    <row r="233" ht="15" customHeight="1" s="30">
      <c r="A233" s="73" t="inlineStr">
        <is>
          <t>7935.jpg</t>
        </is>
      </c>
      <c r="B233" s="45" t="n"/>
      <c r="C233" s="45" t="n"/>
      <c r="D233" s="45" t="n"/>
      <c r="E233" s="45" t="n"/>
      <c r="F233" s="45" t="n"/>
      <c r="G233" s="45" t="n">
        <v>0.9411764705882349</v>
      </c>
      <c r="H233" s="45" t="n">
        <v>0.884972983498029</v>
      </c>
      <c r="I233" s="45" t="n"/>
      <c r="J233" s="45" t="n"/>
      <c r="K233" s="45" t="n">
        <v>0.960644207376339</v>
      </c>
      <c r="L233" s="45" t="n"/>
      <c r="M233" s="45" t="n"/>
      <c r="N233" s="45" t="n"/>
      <c r="O233" s="45" t="n"/>
      <c r="P233" s="45" t="n"/>
      <c r="Q233" s="45" t="n">
        <v>0.994517514246361</v>
      </c>
      <c r="R233" s="45" t="n">
        <v>0.942554956449606</v>
      </c>
      <c r="S233" s="45" t="n"/>
      <c r="T233" s="45" t="n"/>
      <c r="U233" s="45" t="n">
        <v>0.970858411768558</v>
      </c>
      <c r="V233" s="45" t="n"/>
      <c r="W233" s="45" t="n"/>
      <c r="X233" s="45" t="n"/>
      <c r="Y233" s="45" t="n"/>
      <c r="Z233" s="45" t="n"/>
      <c r="AA233" s="45" t="n">
        <v>0.94608516924658</v>
      </c>
      <c r="AB233" s="45" t="n">
        <v>0.9354257782351429</v>
      </c>
      <c r="AC233" s="45" t="n"/>
      <c r="AD233" s="45" t="n"/>
      <c r="AE233" s="45" t="n">
        <v>0.989166828416149</v>
      </c>
      <c r="AF233" s="75">
        <f>IFERROR(AVERAGE(L233:U233),"")</f>
        <v/>
      </c>
      <c r="AG233" s="75">
        <f>IFERROR(AVERAGE(V233:AE233),"")</f>
        <v/>
      </c>
      <c r="AH233" s="75">
        <f>IFERROR(AVERAGE(B233:K233),"")</f>
        <v/>
      </c>
      <c r="AI233" s="45" t="n">
        <v>0.972389221191406</v>
      </c>
      <c r="AJ233" s="47" t="n">
        <v>0.00316238403320313</v>
      </c>
    </row>
    <row r="234" ht="15" customHeight="1" s="30">
      <c r="A234" s="73" t="inlineStr">
        <is>
          <t>7946.jpg</t>
        </is>
      </c>
      <c r="B234" s="45" t="n"/>
      <c r="C234" s="45" t="n"/>
      <c r="D234" s="45" t="n"/>
      <c r="E234" s="45" t="n"/>
      <c r="F234" s="45" t="n"/>
      <c r="G234" s="45" t="n">
        <v>0.978858229160666</v>
      </c>
      <c r="H234" s="45" t="n">
        <v>0.447177901173824</v>
      </c>
      <c r="I234" s="45" t="n"/>
      <c r="J234" s="45" t="n"/>
      <c r="K234" s="45" t="n">
        <v>0.956282471971561</v>
      </c>
      <c r="L234" s="45" t="n"/>
      <c r="M234" s="45" t="n"/>
      <c r="N234" s="45" t="n"/>
      <c r="O234" s="45" t="n"/>
      <c r="P234" s="45" t="n"/>
      <c r="Q234" s="45" t="n">
        <v>0.999803867728396</v>
      </c>
      <c r="R234" s="45" t="n">
        <v>0.821963824289406</v>
      </c>
      <c r="S234" s="45" t="n"/>
      <c r="T234" s="45" t="n"/>
      <c r="U234" s="45" t="n">
        <v>0.96281274120834</v>
      </c>
      <c r="V234" s="45" t="n"/>
      <c r="W234" s="45" t="n"/>
      <c r="X234" s="45" t="n"/>
      <c r="Y234" s="45" t="n"/>
      <c r="Z234" s="45" t="n"/>
      <c r="AA234" s="45" t="n">
        <v>0.979046228897382</v>
      </c>
      <c r="AB234" s="45" t="n">
        <v>0.495135808234104</v>
      </c>
      <c r="AC234" s="45" t="n"/>
      <c r="AD234" s="45" t="n"/>
      <c r="AE234" s="45" t="n">
        <v>0.992957389417324</v>
      </c>
      <c r="AF234" s="75">
        <f>IFERROR(AVERAGE(L234:U234),"")</f>
        <v/>
      </c>
      <c r="AG234" s="75">
        <f>IFERROR(AVERAGE(V234:AE234),"")</f>
        <v/>
      </c>
      <c r="AH234" s="75">
        <f>IFERROR(AVERAGE(B234:K234),"")</f>
        <v/>
      </c>
      <c r="AI234" s="45" t="n">
        <v>0.965793609619141</v>
      </c>
      <c r="AJ234" s="47" t="n">
        <v>5.7220458984375e-05</v>
      </c>
    </row>
    <row r="235" ht="15" customHeight="1" s="30">
      <c r="A235" s="73" t="inlineStr">
        <is>
          <t>7956.jpg</t>
        </is>
      </c>
      <c r="B235" s="45" t="n"/>
      <c r="C235" s="45" t="n"/>
      <c r="D235" s="45" t="n"/>
      <c r="E235" s="45" t="n"/>
      <c r="F235" s="45" t="n"/>
      <c r="G235" s="45" t="n"/>
      <c r="H235" s="45" t="n">
        <v>0</v>
      </c>
      <c r="I235" s="45" t="n"/>
      <c r="J235" s="45" t="n"/>
      <c r="K235" s="45" t="n">
        <v>0.994361756139273</v>
      </c>
      <c r="L235" s="45" t="n"/>
      <c r="M235" s="45" t="n"/>
      <c r="N235" s="45" t="n"/>
      <c r="O235" s="45" t="n"/>
      <c r="P235" s="45" t="n"/>
      <c r="Q235" s="45" t="n"/>
      <c r="R235" s="45" t="n">
        <v>0</v>
      </c>
      <c r="S235" s="45" t="n"/>
      <c r="T235" s="45" t="n"/>
      <c r="U235" s="45" t="n">
        <v>0.9984323074977099</v>
      </c>
      <c r="V235" s="45" t="n"/>
      <c r="W235" s="45" t="n"/>
      <c r="X235" s="45" t="n"/>
      <c r="Y235" s="45" t="n"/>
      <c r="Z235" s="45" t="n"/>
      <c r="AA235" s="45" t="n"/>
      <c r="AB235" s="45" t="n">
        <v>0</v>
      </c>
      <c r="AC235" s="45" t="n"/>
      <c r="AD235" s="45" t="n"/>
      <c r="AE235" s="45" t="n">
        <v>0.9959166819599931</v>
      </c>
      <c r="AF235" s="75">
        <f>IFERROR(AVERAGE(L235:U235),"")</f>
        <v/>
      </c>
      <c r="AG235" s="75">
        <f>IFERROR(AVERAGE(V235:AE235),"")</f>
        <v/>
      </c>
      <c r="AH235" s="75">
        <f>IFERROR(AVERAGE(B235:K235),"")</f>
        <v/>
      </c>
      <c r="AI235" s="45" t="n">
        <v>0.9936676025390631</v>
      </c>
      <c r="AJ235" s="47" t="n">
        <v>0.00282669067382813</v>
      </c>
    </row>
    <row r="236" ht="15" customHeight="1" s="30">
      <c r="A236" s="73" t="inlineStr">
        <is>
          <t>7957.jpg</t>
        </is>
      </c>
      <c r="B236" s="45" t="n"/>
      <c r="C236" s="45" t="n"/>
      <c r="D236" s="45" t="n"/>
      <c r="E236" s="45" t="n"/>
      <c r="F236" s="45" t="n"/>
      <c r="G236" s="45" t="n"/>
      <c r="H236" s="45" t="n">
        <v>0</v>
      </c>
      <c r="I236" s="45" t="n"/>
      <c r="J236" s="45" t="n"/>
      <c r="K236" s="45" t="n">
        <v>0.983585477993781</v>
      </c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>
        <v>0.988431748466258</v>
      </c>
      <c r="V236" s="45" t="n"/>
      <c r="W236" s="45" t="n"/>
      <c r="X236" s="45" t="n"/>
      <c r="Y236" s="45" t="n"/>
      <c r="Z236" s="45" t="n"/>
      <c r="AA236" s="45" t="n"/>
      <c r="AB236" s="45" t="n">
        <v>0</v>
      </c>
      <c r="AC236" s="45" t="n"/>
      <c r="AD236" s="45" t="n"/>
      <c r="AE236" s="45" t="n">
        <v>0.995039912301018</v>
      </c>
      <c r="AF236" s="75">
        <f>IFERROR(AVERAGE(L236:U236),"")</f>
        <v/>
      </c>
      <c r="AG236" s="75">
        <f>IFERROR(AVERAGE(V236:AE236),"")</f>
        <v/>
      </c>
      <c r="AH236" s="75">
        <f>IFERROR(AVERAGE(B236:K236),"")</f>
        <v/>
      </c>
      <c r="AI236" s="45" t="n">
        <v>0.983364105224609</v>
      </c>
      <c r="AJ236" s="47" t="n">
        <v>0.005126953125</v>
      </c>
    </row>
    <row r="237" ht="15" customHeight="1" s="30">
      <c r="A237" s="73" t="inlineStr">
        <is>
          <t>7960.jpg</t>
        </is>
      </c>
      <c r="B237" s="45" t="n"/>
      <c r="C237" s="45" t="n"/>
      <c r="D237" s="45" t="n"/>
      <c r="E237" s="45" t="n"/>
      <c r="F237" s="45" t="n"/>
      <c r="G237" s="45" t="n"/>
      <c r="H237" s="45" t="n">
        <v>0.579556028180247</v>
      </c>
      <c r="I237" s="45" t="n"/>
      <c r="J237" s="45" t="n"/>
      <c r="K237" s="45" t="n">
        <v>0.985743878596034</v>
      </c>
      <c r="L237" s="45" t="n"/>
      <c r="M237" s="45" t="n"/>
      <c r="N237" s="45" t="n"/>
      <c r="O237" s="45" t="n"/>
      <c r="P237" s="45" t="n"/>
      <c r="Q237" s="45" t="n"/>
      <c r="R237" s="45" t="n">
        <v>0.588632374780613</v>
      </c>
      <c r="S237" s="45" t="n"/>
      <c r="T237" s="45" t="n"/>
      <c r="U237" s="45" t="n">
        <v>0.999543711279379</v>
      </c>
      <c r="V237" s="45" t="n"/>
      <c r="W237" s="45" t="n"/>
      <c r="X237" s="45" t="n"/>
      <c r="Y237" s="45" t="n"/>
      <c r="Z237" s="45" t="n"/>
      <c r="AA237" s="45" t="n"/>
      <c r="AB237" s="45" t="n">
        <v>0.97408400357462</v>
      </c>
      <c r="AC237" s="45" t="n"/>
      <c r="AD237" s="45" t="n"/>
      <c r="AE237" s="45" t="n">
        <v>0.986187652327802</v>
      </c>
      <c r="AF237" s="75">
        <f>IFERROR(AVERAGE(L237:U237),"")</f>
        <v/>
      </c>
      <c r="AG237" s="75">
        <f>IFERROR(AVERAGE(V237:AE237),"")</f>
        <v/>
      </c>
      <c r="AH237" s="75">
        <f>IFERROR(AVERAGE(B237:K237),"")</f>
        <v/>
      </c>
      <c r="AI237" s="45" t="n">
        <v>0.985980987548828</v>
      </c>
      <c r="AJ237" s="47" t="n">
        <v>0.001953125</v>
      </c>
    </row>
    <row r="238" ht="15" customHeight="1" s="30">
      <c r="A238" s="73" t="inlineStr">
        <is>
          <t>7961.jpg</t>
        </is>
      </c>
      <c r="B238" s="45" t="n"/>
      <c r="C238" s="45" t="n"/>
      <c r="D238" s="45" t="n"/>
      <c r="E238" s="45" t="n"/>
      <c r="F238" s="45" t="n"/>
      <c r="G238" s="45" t="n"/>
      <c r="H238" s="45" t="n">
        <v>0</v>
      </c>
      <c r="I238" s="45" t="n"/>
      <c r="J238" s="45" t="n"/>
      <c r="K238" s="45" t="n">
        <v>0.989093614099336</v>
      </c>
      <c r="L238" s="45" t="n"/>
      <c r="M238" s="45" t="n"/>
      <c r="N238" s="45" t="n"/>
      <c r="O238" s="45" t="n"/>
      <c r="P238" s="45" t="n"/>
      <c r="Q238" s="45" t="n"/>
      <c r="R238" s="45" t="n">
        <v>0</v>
      </c>
      <c r="S238" s="45" t="n"/>
      <c r="T238" s="45" t="n"/>
      <c r="U238" s="45" t="n">
        <v>0.997414917311976</v>
      </c>
      <c r="V238" s="45" t="n"/>
      <c r="W238" s="45" t="n"/>
      <c r="X238" s="45" t="n"/>
      <c r="Y238" s="45" t="n"/>
      <c r="Z238" s="45" t="n"/>
      <c r="AA238" s="45" t="n"/>
      <c r="AB238" s="45" t="n">
        <v>0</v>
      </c>
      <c r="AC238" s="45" t="n"/>
      <c r="AD238" s="45" t="n"/>
      <c r="AE238" s="45" t="n">
        <v>0.991635687732342</v>
      </c>
      <c r="AF238" s="75">
        <f>IFERROR(AVERAGE(L238:U238),"")</f>
        <v/>
      </c>
      <c r="AG238" s="75">
        <f>IFERROR(AVERAGE(V238:AE238),"")</f>
        <v/>
      </c>
      <c r="AH238" s="75">
        <f>IFERROR(AVERAGE(B238:K238),"")</f>
        <v/>
      </c>
      <c r="AI238" s="45" t="n">
        <v>0.989078521728516</v>
      </c>
      <c r="AJ238" s="47" t="n">
        <v>0.00197601318359375</v>
      </c>
    </row>
    <row r="239" ht="15" customHeight="1" s="30">
      <c r="A239" s="73" t="inlineStr">
        <is>
          <t>7964.jpg</t>
        </is>
      </c>
      <c r="B239" s="45" t="n"/>
      <c r="C239" s="45" t="n"/>
      <c r="D239" s="45" t="n"/>
      <c r="E239" s="45" t="n"/>
      <c r="F239" s="45" t="n"/>
      <c r="G239" s="45" t="n"/>
      <c r="H239" s="45" t="n">
        <v>0</v>
      </c>
      <c r="I239" s="45" t="n"/>
      <c r="J239" s="45" t="n"/>
      <c r="K239" s="45" t="n">
        <v>0.874190578428414</v>
      </c>
      <c r="L239" s="45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5" t="n">
        <v>0.878051494570431</v>
      </c>
      <c r="V239" s="45" t="n"/>
      <c r="W239" s="45" t="n"/>
      <c r="X239" s="45" t="n"/>
      <c r="Y239" s="45" t="n"/>
      <c r="Z239" s="45" t="n"/>
      <c r="AA239" s="45" t="n"/>
      <c r="AB239" s="45" t="n">
        <v>0</v>
      </c>
      <c r="AC239" s="45" t="n"/>
      <c r="AD239" s="45" t="n"/>
      <c r="AE239" s="45" t="n">
        <v>0.994995216975389</v>
      </c>
      <c r="AF239" s="75">
        <f>IFERROR(AVERAGE(L239:U239),"")</f>
        <v/>
      </c>
      <c r="AG239" s="75">
        <f>IFERROR(AVERAGE(V239:AE239),"")</f>
        <v/>
      </c>
      <c r="AH239" s="75">
        <f>IFERROR(AVERAGE(B239:K239),"")</f>
        <v/>
      </c>
      <c r="AI239" s="45" t="n">
        <v>0.872913360595703</v>
      </c>
      <c r="AJ239" s="47" t="n">
        <v>0.00585174560546875</v>
      </c>
    </row>
    <row r="240" ht="15" customHeight="1" s="30">
      <c r="A240" s="73" t="inlineStr">
        <is>
          <t>7969.jpg</t>
        </is>
      </c>
      <c r="B240" s="45" t="n"/>
      <c r="C240" s="45" t="n"/>
      <c r="D240" s="45" t="n"/>
      <c r="E240" s="45" t="n"/>
      <c r="F240" s="45" t="n"/>
      <c r="G240" s="45" t="n"/>
      <c r="H240" s="45" t="n">
        <v>0.801313628899836</v>
      </c>
      <c r="I240" s="45" t="n"/>
      <c r="J240" s="45" t="n"/>
      <c r="K240" s="45" t="n">
        <v>0.997112969429639</v>
      </c>
      <c r="L240" s="45" t="n"/>
      <c r="M240" s="45" t="n"/>
      <c r="N240" s="45" t="n"/>
      <c r="O240" s="45" t="n"/>
      <c r="P240" s="45" t="n"/>
      <c r="Q240" s="45" t="n"/>
      <c r="R240" s="45" t="n">
        <v>0.923368022705771</v>
      </c>
      <c r="S240" s="45" t="n"/>
      <c r="T240" s="45" t="n"/>
      <c r="U240" s="45" t="n">
        <v>0.999382135661518</v>
      </c>
      <c r="V240" s="45" t="n"/>
      <c r="W240" s="45" t="n"/>
      <c r="X240" s="45" t="n"/>
      <c r="Y240" s="45" t="n"/>
      <c r="Z240" s="45" t="n"/>
      <c r="AA240" s="45" t="n"/>
      <c r="AB240" s="45" t="n">
        <v>0.858399296394019</v>
      </c>
      <c r="AC240" s="45" t="n"/>
      <c r="AD240" s="45" t="n"/>
      <c r="AE240" s="45" t="n">
        <v>0.997728030282713</v>
      </c>
      <c r="AF240" s="75">
        <f>IFERROR(AVERAGE(L240:U240),"")</f>
        <v/>
      </c>
      <c r="AG240" s="75">
        <f>IFERROR(AVERAGE(V240:AE240),"")</f>
        <v/>
      </c>
      <c r="AH240" s="75">
        <f>IFERROR(AVERAGE(B240:K240),"")</f>
        <v/>
      </c>
      <c r="AI240" s="45" t="n">
        <v>0.997123718261719</v>
      </c>
      <c r="AJ240" s="47" t="n">
        <v>0.001953125</v>
      </c>
    </row>
    <row r="241" ht="15" customHeight="1" s="30">
      <c r="A241" s="73" t="inlineStr">
        <is>
          <t>7983.jpg</t>
        </is>
      </c>
      <c r="B241" s="45" t="n"/>
      <c r="C241" s="45" t="n"/>
      <c r="D241" s="45" t="n"/>
      <c r="E241" s="45" t="n"/>
      <c r="F241" s="45" t="n">
        <v>0.931110600137963</v>
      </c>
      <c r="G241" s="45" t="n"/>
      <c r="H241" s="45" t="n">
        <v>0.919046596521366</v>
      </c>
      <c r="I241" s="45" t="n"/>
      <c r="J241" s="45" t="n"/>
      <c r="K241" s="45" t="n">
        <v>0.879068929809554</v>
      </c>
      <c r="L241" s="45" t="n"/>
      <c r="M241" s="45" t="n"/>
      <c r="N241" s="45" t="n"/>
      <c r="O241" s="45" t="n"/>
      <c r="P241" s="45" t="n">
        <v>0.936623953370033</v>
      </c>
      <c r="Q241" s="45" t="n"/>
      <c r="R241" s="45" t="n">
        <v>0.935266022205804</v>
      </c>
      <c r="S241" s="45" t="n"/>
      <c r="T241" s="45" t="n"/>
      <c r="U241" s="45" t="n">
        <v>0.983756058728095</v>
      </c>
      <c r="V241" s="45" t="n"/>
      <c r="W241" s="45" t="n"/>
      <c r="X241" s="45" t="n"/>
      <c r="Y241" s="45" t="n"/>
      <c r="Z241" s="45" t="n">
        <v>0.993717791411043</v>
      </c>
      <c r="AA241" s="45" t="n"/>
      <c r="AB241" s="45" t="n">
        <v>0.981479863719752</v>
      </c>
      <c r="AC241" s="45" t="n"/>
      <c r="AD241" s="45" t="n"/>
      <c r="AE241" s="45" t="n">
        <v>0.892016848953336</v>
      </c>
      <c r="AF241" s="75">
        <f>IFERROR(AVERAGE(L241:U241),"")</f>
        <v/>
      </c>
      <c r="AG241" s="75">
        <f>IFERROR(AVERAGE(V241:AE241),"")</f>
        <v/>
      </c>
      <c r="AH241" s="75">
        <f>IFERROR(AVERAGE(B241:K241),"")</f>
        <v/>
      </c>
      <c r="AI241" s="45" t="n">
        <v>0.946983337402344</v>
      </c>
      <c r="AJ241" s="47" t="n">
        <v>0.00745773315429688</v>
      </c>
    </row>
    <row r="242" ht="15" customHeight="1" s="30">
      <c r="A242" s="73" t="inlineStr">
        <is>
          <t>7985.jpg</t>
        </is>
      </c>
      <c r="B242" s="45" t="n"/>
      <c r="C242" s="45" t="n"/>
      <c r="D242" s="45" t="n"/>
      <c r="E242" s="45" t="n"/>
      <c r="F242" s="45" t="n">
        <v>0.958530519188918</v>
      </c>
      <c r="G242" s="45" t="n"/>
      <c r="H242" s="45" t="n">
        <v>0.780514166602332</v>
      </c>
      <c r="I242" s="45" t="n">
        <v>0.8989598811292721</v>
      </c>
      <c r="J242" s="45" t="n"/>
      <c r="K242" s="45" t="n">
        <v>0.896619291901438</v>
      </c>
      <c r="L242" s="45" t="n"/>
      <c r="M242" s="45" t="n"/>
      <c r="N242" s="45" t="n"/>
      <c r="O242" s="45" t="n"/>
      <c r="P242" s="45" t="n">
        <v>0.979318498650056</v>
      </c>
      <c r="Q242" s="45" t="n"/>
      <c r="R242" s="45" t="n">
        <v>0.818424674168218</v>
      </c>
      <c r="S242" s="45" t="n">
        <v>0.920852359208524</v>
      </c>
      <c r="T242" s="45" t="n"/>
      <c r="U242" s="45" t="n">
        <v>0.972907123172668</v>
      </c>
      <c r="V242" s="45" t="n"/>
      <c r="W242" s="45" t="n"/>
      <c r="X242" s="45" t="n"/>
      <c r="Y242" s="45" t="n"/>
      <c r="Z242" s="45" t="n">
        <v>0.978334449811374</v>
      </c>
      <c r="AA242" s="45" t="n"/>
      <c r="AB242" s="45" t="n">
        <v>0.943977591036415</v>
      </c>
      <c r="AC242" s="45" t="n">
        <v>0.9742351046698871</v>
      </c>
      <c r="AD242" s="45" t="n"/>
      <c r="AE242" s="45" t="n">
        <v>0.919579786270603</v>
      </c>
      <c r="AF242" s="75">
        <f>IFERROR(AVERAGE(L242:U242),"")</f>
        <v/>
      </c>
      <c r="AG242" s="75">
        <f>IFERROR(AVERAGE(V242:AE242),"")</f>
        <v/>
      </c>
      <c r="AH242" s="75">
        <f>IFERROR(AVERAGE(B242:K242),"")</f>
        <v/>
      </c>
      <c r="AI242" s="45" t="n">
        <v>0.948127746582031</v>
      </c>
      <c r="AJ242" s="47" t="n">
        <v>0.0057373046875</v>
      </c>
    </row>
    <row r="243" ht="15" customHeight="1" s="30">
      <c r="A243" s="73" t="inlineStr">
        <is>
          <t>7986.jpg</t>
        </is>
      </c>
      <c r="B243" s="45" t="n"/>
      <c r="C243" s="45" t="n"/>
      <c r="D243" s="45" t="n"/>
      <c r="E243" s="45" t="n"/>
      <c r="F243" s="45" t="n">
        <v>0.976432506631546</v>
      </c>
      <c r="G243" s="45" t="n"/>
      <c r="H243" s="45" t="n">
        <v>0.90332384120223</v>
      </c>
      <c r="I243" s="45" t="n"/>
      <c r="J243" s="45" t="n"/>
      <c r="K243" s="45" t="n">
        <v>0.953338423687113</v>
      </c>
      <c r="L243" s="45" t="n"/>
      <c r="M243" s="45" t="n"/>
      <c r="N243" s="45" t="n"/>
      <c r="O243" s="45" t="n"/>
      <c r="P243" s="45" t="n">
        <v>0.993582302254688</v>
      </c>
      <c r="Q243" s="45" t="n"/>
      <c r="R243" s="45" t="n">
        <v>0.946825854674058</v>
      </c>
      <c r="S243" s="45" t="n"/>
      <c r="T243" s="45" t="n"/>
      <c r="U243" s="45" t="n">
        <v>0.977955318834147</v>
      </c>
      <c r="V243" s="45" t="n"/>
      <c r="W243" s="45" t="n"/>
      <c r="X243" s="45" t="n"/>
      <c r="Y243" s="45" t="n"/>
      <c r="Z243" s="45" t="n">
        <v>0.982629879221191</v>
      </c>
      <c r="AA243" s="45" t="n"/>
      <c r="AB243" s="45" t="n">
        <v>0.951599485744536</v>
      </c>
      <c r="AC243" s="45" t="n"/>
      <c r="AD243" s="45" t="n"/>
      <c r="AE243" s="45" t="n">
        <v>0.974275384308591</v>
      </c>
      <c r="AF243" s="75">
        <f>IFERROR(AVERAGE(L243:U243),"")</f>
        <v/>
      </c>
      <c r="AG243" s="75">
        <f>IFERROR(AVERAGE(V243:AE243),"")</f>
        <v/>
      </c>
      <c r="AH243" s="75">
        <f>IFERROR(AVERAGE(B243:K243),"")</f>
        <v/>
      </c>
      <c r="AI243" s="45" t="n">
        <v>0.9742584228515631</v>
      </c>
      <c r="AJ243" s="47" t="n">
        <v>0.00539779663085938</v>
      </c>
    </row>
    <row r="244" ht="15" customHeight="1" s="30">
      <c r="A244" s="73" t="inlineStr">
        <is>
          <t>7993.jpg</t>
        </is>
      </c>
      <c r="B244" s="45" t="n"/>
      <c r="C244" s="45" t="n"/>
      <c r="D244" s="45" t="n"/>
      <c r="E244" s="45" t="n"/>
      <c r="F244" s="45" t="n">
        <v>0.830973252416273</v>
      </c>
      <c r="G244" s="45" t="n"/>
      <c r="H244" s="45" t="n">
        <v>0.710805084745763</v>
      </c>
      <c r="I244" s="45" t="n"/>
      <c r="J244" s="45" t="n"/>
      <c r="K244" s="45" t="n">
        <v>0.964505436503748</v>
      </c>
      <c r="L244" s="45" t="n"/>
      <c r="M244" s="45" t="n"/>
      <c r="N244" s="45" t="n"/>
      <c r="O244" s="45" t="n"/>
      <c r="P244" s="45" t="n">
        <v>0.89324688921999</v>
      </c>
      <c r="Q244" s="45" t="n"/>
      <c r="R244" s="45" t="n">
        <v>0.855140186915888</v>
      </c>
      <c r="S244" s="45" t="n"/>
      <c r="T244" s="45" t="n"/>
      <c r="U244" s="45" t="n">
        <v>0.994708971667959</v>
      </c>
      <c r="V244" s="45" t="n"/>
      <c r="W244" s="45" t="n"/>
      <c r="X244" s="45" t="n"/>
      <c r="Y244" s="45" t="n"/>
      <c r="Z244" s="45" t="n">
        <v>0.922597013683817</v>
      </c>
      <c r="AA244" s="45" t="n"/>
      <c r="AB244" s="45" t="n">
        <v>0.808109193095143</v>
      </c>
      <c r="AC244" s="45" t="n"/>
      <c r="AD244" s="45" t="n"/>
      <c r="AE244" s="45" t="n">
        <v>0.96947922414159</v>
      </c>
      <c r="AF244" s="75">
        <f>IFERROR(AVERAGE(L244:U244),"")</f>
        <v/>
      </c>
      <c r="AG244" s="75">
        <f>IFERROR(AVERAGE(V244:AE244),"")</f>
        <v/>
      </c>
      <c r="AH244" s="75">
        <f>IFERROR(AVERAGE(B244:K244),"")</f>
        <v/>
      </c>
      <c r="AI244" s="45" t="n">
        <v>0.963645935058594</v>
      </c>
      <c r="AJ244" s="47" t="n">
        <v>0.0203056335449219</v>
      </c>
    </row>
    <row r="245" ht="15" customHeight="1" s="30">
      <c r="A245" s="73" t="inlineStr">
        <is>
          <t>7995.jpg</t>
        </is>
      </c>
      <c r="B245" s="45" t="n"/>
      <c r="C245" s="45" t="n"/>
      <c r="D245" s="45" t="n"/>
      <c r="E245" s="45" t="n"/>
      <c r="F245" s="45" t="n">
        <v>0.902203043379514</v>
      </c>
      <c r="G245" s="45" t="n"/>
      <c r="H245" s="45" t="n">
        <v>0.778268836908483</v>
      </c>
      <c r="I245" s="45" t="n"/>
      <c r="J245" s="45" t="n"/>
      <c r="K245" s="45" t="n">
        <v>0.945250215298562</v>
      </c>
      <c r="L245" s="45" t="n"/>
      <c r="M245" s="45" t="n"/>
      <c r="N245" s="45" t="n"/>
      <c r="O245" s="45" t="n"/>
      <c r="P245" s="45" t="n">
        <v>0.9258378781522399</v>
      </c>
      <c r="Q245" s="45" t="n"/>
      <c r="R245" s="45" t="n">
        <v>0.893232710627242</v>
      </c>
      <c r="S245" s="45" t="n"/>
      <c r="T245" s="45" t="n"/>
      <c r="U245" s="45" t="n">
        <v>0.9943848444619861</v>
      </c>
      <c r="V245" s="45" t="n"/>
      <c r="W245" s="45" t="n"/>
      <c r="X245" s="45" t="n"/>
      <c r="Y245" s="45" t="n"/>
      <c r="Z245" s="45" t="n">
        <v>0.972483352918136</v>
      </c>
      <c r="AA245" s="45" t="n"/>
      <c r="AB245" s="45" t="n">
        <v>0.858093653434752</v>
      </c>
      <c r="AC245" s="45" t="n"/>
      <c r="AD245" s="45" t="n"/>
      <c r="AE245" s="45" t="n">
        <v>0.950322752093817</v>
      </c>
      <c r="AF245" s="75">
        <f>IFERROR(AVERAGE(L245:U245),"")</f>
        <v/>
      </c>
      <c r="AG245" s="75">
        <f>IFERROR(AVERAGE(V245:AE245),"")</f>
        <v/>
      </c>
      <c r="AH245" s="75">
        <f>IFERROR(AVERAGE(B245:K245),"")</f>
        <v/>
      </c>
      <c r="AI245" s="45" t="n">
        <v>0.949089050292969</v>
      </c>
      <c r="AJ245" s="47" t="n">
        <v>0.036773681640625</v>
      </c>
    </row>
    <row r="246" ht="15" customHeight="1" s="30">
      <c r="A246" s="73" t="inlineStr">
        <is>
          <t>7997.jpg</t>
        </is>
      </c>
      <c r="B246" s="45" t="n"/>
      <c r="C246" s="45" t="n"/>
      <c r="D246" s="45" t="n"/>
      <c r="E246" s="45" t="n"/>
      <c r="F246" s="45" t="n">
        <v>0.876853224610823</v>
      </c>
      <c r="G246" s="45" t="n"/>
      <c r="H246" s="45" t="n">
        <v>0.924966879441166</v>
      </c>
      <c r="I246" s="45" t="n"/>
      <c r="J246" s="45" t="n"/>
      <c r="K246" s="45" t="n">
        <v>0.9867555865565379</v>
      </c>
      <c r="L246" s="45" t="n"/>
      <c r="M246" s="45" t="n"/>
      <c r="N246" s="45" t="n"/>
      <c r="O246" s="45" t="n"/>
      <c r="P246" s="45" t="n">
        <v>0.879338382195791</v>
      </c>
      <c r="Q246" s="45" t="n"/>
      <c r="R246" s="45" t="n">
        <v>0.997532147032082</v>
      </c>
      <c r="S246" s="45" t="n"/>
      <c r="T246" s="45" t="n"/>
      <c r="U246" s="45" t="n">
        <v>0.998945097718397</v>
      </c>
      <c r="V246" s="45" t="n"/>
      <c r="W246" s="45" t="n"/>
      <c r="X246" s="45" t="n"/>
      <c r="Y246" s="45" t="n"/>
      <c r="Z246" s="45" t="n">
        <v>0.996787275504292</v>
      </c>
      <c r="AA246" s="45" t="n"/>
      <c r="AB246" s="45" t="n">
        <v>0.927088363109609</v>
      </c>
      <c r="AC246" s="45" t="n"/>
      <c r="AD246" s="45" t="n"/>
      <c r="AE246" s="45" t="n">
        <v>0.987784888003304</v>
      </c>
      <c r="AF246" s="75">
        <f>IFERROR(AVERAGE(L246:U246),"")</f>
        <v/>
      </c>
      <c r="AG246" s="75">
        <f>IFERROR(AVERAGE(V246:AE246),"")</f>
        <v/>
      </c>
      <c r="AH246" s="75">
        <f>IFERROR(AVERAGE(B246:K246),"")</f>
        <v/>
      </c>
      <c r="AI246" s="45" t="n">
        <v>0.986518859863281</v>
      </c>
      <c r="AJ246" s="47" t="n">
        <v>0.00256729125976563</v>
      </c>
    </row>
    <row r="247" ht="15" customHeight="1" s="30">
      <c r="A247" s="73" t="inlineStr">
        <is>
          <t>8007.jpg</t>
        </is>
      </c>
      <c r="B247" s="45" t="n"/>
      <c r="C247" s="45" t="n"/>
      <c r="D247" s="45" t="n"/>
      <c r="E247" s="45" t="n"/>
      <c r="F247" s="45" t="n"/>
      <c r="G247" s="45" t="n"/>
      <c r="H247" s="45" t="n">
        <v>0</v>
      </c>
      <c r="I247" s="45" t="n"/>
      <c r="J247" s="45" t="n"/>
      <c r="K247" s="45" t="n">
        <v>0.9951285944259221</v>
      </c>
      <c r="L247" s="45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5" t="n">
        <v>0.997766294764945</v>
      </c>
      <c r="V247" s="45" t="n"/>
      <c r="W247" s="45" t="n"/>
      <c r="X247" s="45" t="n"/>
      <c r="Y247" s="45" t="n"/>
      <c r="Z247" s="45" t="n"/>
      <c r="AA247" s="45" t="n"/>
      <c r="AB247" s="45" t="n">
        <v>0</v>
      </c>
      <c r="AC247" s="45" t="n"/>
      <c r="AD247" s="45" t="n"/>
      <c r="AE247" s="45" t="n">
        <v>0.997350492051476</v>
      </c>
      <c r="AF247" s="75">
        <f>IFERROR(AVERAGE(L247:U247),"")</f>
        <v/>
      </c>
      <c r="AG247" s="75">
        <f>IFERROR(AVERAGE(V247:AE247),"")</f>
        <v/>
      </c>
      <c r="AH247" s="75">
        <f>IFERROR(AVERAGE(B247:K247),"")</f>
        <v/>
      </c>
      <c r="AI247" s="45" t="n">
        <v>0.995121002197266</v>
      </c>
      <c r="AJ247" s="47" t="n">
        <v>0.00265121459960938</v>
      </c>
    </row>
    <row r="248" ht="15" customHeight="1" s="30">
      <c r="A248" s="73" t="inlineStr">
        <is>
          <t>8017.jpg</t>
        </is>
      </c>
      <c r="B248" s="45" t="n"/>
      <c r="C248" s="45" t="n"/>
      <c r="D248" s="45" t="n"/>
      <c r="E248" s="45" t="n"/>
      <c r="F248" s="45" t="n"/>
      <c r="G248" s="45" t="n"/>
      <c r="H248" s="45" t="n">
        <v>0.9049658892590829</v>
      </c>
      <c r="I248" s="45" t="n"/>
      <c r="J248" s="45" t="n"/>
      <c r="K248" s="45" t="n">
        <v>0.9976559788141049</v>
      </c>
      <c r="L248" s="45" t="n"/>
      <c r="M248" s="45" t="n"/>
      <c r="N248" s="45" t="n"/>
      <c r="O248" s="45" t="n"/>
      <c r="P248" s="45" t="n"/>
      <c r="Q248" s="45" t="n"/>
      <c r="R248" s="45" t="n">
        <v>0.977381768334476</v>
      </c>
      <c r="S248" s="45" t="n"/>
      <c r="T248" s="45" t="n"/>
      <c r="U248" s="45" t="n">
        <v>0.998345172117711</v>
      </c>
      <c r="V248" s="45" t="n"/>
      <c r="W248" s="45" t="n"/>
      <c r="X248" s="45" t="n"/>
      <c r="Y248" s="45" t="n"/>
      <c r="Z248" s="45" t="n"/>
      <c r="AA248" s="45" t="n"/>
      <c r="AB248" s="45" t="n">
        <v>0.92432344838762</v>
      </c>
      <c r="AC248" s="45" t="n"/>
      <c r="AD248" s="45" t="n"/>
      <c r="AE248" s="45" t="n">
        <v>0.999308520820555</v>
      </c>
      <c r="AF248" s="75">
        <f>IFERROR(AVERAGE(L248:U248),"")</f>
        <v/>
      </c>
      <c r="AG248" s="75">
        <f>IFERROR(AVERAGE(V248:AE248),"")</f>
        <v/>
      </c>
      <c r="AH248" s="75">
        <f>IFERROR(AVERAGE(B248:K248),"")</f>
        <v/>
      </c>
      <c r="AI248" s="45" t="n">
        <v>0.9975433349609381</v>
      </c>
      <c r="AJ248" s="47" t="n">
        <v>0.000335693359375</v>
      </c>
    </row>
    <row r="249" ht="15" customHeight="1" s="30">
      <c r="A249" s="73" t="inlineStr">
        <is>
          <t>8018.jpg</t>
        </is>
      </c>
      <c r="B249" s="45" t="n"/>
      <c r="C249" s="45" t="n"/>
      <c r="D249" s="45" t="n"/>
      <c r="E249" s="45" t="n"/>
      <c r="F249" s="45" t="n"/>
      <c r="G249" s="45" t="n"/>
      <c r="H249" s="45" t="n">
        <v>0.928616607933496</v>
      </c>
      <c r="I249" s="45" t="n"/>
      <c r="J249" s="45" t="n"/>
      <c r="K249" s="45" t="n">
        <v>0.995123888182973</v>
      </c>
      <c r="L249" s="45" t="n"/>
      <c r="M249" s="45" t="n"/>
      <c r="N249" s="45" t="n"/>
      <c r="O249" s="45" t="n"/>
      <c r="P249" s="45" t="n"/>
      <c r="Q249" s="45" t="n"/>
      <c r="R249" s="45" t="n">
        <v>0.984386973180077</v>
      </c>
      <c r="S249" s="45" t="n"/>
      <c r="T249" s="45" t="n"/>
      <c r="U249" s="45" t="n">
        <v>0.997611579064694</v>
      </c>
      <c r="V249" s="45" t="n"/>
      <c r="W249" s="45" t="n"/>
      <c r="X249" s="45" t="n"/>
      <c r="Y249" s="45" t="n"/>
      <c r="Z249" s="45" t="n"/>
      <c r="AA249" s="45" t="n"/>
      <c r="AB249" s="45" t="n">
        <v>0.942498165810712</v>
      </c>
      <c r="AC249" s="45" t="n"/>
      <c r="AD249" s="45" t="n"/>
      <c r="AE249" s="45" t="n">
        <v>0.997500398025792</v>
      </c>
      <c r="AF249" s="75">
        <f>IFERROR(AVERAGE(L249:U249),"")</f>
        <v/>
      </c>
      <c r="AG249" s="75">
        <f>IFERROR(AVERAGE(V249:AE249),"")</f>
        <v/>
      </c>
      <c r="AH249" s="75">
        <f>IFERROR(AVERAGE(B249:K249),"")</f>
        <v/>
      </c>
      <c r="AI249" s="45" t="n">
        <v>0.995212554931641</v>
      </c>
      <c r="AJ249" s="47" t="n">
        <v>0.0018768310546875</v>
      </c>
    </row>
    <row r="250" ht="15" customHeight="1" s="30">
      <c r="A250" s="73" t="inlineStr">
        <is>
          <t>8021.jpg</t>
        </is>
      </c>
      <c r="B250" s="45" t="n"/>
      <c r="C250" s="45" t="n"/>
      <c r="D250" s="45" t="n"/>
      <c r="E250" s="45" t="n"/>
      <c r="F250" s="45" t="n"/>
      <c r="G250" s="45" t="n"/>
      <c r="H250" s="45" t="n">
        <v>0.927783723419106</v>
      </c>
      <c r="I250" s="45" t="n"/>
      <c r="J250" s="45" t="n"/>
      <c r="K250" s="45" t="n">
        <v>0.993525984830656</v>
      </c>
      <c r="L250" s="45" t="n"/>
      <c r="M250" s="45" t="n"/>
      <c r="N250" s="45" t="n"/>
      <c r="O250" s="45" t="n"/>
      <c r="P250" s="45" t="n"/>
      <c r="Q250" s="45" t="n"/>
      <c r="R250" s="45" t="n">
        <v>0.956077679213618</v>
      </c>
      <c r="S250" s="45" t="n"/>
      <c r="T250" s="45" t="n"/>
      <c r="U250" s="45" t="n">
        <v>0.9973887200998089</v>
      </c>
      <c r="V250" s="45" t="n"/>
      <c r="W250" s="45" t="n"/>
      <c r="X250" s="45" t="n"/>
      <c r="Y250" s="45" t="n"/>
      <c r="Z250" s="45" t="n"/>
      <c r="AA250" s="45" t="n"/>
      <c r="AB250" s="45" t="n">
        <v>0.969088699878493</v>
      </c>
      <c r="AC250" s="45" t="n"/>
      <c r="AD250" s="45" t="n"/>
      <c r="AE250" s="45" t="n">
        <v>0.996117051442859</v>
      </c>
      <c r="AF250" s="75">
        <f>IFERROR(AVERAGE(L250:U250),"")</f>
        <v/>
      </c>
      <c r="AG250" s="75">
        <f>IFERROR(AVERAGE(V250:AE250),"")</f>
        <v/>
      </c>
      <c r="AH250" s="75">
        <f>IFERROR(AVERAGE(B250:K250),"")</f>
        <v/>
      </c>
      <c r="AI250" s="45" t="n">
        <v>0.993995666503906</v>
      </c>
      <c r="AJ250" s="47" t="n">
        <v>0.0001068115234375</v>
      </c>
    </row>
    <row r="251" ht="15" customHeight="1" s="30">
      <c r="A251" s="73" t="inlineStr">
        <is>
          <t>8022.jpg</t>
        </is>
      </c>
      <c r="B251" s="45" t="n"/>
      <c r="C251" s="45" t="n"/>
      <c r="D251" s="45" t="n"/>
      <c r="E251" s="45" t="n"/>
      <c r="F251" s="45" t="n"/>
      <c r="G251" s="45" t="n"/>
      <c r="H251" s="45" t="n">
        <v>0.942941914869337</v>
      </c>
      <c r="I251" s="45" t="n"/>
      <c r="J251" s="45" t="n"/>
      <c r="K251" s="45" t="n">
        <v>0.925839210384872</v>
      </c>
      <c r="L251" s="45" t="n"/>
      <c r="M251" s="45" t="n"/>
      <c r="N251" s="45" t="n"/>
      <c r="O251" s="45" t="n"/>
      <c r="P251" s="45" t="n"/>
      <c r="Q251" s="45" t="n"/>
      <c r="R251" s="45" t="n">
        <v>0.9604230836287559</v>
      </c>
      <c r="S251" s="45" t="n"/>
      <c r="T251" s="45" t="n"/>
      <c r="U251" s="45" t="n">
        <v>0.998730585424134</v>
      </c>
      <c r="V251" s="45" t="n"/>
      <c r="W251" s="45" t="n"/>
      <c r="X251" s="45" t="n"/>
      <c r="Y251" s="45" t="n"/>
      <c r="Z251" s="45" t="n"/>
      <c r="AA251" s="45" t="n"/>
      <c r="AB251" s="45" t="n">
        <v>0.981062629860493</v>
      </c>
      <c r="AC251" s="45" t="n"/>
      <c r="AD251" s="45" t="n"/>
      <c r="AE251" s="45" t="n">
        <v>0.9269299915613191</v>
      </c>
      <c r="AF251" s="75">
        <f>IFERROR(AVERAGE(L251:U251),"")</f>
        <v/>
      </c>
      <c r="AG251" s="75">
        <f>IFERROR(AVERAGE(V251:AE251),"")</f>
        <v/>
      </c>
      <c r="AH251" s="75">
        <f>IFERROR(AVERAGE(B251:K251),"")</f>
        <v/>
      </c>
      <c r="AI251" s="45" t="n">
        <v>0.930408477783203</v>
      </c>
      <c r="AJ251" s="47" t="n">
        <v>0.0658912658691406</v>
      </c>
    </row>
    <row r="252" ht="15" customHeight="1" s="30">
      <c r="A252" s="73" t="inlineStr">
        <is>
          <t>8048.jpg</t>
        </is>
      </c>
      <c r="B252" s="45" t="n"/>
      <c r="C252" s="45" t="n"/>
      <c r="D252" s="45" t="n"/>
      <c r="E252" s="45" t="n"/>
      <c r="F252" s="45" t="n"/>
      <c r="G252" s="45" t="n"/>
      <c r="H252" s="45" t="n">
        <v>0</v>
      </c>
      <c r="I252" s="45" t="n"/>
      <c r="J252" s="45" t="n"/>
      <c r="K252" s="45" t="n">
        <v>0.9980621337890631</v>
      </c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>
        <v>0.998180174199677</v>
      </c>
      <c r="V252" s="45" t="n"/>
      <c r="W252" s="45" t="n"/>
      <c r="X252" s="45" t="n"/>
      <c r="Y252" s="45" t="n"/>
      <c r="Z252" s="45" t="n"/>
      <c r="AA252" s="45" t="n"/>
      <c r="AB252" s="45" t="n">
        <v>0</v>
      </c>
      <c r="AC252" s="45" t="n"/>
      <c r="AD252" s="45" t="n"/>
      <c r="AE252" s="45" t="n">
        <v>0.999881528813339</v>
      </c>
      <c r="AF252" s="75">
        <f>IFERROR(AVERAGE(L252:U252),"")</f>
        <v/>
      </c>
      <c r="AG252" s="75">
        <f>IFERROR(AVERAGE(V252:AE252),"")</f>
        <v/>
      </c>
      <c r="AH252" s="75">
        <f>IFERROR(AVERAGE(B252:K252),"")</f>
        <v/>
      </c>
      <c r="AI252" s="45" t="n">
        <v>0.9980621337890631</v>
      </c>
      <c r="AJ252" s="47" t="n">
        <v>0.000118255615234375</v>
      </c>
    </row>
    <row r="253" ht="15" customHeight="1" s="30">
      <c r="A253" s="73" t="inlineStr">
        <is>
          <t>8062.jpg</t>
        </is>
      </c>
      <c r="B253" s="45" t="n"/>
      <c r="C253" s="45" t="n"/>
      <c r="D253" s="45" t="n"/>
      <c r="E253" s="45" t="n"/>
      <c r="F253" s="45" t="n"/>
      <c r="G253" s="45" t="n"/>
      <c r="H253" s="45" t="n">
        <v>0.852263701350278</v>
      </c>
      <c r="I253" s="45" t="n"/>
      <c r="J253" s="45" t="n"/>
      <c r="K253" s="45" t="n">
        <v>0.997326397799832</v>
      </c>
      <c r="L253" s="45" t="n"/>
      <c r="M253" s="45" t="n"/>
      <c r="N253" s="45" t="n"/>
      <c r="O253" s="45" t="n"/>
      <c r="P253" s="45" t="n"/>
      <c r="Q253" s="45" t="n"/>
      <c r="R253" s="45" t="n">
        <v>0.94620811287478</v>
      </c>
      <c r="S253" s="45" t="n"/>
      <c r="T253" s="45" t="n"/>
      <c r="U253" s="45" t="n">
        <v>0.999520149866794</v>
      </c>
      <c r="V253" s="45" t="n"/>
      <c r="W253" s="45" t="n"/>
      <c r="X253" s="45" t="n"/>
      <c r="Y253" s="45" t="n"/>
      <c r="Z253" s="45" t="n"/>
      <c r="AA253" s="45" t="n"/>
      <c r="AB253" s="45" t="n">
        <v>0.895659432387312</v>
      </c>
      <c r="AC253" s="45" t="n"/>
      <c r="AD253" s="45" t="n"/>
      <c r="AE253" s="45" t="n">
        <v>0.997804143385988</v>
      </c>
      <c r="AF253" s="75">
        <f>IFERROR(AVERAGE(L253:U253),"")</f>
        <v/>
      </c>
      <c r="AG253" s="75">
        <f>IFERROR(AVERAGE(V253:AE253),"")</f>
        <v/>
      </c>
      <c r="AH253" s="75">
        <f>IFERROR(AVERAGE(B253:K253),"")</f>
        <v/>
      </c>
      <c r="AI253" s="45" t="n">
        <v>0.997337341308594</v>
      </c>
      <c r="AJ253" s="47" t="n">
        <v>0.001953125</v>
      </c>
    </row>
    <row r="254" ht="15" customHeight="1" s="30">
      <c r="A254" s="73" t="inlineStr">
        <is>
          <t>8064.jpg</t>
        </is>
      </c>
      <c r="B254" s="45" t="n"/>
      <c r="C254" s="45" t="n"/>
      <c r="D254" s="45" t="n"/>
      <c r="E254" s="45" t="n"/>
      <c r="F254" s="45" t="n">
        <v>0.888581697539397</v>
      </c>
      <c r="G254" s="45" t="n"/>
      <c r="H254" s="45" t="n">
        <v>0.765591397849462</v>
      </c>
      <c r="I254" s="45" t="n"/>
      <c r="J254" s="45" t="n"/>
      <c r="K254" s="45" t="n">
        <v>0.991022755010713</v>
      </c>
      <c r="L254" s="45" t="n"/>
      <c r="M254" s="45" t="n"/>
      <c r="N254" s="45" t="n"/>
      <c r="O254" s="45" t="n"/>
      <c r="P254" s="45" t="n">
        <v>0.9901417128773879</v>
      </c>
      <c r="Q254" s="45" t="n"/>
      <c r="R254" s="45" t="n">
        <v>0.778142076502732</v>
      </c>
      <c r="S254" s="45" t="n"/>
      <c r="T254" s="45" t="n"/>
      <c r="U254" s="45" t="n">
        <v>0.99896502567908</v>
      </c>
      <c r="V254" s="45" t="n"/>
      <c r="W254" s="45" t="n"/>
      <c r="X254" s="45" t="n"/>
      <c r="Y254" s="45" t="n"/>
      <c r="Z254" s="45" t="n">
        <v>0.896513249651325</v>
      </c>
      <c r="AA254" s="45" t="n"/>
      <c r="AB254" s="45" t="n">
        <v>0.979367262723521</v>
      </c>
      <c r="AC254" s="45" t="n"/>
      <c r="AD254" s="45" t="n"/>
      <c r="AE254" s="45" t="n">
        <v>0.992041329237643</v>
      </c>
      <c r="AF254" s="75">
        <f>IFERROR(AVERAGE(L254:U254),"")</f>
        <v/>
      </c>
      <c r="AG254" s="75">
        <f>IFERROR(AVERAGE(V254:AE254),"")</f>
        <v/>
      </c>
      <c r="AH254" s="75">
        <f>IFERROR(AVERAGE(B254:K254),"")</f>
        <v/>
      </c>
      <c r="AI254" s="45" t="n">
        <v>0.990699768066406</v>
      </c>
      <c r="AJ254" s="47" t="n">
        <v>0.00739288330078125</v>
      </c>
    </row>
    <row r="255" ht="15" customHeight="1" s="30">
      <c r="A255" s="73" t="inlineStr">
        <is>
          <t>8066.jpg</t>
        </is>
      </c>
      <c r="B255" s="45" t="n"/>
      <c r="C255" s="45" t="n"/>
      <c r="D255" s="45" t="n"/>
      <c r="E255" s="45" t="n"/>
      <c r="F255" s="45" t="n">
        <v>0.917944595597329</v>
      </c>
      <c r="G255" s="45" t="n"/>
      <c r="H255" s="45" t="n">
        <v>0.5816953316953321</v>
      </c>
      <c r="I255" s="45" t="n"/>
      <c r="J255" s="45" t="n"/>
      <c r="K255" s="45" t="n">
        <v>0.981828739422093</v>
      </c>
      <c r="L255" s="45" t="n"/>
      <c r="M255" s="45" t="n"/>
      <c r="N255" s="45" t="n"/>
      <c r="O255" s="45" t="n"/>
      <c r="P255" s="45" t="n">
        <v>0.96722700026062</v>
      </c>
      <c r="Q255" s="45" t="n"/>
      <c r="R255" s="45" t="n">
        <v>0.880111524163569</v>
      </c>
      <c r="S255" s="45" t="n"/>
      <c r="T255" s="45" t="n"/>
      <c r="U255" s="45" t="n">
        <v>0.994684986733036</v>
      </c>
      <c r="V255" s="45" t="n"/>
      <c r="W255" s="45" t="n"/>
      <c r="X255" s="45" t="n"/>
      <c r="Y255" s="45" t="n"/>
      <c r="Z255" s="45" t="n">
        <v>0.947412087561427</v>
      </c>
      <c r="AA255" s="45" t="n"/>
      <c r="AB255" s="45" t="n">
        <v>0.631754503002001</v>
      </c>
      <c r="AC255" s="45" t="n"/>
      <c r="AD255" s="45" t="n"/>
      <c r="AE255" s="45" t="n">
        <v>0.987006890470903</v>
      </c>
      <c r="AF255" s="75">
        <f>IFERROR(AVERAGE(L255:U255),"")</f>
        <v/>
      </c>
      <c r="AG255" s="75">
        <f>IFERROR(AVERAGE(V255:AE255),"")</f>
        <v/>
      </c>
      <c r="AH255" s="75">
        <f>IFERROR(AVERAGE(B255:K255),"")</f>
        <v/>
      </c>
      <c r="AI255" s="45" t="n">
        <v>0.982608795166016</v>
      </c>
      <c r="AJ255" s="47" t="n">
        <v>0.0100517272949219</v>
      </c>
    </row>
    <row r="256" ht="15" customHeight="1" s="30">
      <c r="A256" s="73" t="inlineStr">
        <is>
          <t>8069.jpg</t>
        </is>
      </c>
      <c r="B256" s="45" t="n"/>
      <c r="C256" s="45" t="n"/>
      <c r="D256" s="45" t="n"/>
      <c r="E256" s="45" t="n"/>
      <c r="F256" s="45" t="n">
        <v>0.837718658892128</v>
      </c>
      <c r="G256" s="45" t="n"/>
      <c r="H256" s="45" t="n">
        <v>0.196890898812889</v>
      </c>
      <c r="I256" s="45" t="n"/>
      <c r="J256" s="45" t="n"/>
      <c r="K256" s="45" t="n">
        <v>0.919239307826369</v>
      </c>
      <c r="L256" s="45" t="n"/>
      <c r="M256" s="45" t="n"/>
      <c r="N256" s="45" t="n"/>
      <c r="O256" s="45" t="n"/>
      <c r="P256" s="45" t="n">
        <v>0.934544863194699</v>
      </c>
      <c r="Q256" s="45" t="n"/>
      <c r="R256" s="45" t="n">
        <v>0.593659451167547</v>
      </c>
      <c r="S256" s="45" t="n"/>
      <c r="T256" s="45" t="n"/>
      <c r="U256" s="45" t="n">
        <v>0.940396946831095</v>
      </c>
      <c r="V256" s="45" t="n"/>
      <c r="W256" s="45" t="n"/>
      <c r="X256" s="45" t="n"/>
      <c r="Y256" s="45" t="n"/>
      <c r="Z256" s="45" t="n">
        <v>0.889934185056136</v>
      </c>
      <c r="AA256" s="45" t="n"/>
      <c r="AB256" s="45" t="n">
        <v>0.227557820462564</v>
      </c>
      <c r="AC256" s="45" t="n"/>
      <c r="AD256" s="45" t="n"/>
      <c r="AE256" s="45" t="n">
        <v>0.976109462100919</v>
      </c>
      <c r="AF256" s="75">
        <f>IFERROR(AVERAGE(L256:U256),"")</f>
        <v/>
      </c>
      <c r="AG256" s="75">
        <f>IFERROR(AVERAGE(V256:AE256),"")</f>
        <v/>
      </c>
      <c r="AH256" s="75">
        <f>IFERROR(AVERAGE(B256:K256),"")</f>
        <v/>
      </c>
      <c r="AI256" s="45" t="n">
        <v>0.923912048339844</v>
      </c>
      <c r="AJ256" s="47" t="n">
        <v>0.00869369506835938</v>
      </c>
    </row>
    <row r="257" ht="15" customHeight="1" s="30">
      <c r="A257" s="73" t="inlineStr">
        <is>
          <t>8073.jpg</t>
        </is>
      </c>
      <c r="B257" s="45" t="n"/>
      <c r="C257" s="45" t="n"/>
      <c r="D257" s="45" t="n"/>
      <c r="E257" s="45" t="n"/>
      <c r="F257" s="45" t="n">
        <v>0.930940594059406</v>
      </c>
      <c r="G257" s="45" t="n"/>
      <c r="H257" s="45" t="n">
        <v>0.877688645980254</v>
      </c>
      <c r="I257" s="45" t="n"/>
      <c r="J257" s="45" t="n"/>
      <c r="K257" s="45" t="n">
        <v>0.981145764413315</v>
      </c>
      <c r="L257" s="45" t="n"/>
      <c r="M257" s="45" t="n"/>
      <c r="N257" s="45" t="n"/>
      <c r="O257" s="45" t="n"/>
      <c r="P257" s="45" t="n">
        <v>0.963823516849613</v>
      </c>
      <c r="Q257" s="45" t="n"/>
      <c r="R257" s="45" t="n">
        <v>0.890882247673586</v>
      </c>
      <c r="S257" s="45" t="n"/>
      <c r="T257" s="45" t="n"/>
      <c r="U257" s="45" t="n">
        <v>0.996972310317328</v>
      </c>
      <c r="V257" s="45" t="n"/>
      <c r="W257" s="45" t="n"/>
      <c r="X257" s="45" t="n"/>
      <c r="Y257" s="45" t="n"/>
      <c r="Z257" s="45" t="n">
        <v>0.964647544137135</v>
      </c>
      <c r="AA257" s="45" t="n"/>
      <c r="AB257" s="45" t="n">
        <v>0.983406587979653</v>
      </c>
      <c r="AC257" s="45" t="n"/>
      <c r="AD257" s="45" t="n"/>
      <c r="AE257" s="45" t="n">
        <v>0.984077948943259</v>
      </c>
      <c r="AF257" s="75">
        <f>IFERROR(AVERAGE(L257:U257),"")</f>
        <v/>
      </c>
      <c r="AG257" s="75">
        <f>IFERROR(AVERAGE(V257:AE257),"")</f>
        <v/>
      </c>
      <c r="AH257" s="75">
        <f>IFERROR(AVERAGE(B257:K257),"")</f>
        <v/>
      </c>
      <c r="AI257" s="45" t="n">
        <v>0.982292175292969</v>
      </c>
      <c r="AJ257" s="47" t="n">
        <v>0.00268173217773438</v>
      </c>
    </row>
    <row r="258" ht="15" customHeight="1" s="30">
      <c r="A258" s="73" t="inlineStr">
        <is>
          <t>8076.jpg</t>
        </is>
      </c>
      <c r="B258" s="45" t="n"/>
      <c r="C258" s="45" t="n"/>
      <c r="D258" s="45" t="n"/>
      <c r="E258" s="45" t="n"/>
      <c r="F258" s="45" t="n">
        <v>0.901441346323047</v>
      </c>
      <c r="G258" s="45" t="n"/>
      <c r="H258" s="45" t="n">
        <v>0</v>
      </c>
      <c r="I258" s="45" t="n">
        <v>0.916363636363636</v>
      </c>
      <c r="J258" s="45" t="n"/>
      <c r="K258" s="45" t="n">
        <v>0.966091574284805</v>
      </c>
      <c r="L258" s="45" t="n"/>
      <c r="M258" s="45" t="n"/>
      <c r="N258" s="45" t="n"/>
      <c r="O258" s="45" t="n"/>
      <c r="P258" s="45" t="n">
        <v>0.925181013676589</v>
      </c>
      <c r="Q258" s="45" t="n"/>
      <c r="R258" s="45" t="n">
        <v>0</v>
      </c>
      <c r="S258" s="45" t="n">
        <v>0.942937324602432</v>
      </c>
      <c r="T258" s="45" t="n"/>
      <c r="U258" s="45" t="n">
        <v>0.994137526378613</v>
      </c>
      <c r="V258" s="45" t="n"/>
      <c r="W258" s="45" t="n"/>
      <c r="X258" s="45" t="n"/>
      <c r="Y258" s="45" t="n"/>
      <c r="Z258" s="45" t="n">
        <v>0.97232287676433</v>
      </c>
      <c r="AA258" s="45" t="n"/>
      <c r="AB258" s="45" t="n"/>
      <c r="AC258" s="45" t="n">
        <v>0.970163618864293</v>
      </c>
      <c r="AD258" s="45" t="n"/>
      <c r="AE258" s="45" t="n">
        <v>0.971627016357291</v>
      </c>
      <c r="AF258" s="75">
        <f>IFERROR(AVERAGE(L258:U258),"")</f>
        <v/>
      </c>
      <c r="AG258" s="75">
        <f>IFERROR(AVERAGE(V258:AE258),"")</f>
        <v/>
      </c>
      <c r="AH258" s="75">
        <f>IFERROR(AVERAGE(B258:K258),"")</f>
        <v/>
      </c>
      <c r="AI258" s="45" t="n">
        <v>0.971775054931641</v>
      </c>
      <c r="AJ258" s="47" t="n">
        <v>0.00288772583007813</v>
      </c>
    </row>
    <row r="259" ht="15" customHeight="1" s="30">
      <c r="A259" s="73" t="inlineStr">
        <is>
          <t>8100.jpg</t>
        </is>
      </c>
      <c r="B259" s="45" t="n"/>
      <c r="C259" s="45" t="n"/>
      <c r="D259" s="45" t="n"/>
      <c r="E259" s="45" t="n"/>
      <c r="F259" s="45" t="n">
        <v>0.871213375268995</v>
      </c>
      <c r="G259" s="45" t="n"/>
      <c r="H259" s="45" t="n"/>
      <c r="I259" s="45" t="n"/>
      <c r="J259" s="45" t="n"/>
      <c r="K259" s="45" t="n">
        <v>0.990123165629104</v>
      </c>
      <c r="L259" s="45" t="n"/>
      <c r="M259" s="45" t="n"/>
      <c r="N259" s="45" t="n"/>
      <c r="O259" s="45" t="n"/>
      <c r="P259" s="45" t="n">
        <v>0.945335887917615</v>
      </c>
      <c r="Q259" s="45" t="n"/>
      <c r="R259" s="45" t="n"/>
      <c r="S259" s="45" t="n"/>
      <c r="T259" s="45" t="n"/>
      <c r="U259" s="45" t="n">
        <v>0.995930387124481</v>
      </c>
      <c r="V259" s="45" t="n"/>
      <c r="W259" s="45" t="n"/>
      <c r="X259" s="45" t="n"/>
      <c r="Y259" s="45" t="n"/>
      <c r="Z259" s="45" t="n">
        <v>0.917431725740848</v>
      </c>
      <c r="AA259" s="45" t="n"/>
      <c r="AB259" s="45" t="n"/>
      <c r="AC259" s="45" t="n"/>
      <c r="AD259" s="45" t="n"/>
      <c r="AE259" s="45" t="n">
        <v>0.994145361607617</v>
      </c>
      <c r="AF259" s="75">
        <f>IFERROR(AVERAGE(L259:U259),"")</f>
        <v/>
      </c>
      <c r="AG259" s="75">
        <f>IFERROR(AVERAGE(V259:AE259),"")</f>
        <v/>
      </c>
      <c r="AH259" s="75">
        <f>IFERROR(AVERAGE(B259:K259),"")</f>
        <v/>
      </c>
      <c r="AI259" s="45" t="n">
        <v>0.989109039306641</v>
      </c>
      <c r="AJ259" s="47" t="n">
        <v>0.00361251831054688</v>
      </c>
    </row>
    <row r="260" ht="15" customHeight="1" s="30">
      <c r="A260" s="73" t="inlineStr">
        <is>
          <t>8103.jpg</t>
        </is>
      </c>
      <c r="B260" s="45" t="n"/>
      <c r="C260" s="45" t="n"/>
      <c r="D260" s="45" t="n"/>
      <c r="E260" s="45" t="n"/>
      <c r="F260" s="45" t="n">
        <v>0.867595347579118</v>
      </c>
      <c r="G260" s="45" t="n"/>
      <c r="H260" s="45" t="n"/>
      <c r="I260" s="45" t="n"/>
      <c r="J260" s="45" t="n"/>
      <c r="K260" s="45" t="n">
        <v>0.996265227508262</v>
      </c>
      <c r="L260" s="45" t="n"/>
      <c r="M260" s="45" t="n"/>
      <c r="N260" s="45" t="n"/>
      <c r="O260" s="45" t="n"/>
      <c r="P260" s="45" t="n">
        <v>0.975368709137905</v>
      </c>
      <c r="Q260" s="45" t="n"/>
      <c r="R260" s="45" t="n"/>
      <c r="S260" s="45" t="n"/>
      <c r="T260" s="45" t="n"/>
      <c r="U260" s="45" t="n">
        <v>0.996896804060373</v>
      </c>
      <c r="V260" s="45" t="n"/>
      <c r="W260" s="45" t="n"/>
      <c r="X260" s="45" t="n"/>
      <c r="Y260" s="45" t="n"/>
      <c r="Z260" s="45" t="n">
        <v>0.887029867256637</v>
      </c>
      <c r="AA260" s="45" t="n"/>
      <c r="AB260" s="45" t="n"/>
      <c r="AC260" s="45" t="n"/>
      <c r="AD260" s="45" t="n"/>
      <c r="AE260" s="45" t="n">
        <v>0.999364486567914</v>
      </c>
      <c r="AF260" s="75">
        <f>IFERROR(AVERAGE(L260:U260),"")</f>
        <v/>
      </c>
      <c r="AG260" s="75">
        <f>IFERROR(AVERAGE(V260:AE260),"")</f>
        <v/>
      </c>
      <c r="AH260" s="75">
        <f>IFERROR(AVERAGE(B260:K260),"")</f>
        <v/>
      </c>
      <c r="AI260" s="45" t="n">
        <v>0.996265411376953</v>
      </c>
      <c r="AJ260" s="47" t="n">
        <v>9.1552734375e-05</v>
      </c>
    </row>
    <row r="261" ht="15" customHeight="1" s="30">
      <c r="A261" s="73" t="inlineStr">
        <is>
          <t>8104.jpg</t>
        </is>
      </c>
      <c r="B261" s="45" t="n"/>
      <c r="C261" s="45" t="n"/>
      <c r="D261" s="45" t="n"/>
      <c r="E261" s="45" t="n"/>
      <c r="F261" s="45" t="n">
        <v>0.886074005834485</v>
      </c>
      <c r="G261" s="45" t="n"/>
      <c r="H261" s="45" t="n"/>
      <c r="I261" s="45" t="n"/>
      <c r="J261" s="45" t="n"/>
      <c r="K261" s="45" t="n">
        <v>0.997121325594458</v>
      </c>
      <c r="L261" s="45" t="n"/>
      <c r="M261" s="45" t="n"/>
      <c r="N261" s="45" t="n"/>
      <c r="O261" s="45" t="n"/>
      <c r="P261" s="45" t="n">
        <v>0.914870006341154</v>
      </c>
      <c r="Q261" s="45" t="n"/>
      <c r="R261" s="45" t="n"/>
      <c r="S261" s="45" t="n"/>
      <c r="T261" s="45" t="n"/>
      <c r="U261" s="45" t="n">
        <v>0.999218230856428</v>
      </c>
      <c r="V261" s="45" t="n"/>
      <c r="W261" s="45" t="n"/>
      <c r="X261" s="45" t="n"/>
      <c r="Y261" s="45" t="n"/>
      <c r="Z261" s="45" t="n">
        <v>0.965696117804552</v>
      </c>
      <c r="AA261" s="45" t="n"/>
      <c r="AB261" s="45" t="n"/>
      <c r="AC261" s="45" t="n"/>
      <c r="AD261" s="45" t="n"/>
      <c r="AE261" s="45" t="n">
        <v>0.997899815745917</v>
      </c>
      <c r="AF261" s="75">
        <f>IFERROR(AVERAGE(L261:U261),"")</f>
        <v/>
      </c>
      <c r="AG261" s="75">
        <f>IFERROR(AVERAGE(V261:AE261),"")</f>
        <v/>
      </c>
      <c r="AH261" s="75">
        <f>IFERROR(AVERAGE(B261:K261),"")</f>
        <v/>
      </c>
      <c r="AI261" s="45" t="n">
        <v>0.997165679931641</v>
      </c>
      <c r="AJ261" s="47" t="n">
        <v>2.288818359375e-05</v>
      </c>
    </row>
    <row r="262" ht="15" customHeight="1" s="30">
      <c r="A262" s="73" t="inlineStr">
        <is>
          <t>8111.jpg</t>
        </is>
      </c>
      <c r="B262" s="45" t="n"/>
      <c r="C262" s="45" t="n"/>
      <c r="D262" s="45" t="n"/>
      <c r="E262" s="45" t="n"/>
      <c r="F262" s="45" t="n"/>
      <c r="G262" s="45" t="n">
        <v>0.913624070317782</v>
      </c>
      <c r="H262" s="45" t="n"/>
      <c r="I262" s="45" t="n"/>
      <c r="J262" s="45" t="n"/>
      <c r="K262" s="45" t="n">
        <v>0.99647713057609</v>
      </c>
      <c r="L262" s="45" t="n"/>
      <c r="M262" s="45" t="n"/>
      <c r="N262" s="45" t="n"/>
      <c r="O262" s="45" t="n"/>
      <c r="P262" s="45" t="n"/>
      <c r="Q262" s="45" t="n">
        <v>0.975455693918065</v>
      </c>
      <c r="R262" s="45" t="n"/>
      <c r="S262" s="45" t="n"/>
      <c r="T262" s="45" t="n"/>
      <c r="U262" s="45" t="n">
        <v>0.999042781793319</v>
      </c>
      <c r="V262" s="45" t="n"/>
      <c r="W262" s="45" t="n"/>
      <c r="X262" s="45" t="n"/>
      <c r="Y262" s="45" t="n"/>
      <c r="Z262" s="45" t="n"/>
      <c r="AA262" s="45" t="n">
        <v>0.935121107266436</v>
      </c>
      <c r="AB262" s="45" t="n"/>
      <c r="AC262" s="45" t="n"/>
      <c r="AD262" s="45" t="n"/>
      <c r="AE262" s="45" t="n">
        <v>0.997429436270303</v>
      </c>
      <c r="AF262" s="75">
        <f>IFERROR(AVERAGE(L262:U262),"")</f>
        <v/>
      </c>
      <c r="AG262" s="75">
        <f>IFERROR(AVERAGE(V262:AE262),"")</f>
        <v/>
      </c>
      <c r="AH262" s="75">
        <f>IFERROR(AVERAGE(B262:K262),"")</f>
        <v/>
      </c>
      <c r="AI262" s="45" t="n">
        <v>0.996055603027344</v>
      </c>
      <c r="AJ262" s="47" t="n">
        <v>0.00249099731445313</v>
      </c>
    </row>
    <row r="263" ht="15" customHeight="1" s="30">
      <c r="A263" s="73" t="inlineStr">
        <is>
          <t>8112.jpg</t>
        </is>
      </c>
      <c r="B263" s="45" t="n"/>
      <c r="C263" s="45" t="n"/>
      <c r="D263" s="45" t="n"/>
      <c r="E263" s="45" t="n"/>
      <c r="F263" s="45" t="n"/>
      <c r="G263" s="45" t="n">
        <v>0.89360798471013</v>
      </c>
      <c r="H263" s="45" t="n">
        <v>0</v>
      </c>
      <c r="I263" s="45" t="n"/>
      <c r="J263" s="45" t="n"/>
      <c r="K263" s="45" t="n">
        <v>0.994486962247938</v>
      </c>
      <c r="L263" s="45" t="n"/>
      <c r="M263" s="45" t="n"/>
      <c r="N263" s="45" t="n"/>
      <c r="O263" s="45" t="n"/>
      <c r="P263" s="45" t="n"/>
      <c r="Q263" s="45" t="n">
        <v>0.943709351872617</v>
      </c>
      <c r="R263" s="45" t="n">
        <v>0</v>
      </c>
      <c r="S263" s="45" t="n"/>
      <c r="T263" s="45" t="n"/>
      <c r="U263" s="45" t="n">
        <v>0.998886867863956</v>
      </c>
      <c r="V263" s="45" t="n"/>
      <c r="W263" s="45" t="n"/>
      <c r="X263" s="45" t="n"/>
      <c r="Y263" s="45" t="n"/>
      <c r="Z263" s="45" t="n"/>
      <c r="AA263" s="45" t="n">
        <v>0.943921040825482</v>
      </c>
      <c r="AB263" s="45" t="n"/>
      <c r="AC263" s="45" t="n"/>
      <c r="AD263" s="45" t="n"/>
      <c r="AE263" s="45" t="n">
        <v>0.995590304297142</v>
      </c>
      <c r="AF263" s="75">
        <f>IFERROR(AVERAGE(L263:U263),"")</f>
        <v/>
      </c>
      <c r="AG263" s="75">
        <f>IFERROR(AVERAGE(V263:AE263),"")</f>
        <v/>
      </c>
      <c r="AH263" s="75">
        <f>IFERROR(AVERAGE(B263:K263),"")</f>
        <v/>
      </c>
      <c r="AI263" s="45" t="n">
        <v>0.992954254150391</v>
      </c>
      <c r="AJ263" s="47" t="n">
        <v>0.00232696533203125</v>
      </c>
    </row>
    <row r="264" ht="15" customHeight="1" s="30">
      <c r="A264" s="73" t="inlineStr">
        <is>
          <t>8115.jpg</t>
        </is>
      </c>
      <c r="B264" s="45" t="n"/>
      <c r="C264" s="45" t="n"/>
      <c r="D264" s="45" t="n"/>
      <c r="E264" s="45" t="n"/>
      <c r="F264" s="45" t="n"/>
      <c r="G264" s="45" t="n">
        <v>0.923684652882837</v>
      </c>
      <c r="H264" s="45" t="n">
        <v>0</v>
      </c>
      <c r="I264" s="45" t="n"/>
      <c r="J264" s="45" t="n"/>
      <c r="K264" s="45" t="n">
        <v>0.995964550061613</v>
      </c>
      <c r="L264" s="45" t="n"/>
      <c r="M264" s="45" t="n"/>
      <c r="N264" s="45" t="n"/>
      <c r="O264" s="45" t="n"/>
      <c r="P264" s="45" t="n"/>
      <c r="Q264" s="45" t="n">
        <v>0.957984658298466</v>
      </c>
      <c r="R264" s="45" t="n">
        <v>0</v>
      </c>
      <c r="S264" s="45" t="n"/>
      <c r="T264" s="45" t="n"/>
      <c r="U264" s="45" t="n">
        <v>0.999762438203214</v>
      </c>
      <c r="V264" s="45" t="n"/>
      <c r="W264" s="45" t="n"/>
      <c r="X264" s="45" t="n"/>
      <c r="Y264" s="45" t="n"/>
      <c r="Z264" s="45" t="n"/>
      <c r="AA264" s="45" t="n">
        <v>0.962683952347582</v>
      </c>
      <c r="AB264" s="45" t="n"/>
      <c r="AC264" s="45" t="n"/>
      <c r="AD264" s="45" t="n"/>
      <c r="AE264" s="45" t="n">
        <v>0.996200310178761</v>
      </c>
      <c r="AF264" s="75">
        <f>IFERROR(AVERAGE(L264:U264),"")</f>
        <v/>
      </c>
      <c r="AG264" s="75">
        <f>IFERROR(AVERAGE(V264:AE264),"")</f>
        <v/>
      </c>
      <c r="AH264" s="75">
        <f>IFERROR(AVERAGE(B264:K264),"")</f>
        <v/>
      </c>
      <c r="AI264" s="45" t="n">
        <v>0.994010925292969</v>
      </c>
      <c r="AJ264" s="47" t="n">
        <v>0.00210189819335938</v>
      </c>
    </row>
    <row r="265" ht="15" customHeight="1" s="30">
      <c r="A265" s="73" t="inlineStr">
        <is>
          <t>8136.jpg</t>
        </is>
      </c>
      <c r="B265" s="45" t="n"/>
      <c r="C265" s="45" t="n"/>
      <c r="D265" s="45" t="n"/>
      <c r="E265" s="45" t="n"/>
      <c r="F265" s="45" t="n"/>
      <c r="G265" s="45" t="n">
        <v>0.973528722157093</v>
      </c>
      <c r="H265" s="45" t="n">
        <v>0</v>
      </c>
      <c r="I265" s="45" t="n"/>
      <c r="J265" s="45" t="n"/>
      <c r="K265" s="45" t="n">
        <v>0.00898751515695873</v>
      </c>
      <c r="L265" s="45" t="n"/>
      <c r="M265" s="45" t="n"/>
      <c r="N265" s="45" t="n"/>
      <c r="O265" s="45" t="n"/>
      <c r="P265" s="45" t="n"/>
      <c r="Q265" s="45" t="n">
        <v>0.98500699831566</v>
      </c>
      <c r="R265" s="45" t="n">
        <v>0</v>
      </c>
      <c r="S265" s="45" t="n"/>
      <c r="T265" s="45" t="n"/>
      <c r="U265" s="45" t="n">
        <v>0.982811540822591</v>
      </c>
      <c r="V265" s="45" t="n"/>
      <c r="W265" s="45" t="n"/>
      <c r="X265" s="45" t="n"/>
      <c r="Y265" s="45" t="n"/>
      <c r="Z265" s="45" t="n"/>
      <c r="AA265" s="45" t="n">
        <v>0.9881717359227</v>
      </c>
      <c r="AB265" s="45" t="n"/>
      <c r="AC265" s="45" t="n"/>
      <c r="AD265" s="45" t="n"/>
      <c r="AE265" s="45" t="n">
        <v>0.00898892806611719</v>
      </c>
      <c r="AF265" s="75">
        <f>IFERROR(AVERAGE(L265:U265),"")</f>
        <v/>
      </c>
      <c r="AG265" s="75">
        <f>IFERROR(AVERAGE(V265:AE265),"")</f>
        <v/>
      </c>
      <c r="AH265" s="75">
        <f>IFERROR(AVERAGE(B265:K265),"")</f>
        <v/>
      </c>
      <c r="AI265" s="45" t="n">
        <v>0.322887420654297</v>
      </c>
      <c r="AJ265" s="47" t="n">
        <v>0.0143852233886719</v>
      </c>
    </row>
    <row r="266" ht="15" customHeight="1" s="30">
      <c r="A266" s="73" t="inlineStr">
        <is>
          <t>8140.jpg</t>
        </is>
      </c>
      <c r="B266" s="45" t="n"/>
      <c r="C266" s="45" t="n"/>
      <c r="D266" s="45" t="n"/>
      <c r="E266" s="45" t="n"/>
      <c r="F266" s="45" t="n"/>
      <c r="G266" s="45" t="n">
        <v>0.8539776324119011</v>
      </c>
      <c r="H266" s="45" t="n"/>
      <c r="I266" s="45" t="n"/>
      <c r="J266" s="45" t="n"/>
      <c r="K266" s="45" t="n">
        <v>0.985832549314459</v>
      </c>
      <c r="L266" s="45" t="n"/>
      <c r="M266" s="45" t="n"/>
      <c r="N266" s="45" t="n"/>
      <c r="O266" s="45" t="n"/>
      <c r="P266" s="45" t="n"/>
      <c r="Q266" s="45" t="n">
        <v>0.855692990802411</v>
      </c>
      <c r="R266" s="45" t="n"/>
      <c r="S266" s="45" t="n"/>
      <c r="T266" s="45" t="n"/>
      <c r="U266" s="45" t="n">
        <v>0.99999201392771</v>
      </c>
      <c r="V266" s="45" t="n"/>
      <c r="W266" s="45" t="n"/>
      <c r="X266" s="45" t="n"/>
      <c r="Y266" s="45" t="n"/>
      <c r="Z266" s="45" t="n"/>
      <c r="AA266" s="45" t="n">
        <v>0.997658079625293</v>
      </c>
      <c r="AB266" s="45" t="n"/>
      <c r="AC266" s="45" t="n"/>
      <c r="AD266" s="45" t="n"/>
      <c r="AE266" s="45" t="n">
        <v>0.985840310828206</v>
      </c>
      <c r="AF266" s="75">
        <f>IFERROR(AVERAGE(L266:U266),"")</f>
        <v/>
      </c>
      <c r="AG266" s="75">
        <f>IFERROR(AVERAGE(V266:AE266),"")</f>
        <v/>
      </c>
      <c r="AH266" s="75">
        <f>IFERROR(AVERAGE(B266:K266),"")</f>
        <v/>
      </c>
      <c r="AI266" s="45" t="n">
        <v>0.9862060546875</v>
      </c>
      <c r="AJ266" s="47" t="n">
        <v>0.00857925415039063</v>
      </c>
    </row>
    <row r="267" ht="15" customHeight="1" s="30">
      <c r="A267" s="73" t="inlineStr">
        <is>
          <t>8147.jpg</t>
        </is>
      </c>
      <c r="B267" s="45" t="n"/>
      <c r="C267" s="45" t="n"/>
      <c r="D267" s="45" t="n"/>
      <c r="E267" s="45" t="n"/>
      <c r="F267" s="45" t="n">
        <v>0.899924678170364</v>
      </c>
      <c r="G267" s="45" t="n"/>
      <c r="H267" s="45" t="n">
        <v>0</v>
      </c>
      <c r="I267" s="45" t="n"/>
      <c r="J267" s="45" t="n"/>
      <c r="K267" s="45" t="n">
        <v>0.982790354455933</v>
      </c>
      <c r="L267" s="45" t="n"/>
      <c r="M267" s="45" t="n"/>
      <c r="N267" s="45" t="n"/>
      <c r="O267" s="45" t="n"/>
      <c r="P267" s="45" t="n">
        <v>0.924193945360571</v>
      </c>
      <c r="Q267" s="45" t="n"/>
      <c r="R267" s="45" t="n">
        <v>0</v>
      </c>
      <c r="S267" s="45" t="n"/>
      <c r="T267" s="45" t="n"/>
      <c r="U267" s="45" t="n">
        <v>0.996962735431025</v>
      </c>
      <c r="V267" s="45" t="n"/>
      <c r="W267" s="45" t="n"/>
      <c r="X267" s="45" t="n"/>
      <c r="Y267" s="45" t="n"/>
      <c r="Z267" s="45" t="n">
        <v>0.971647197989058</v>
      </c>
      <c r="AA267" s="45" t="n"/>
      <c r="AB267" s="45" t="n"/>
      <c r="AC267" s="45" t="n"/>
      <c r="AD267" s="45" t="n"/>
      <c r="AE267" s="45" t="n">
        <v>0.98574175216511</v>
      </c>
      <c r="AF267" s="75">
        <f>IFERROR(AVERAGE(L267:U267),"")</f>
        <v/>
      </c>
      <c r="AG267" s="75">
        <f>IFERROR(AVERAGE(V267:AE267),"")</f>
        <v/>
      </c>
      <c r="AH267" s="75">
        <f>IFERROR(AVERAGE(B267:K267),"")</f>
        <v/>
      </c>
      <c r="AI267" s="45" t="n">
        <v>0.984287261962891</v>
      </c>
      <c r="AJ267" s="47" t="n">
        <v>0.00110244750976563</v>
      </c>
    </row>
    <row r="268" ht="15" customHeight="1" s="30">
      <c r="A268" s="73" t="inlineStr">
        <is>
          <t>8154.jpg</t>
        </is>
      </c>
      <c r="B268" s="45" t="n"/>
      <c r="C268" s="45" t="n"/>
      <c r="D268" s="45" t="n"/>
      <c r="E268" s="45" t="n"/>
      <c r="F268" s="45" t="n">
        <v>0.858767830791933</v>
      </c>
      <c r="G268" s="45" t="n"/>
      <c r="H268" s="45" t="n"/>
      <c r="I268" s="45" t="n"/>
      <c r="J268" s="45" t="n"/>
      <c r="K268" s="45" t="n">
        <v>0.9770531245852651</v>
      </c>
      <c r="L268" s="45" t="n"/>
      <c r="M268" s="45" t="n"/>
      <c r="N268" s="45" t="n"/>
      <c r="O268" s="45" t="n"/>
      <c r="P268" s="45" t="n">
        <v>0.946562298803836</v>
      </c>
      <c r="Q268" s="45" t="n"/>
      <c r="R268" s="45" t="n"/>
      <c r="S268" s="45" t="n"/>
      <c r="T268" s="45" t="n"/>
      <c r="U268" s="45" t="n">
        <v>0.989636317120024</v>
      </c>
      <c r="V268" s="45" t="n"/>
      <c r="W268" s="45" t="n"/>
      <c r="X268" s="45" t="n"/>
      <c r="Y268" s="45" t="n"/>
      <c r="Z268" s="45" t="n">
        <v>0.902523343349165</v>
      </c>
      <c r="AA268" s="45" t="n"/>
      <c r="AB268" s="45" t="n"/>
      <c r="AC268" s="45" t="n"/>
      <c r="AD268" s="45" t="n"/>
      <c r="AE268" s="45" t="n">
        <v>0.987153590290363</v>
      </c>
      <c r="AF268" s="75">
        <f>IFERROR(AVERAGE(L268:U268),"")</f>
        <v/>
      </c>
      <c r="AG268" s="75">
        <f>IFERROR(AVERAGE(V268:AE268),"")</f>
        <v/>
      </c>
      <c r="AH268" s="75">
        <f>IFERROR(AVERAGE(B268:K268),"")</f>
        <v/>
      </c>
      <c r="AI268" s="45" t="n">
        <v>0.977161407470703</v>
      </c>
      <c r="AJ268" s="47" t="n">
        <v>0.0077056884765625</v>
      </c>
    </row>
    <row r="269" ht="15" customHeight="1" s="30">
      <c r="A269" s="73" t="inlineStr">
        <is>
          <t>8160.jpg</t>
        </is>
      </c>
      <c r="B269" s="45" t="n"/>
      <c r="C269" s="45" t="n"/>
      <c r="D269" s="45" t="n"/>
      <c r="E269" s="45" t="n"/>
      <c r="F269" s="45" t="n">
        <v>0.748219522413071</v>
      </c>
      <c r="G269" s="45" t="n"/>
      <c r="H269" s="45" t="n">
        <v>0.508919813931807</v>
      </c>
      <c r="I269" s="45" t="n"/>
      <c r="J269" s="45" t="n"/>
      <c r="K269" s="45" t="n">
        <v>0.74279034287356</v>
      </c>
      <c r="L269" s="45" t="n"/>
      <c r="M269" s="45" t="n"/>
      <c r="N269" s="45" t="n"/>
      <c r="O269" s="45" t="n"/>
      <c r="P269" s="45" t="n">
        <v>0.752</v>
      </c>
      <c r="Q269" s="45" t="n"/>
      <c r="R269" s="45" t="n">
        <v>0.99743052912067</v>
      </c>
      <c r="S269" s="45" t="n"/>
      <c r="T269" s="45" t="n"/>
      <c r="U269" s="45" t="n">
        <v>0.750816126254231</v>
      </c>
      <c r="V269" s="45" t="n"/>
      <c r="W269" s="45" t="n"/>
      <c r="X269" s="45" t="n"/>
      <c r="Y269" s="45" t="n"/>
      <c r="Z269" s="45" t="n">
        <v>0.9933259176863179</v>
      </c>
      <c r="AA269" s="45" t="n"/>
      <c r="AB269" s="45" t="n">
        <v>0.5095878955250009</v>
      </c>
      <c r="AC269" s="45" t="n"/>
      <c r="AD269" s="45" t="n"/>
      <c r="AE269" s="45" t="n">
        <v>0.985813271625229</v>
      </c>
      <c r="AF269" s="75">
        <f>IFERROR(AVERAGE(L269:U269),"")</f>
        <v/>
      </c>
      <c r="AG269" s="75">
        <f>IFERROR(AVERAGE(V269:AE269),"")</f>
        <v/>
      </c>
      <c r="AH269" s="75">
        <f>IFERROR(AVERAGE(B269:K269),"")</f>
        <v/>
      </c>
      <c r="AI269" s="45" t="n">
        <v>0.799198150634766</v>
      </c>
      <c r="AJ269" s="47" t="n">
        <v>0.0014495849609375</v>
      </c>
    </row>
    <row r="270" ht="15" customHeight="1" s="30">
      <c r="A270" s="73" t="inlineStr">
        <is>
          <t>8162.jpg</t>
        </is>
      </c>
      <c r="B270" s="45" t="n"/>
      <c r="C270" s="45" t="n"/>
      <c r="D270" s="45" t="n"/>
      <c r="E270" s="45" t="n"/>
      <c r="F270" s="45" t="n">
        <v>0.855872291904219</v>
      </c>
      <c r="G270" s="45" t="n">
        <v>0.878241472255786</v>
      </c>
      <c r="H270" s="45" t="n">
        <v>0.394439208294062</v>
      </c>
      <c r="I270" s="45" t="n"/>
      <c r="J270" s="45" t="n"/>
      <c r="K270" s="45" t="n">
        <v>0.986565005915604</v>
      </c>
      <c r="L270" s="45" t="n"/>
      <c r="M270" s="45" t="n"/>
      <c r="N270" s="45" t="n"/>
      <c r="O270" s="45" t="n"/>
      <c r="P270" s="45" t="n">
        <v>0.860253667481663</v>
      </c>
      <c r="Q270" s="45" t="n">
        <v>0.983912115374603</v>
      </c>
      <c r="R270" s="45" t="n">
        <v>0.41923365890308</v>
      </c>
      <c r="S270" s="45" t="n"/>
      <c r="T270" s="45" t="n"/>
      <c r="U270" s="45" t="n">
        <v>0.997669162937032</v>
      </c>
      <c r="V270" s="45" t="n"/>
      <c r="W270" s="45" t="n"/>
      <c r="X270" s="45" t="n"/>
      <c r="Y270" s="45" t="n"/>
      <c r="Z270" s="45" t="n">
        <v>0.994084407557832</v>
      </c>
      <c r="AA270" s="45" t="n">
        <v>0.891036823989816</v>
      </c>
      <c r="AB270" s="45" t="n">
        <v>0.8696103896103901</v>
      </c>
      <c r="AC270" s="45" t="n"/>
      <c r="AD270" s="45" t="n"/>
      <c r="AE270" s="45" t="n">
        <v>0.988844187558195</v>
      </c>
      <c r="AF270" s="75">
        <f>IFERROR(AVERAGE(L270:U270),"")</f>
        <v/>
      </c>
      <c r="AG270" s="75">
        <f>IFERROR(AVERAGE(V270:AE270),"")</f>
        <v/>
      </c>
      <c r="AH270" s="75">
        <f>IFERROR(AVERAGE(B270:K270),"")</f>
        <v/>
      </c>
      <c r="AI270" s="45" t="n">
        <v>0.980281829833984</v>
      </c>
      <c r="AJ270" s="47" t="n">
        <v>0.00070953369140625</v>
      </c>
    </row>
    <row r="271" ht="15" customHeight="1" s="30">
      <c r="A271" s="73" t="inlineStr">
        <is>
          <t>8169.jpg</t>
        </is>
      </c>
      <c r="B271" s="45" t="n"/>
      <c r="C271" s="45" t="n"/>
      <c r="D271" s="45" t="n"/>
      <c r="E271" s="45" t="n"/>
      <c r="F271" s="45" t="n">
        <v>0.7301112187105669</v>
      </c>
      <c r="G271" s="45" t="n"/>
      <c r="H271" s="45" t="n">
        <v>0</v>
      </c>
      <c r="I271" s="45" t="n"/>
      <c r="J271" s="45" t="n"/>
      <c r="K271" s="45" t="n">
        <v>0.952447434464433</v>
      </c>
      <c r="L271" s="45" t="n"/>
      <c r="M271" s="45" t="n"/>
      <c r="N271" s="45" t="n"/>
      <c r="O271" s="45" t="n"/>
      <c r="P271" s="45" t="n">
        <v>0.962513056597934</v>
      </c>
      <c r="Q271" s="45" t="n"/>
      <c r="R271" s="45" t="n">
        <v>0</v>
      </c>
      <c r="S271" s="45" t="n"/>
      <c r="T271" s="45" t="n"/>
      <c r="U271" s="45" t="n">
        <v>0.965581972120072</v>
      </c>
      <c r="V271" s="45" t="n"/>
      <c r="W271" s="45" t="n"/>
      <c r="X271" s="45" t="n"/>
      <c r="Y271" s="45" t="n"/>
      <c r="Z271" s="45" t="n">
        <v>0.751480004832669</v>
      </c>
      <c r="AA271" s="45" t="n"/>
      <c r="AB271" s="45" t="n"/>
      <c r="AC271" s="45" t="n"/>
      <c r="AD271" s="45" t="n"/>
      <c r="AE271" s="45" t="n">
        <v>0.9859192441362929</v>
      </c>
      <c r="AF271" s="75">
        <f>IFERROR(AVERAGE(L271:U271),"")</f>
        <v/>
      </c>
      <c r="AG271" s="75">
        <f>IFERROR(AVERAGE(V271:AE271),"")</f>
        <v/>
      </c>
      <c r="AH271" s="75">
        <f>IFERROR(AVERAGE(B271:K271),"")</f>
        <v/>
      </c>
      <c r="AI271" s="45" t="n">
        <v>0.956310272216797</v>
      </c>
      <c r="AJ271" s="47" t="n">
        <v>0.00222015380859375</v>
      </c>
    </row>
    <row r="272" ht="15" customHeight="1" s="30">
      <c r="A272" s="73" t="inlineStr">
        <is>
          <t>8170.jpg</t>
        </is>
      </c>
      <c r="B272" s="45" t="n"/>
      <c r="C272" s="45" t="n"/>
      <c r="D272" s="45" t="n"/>
      <c r="E272" s="45" t="n"/>
      <c r="F272" s="45" t="n">
        <v>0.715336499478744</v>
      </c>
      <c r="G272" s="45" t="n"/>
      <c r="H272" s="45" t="n">
        <v>0</v>
      </c>
      <c r="I272" s="45" t="n"/>
      <c r="J272" s="45" t="n"/>
      <c r="K272" s="45" t="n">
        <v>0.943065447342914</v>
      </c>
      <c r="L272" s="45" t="n"/>
      <c r="M272" s="45" t="n"/>
      <c r="N272" s="45" t="n"/>
      <c r="O272" s="45" t="n"/>
      <c r="P272" s="45" t="n">
        <v>0.956811403338885</v>
      </c>
      <c r="Q272" s="45" t="n"/>
      <c r="R272" s="45" t="n">
        <v>0</v>
      </c>
      <c r="S272" s="45" t="n"/>
      <c r="T272" s="45" t="n"/>
      <c r="U272" s="45" t="n">
        <v>0.963145005444537</v>
      </c>
      <c r="V272" s="45" t="n"/>
      <c r="W272" s="45" t="n"/>
      <c r="X272" s="45" t="n"/>
      <c r="Y272" s="45" t="n"/>
      <c r="Z272" s="45" t="n">
        <v>0.7392045964628779</v>
      </c>
      <c r="AA272" s="45" t="n"/>
      <c r="AB272" s="45" t="n"/>
      <c r="AC272" s="45" t="n"/>
      <c r="AD272" s="45" t="n"/>
      <c r="AE272" s="45" t="n">
        <v>0.978371595832587</v>
      </c>
      <c r="AF272" s="75">
        <f>IFERROR(AVERAGE(L272:U272),"")</f>
        <v/>
      </c>
      <c r="AG272" s="75">
        <f>IFERROR(AVERAGE(V272:AE272),"")</f>
        <v/>
      </c>
      <c r="AH272" s="75">
        <f>IFERROR(AVERAGE(B272:K272),"")</f>
        <v/>
      </c>
      <c r="AI272" s="45" t="n">
        <v>0.947883605957031</v>
      </c>
      <c r="AJ272" s="47" t="n">
        <v>0.007476806640625</v>
      </c>
    </row>
    <row r="273" ht="15" customHeight="1" s="30">
      <c r="A273" s="73" t="inlineStr">
        <is>
          <t>8183.jpg</t>
        </is>
      </c>
      <c r="B273" s="45" t="n"/>
      <c r="C273" s="45" t="n"/>
      <c r="D273" s="45" t="n"/>
      <c r="E273" s="45" t="n"/>
      <c r="F273" s="45" t="n"/>
      <c r="G273" s="45" t="n">
        <v>0.926288277963354</v>
      </c>
      <c r="H273" s="45" t="n">
        <v>0</v>
      </c>
      <c r="I273" s="45" t="n"/>
      <c r="J273" s="45" t="n"/>
      <c r="K273" s="45" t="n">
        <v>0.93931792020895</v>
      </c>
      <c r="L273" s="45" t="n"/>
      <c r="M273" s="45" t="n"/>
      <c r="N273" s="45" t="n"/>
      <c r="O273" s="45" t="n"/>
      <c r="P273" s="45" t="n"/>
      <c r="Q273" s="45" t="n">
        <v>0.929914409990178</v>
      </c>
      <c r="R273" s="45" t="n">
        <v>0</v>
      </c>
      <c r="S273" s="45" t="n"/>
      <c r="T273" s="45" t="n"/>
      <c r="U273" s="45" t="n">
        <v>0.9766694217537381</v>
      </c>
      <c r="V273" s="45" t="n"/>
      <c r="W273" s="45" t="n"/>
      <c r="X273" s="45" t="n"/>
      <c r="Y273" s="45" t="n"/>
      <c r="Z273" s="45" t="n"/>
      <c r="AA273" s="45" t="n">
        <v>0.995807915376987</v>
      </c>
      <c r="AB273" s="45" t="n">
        <v>0</v>
      </c>
      <c r="AC273" s="45" t="n"/>
      <c r="AD273" s="45" t="n"/>
      <c r="AE273" s="45" t="n">
        <v>0.960878426899844</v>
      </c>
      <c r="AF273" s="75">
        <f>IFERROR(AVERAGE(L273:U273),"")</f>
        <v/>
      </c>
      <c r="AG273" s="75">
        <f>IFERROR(AVERAGE(V273:AE273),"")</f>
        <v/>
      </c>
      <c r="AH273" s="75">
        <f>IFERROR(AVERAGE(B273:K273),"")</f>
        <v/>
      </c>
      <c r="AI273" s="45" t="n">
        <v>0.946998596191406</v>
      </c>
      <c r="AJ273" s="47" t="n">
        <v>0.016387939453125</v>
      </c>
    </row>
    <row r="274" ht="15" customHeight="1" s="30">
      <c r="A274" s="73" t="inlineStr">
        <is>
          <t>8189.jpg</t>
        </is>
      </c>
      <c r="B274" s="45" t="n"/>
      <c r="C274" s="45" t="n"/>
      <c r="D274" s="45" t="n"/>
      <c r="E274" s="45" t="n"/>
      <c r="F274" s="45" t="n"/>
      <c r="G274" s="45" t="n"/>
      <c r="H274" s="45" t="n">
        <v>0</v>
      </c>
      <c r="I274" s="45" t="n"/>
      <c r="J274" s="45" t="n"/>
      <c r="K274" s="45" t="n">
        <v>0.988086700439453</v>
      </c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>
        <v>0.991961550245098</v>
      </c>
      <c r="V274" s="45" t="n"/>
      <c r="W274" s="45" t="n"/>
      <c r="X274" s="45" t="n"/>
      <c r="Y274" s="45" t="n"/>
      <c r="Z274" s="45" t="n"/>
      <c r="AA274" s="45" t="n"/>
      <c r="AB274" s="45" t="n">
        <v>0</v>
      </c>
      <c r="AC274" s="45" t="n"/>
      <c r="AD274" s="45" t="n"/>
      <c r="AE274" s="45" t="n">
        <v>0.996062220000385</v>
      </c>
      <c r="AF274" s="75">
        <f>IFERROR(AVERAGE(L274:U274),"")</f>
        <v/>
      </c>
      <c r="AG274" s="75">
        <f>IFERROR(AVERAGE(V274:AE274),"")</f>
        <v/>
      </c>
      <c r="AH274" s="75">
        <f>IFERROR(AVERAGE(B274:K274),"")</f>
        <v/>
      </c>
      <c r="AI274" s="45" t="n">
        <v>0.988086700439453</v>
      </c>
      <c r="AJ274" s="47" t="n">
        <v>0.00390625</v>
      </c>
    </row>
    <row r="275" ht="15" customHeight="1" s="30">
      <c r="A275" s="73" t="inlineStr">
        <is>
          <t>8203.jpg</t>
        </is>
      </c>
      <c r="B275" s="45" t="n"/>
      <c r="C275" s="45" t="n"/>
      <c r="D275" s="45" t="n"/>
      <c r="E275" s="45" t="n"/>
      <c r="F275" s="45" t="n"/>
      <c r="G275" s="45" t="n">
        <v>0.909386983243158</v>
      </c>
      <c r="H275" s="45" t="n"/>
      <c r="I275" s="45" t="n"/>
      <c r="J275" s="45" t="n"/>
      <c r="K275" s="45" t="n">
        <v>0.9908427003006141</v>
      </c>
      <c r="L275" s="45" t="n"/>
      <c r="M275" s="45" t="n"/>
      <c r="N275" s="45" t="n"/>
      <c r="O275" s="45" t="n"/>
      <c r="P275" s="45" t="n"/>
      <c r="Q275" s="45" t="n">
        <v>0.973185676541683</v>
      </c>
      <c r="R275" s="45" t="n"/>
      <c r="S275" s="45" t="n"/>
      <c r="T275" s="45" t="n"/>
      <c r="U275" s="45" t="n">
        <v>0.994881847784185</v>
      </c>
      <c r="V275" s="45" t="n"/>
      <c r="W275" s="45" t="n"/>
      <c r="X275" s="45" t="n"/>
      <c r="Y275" s="45" t="n"/>
      <c r="Z275" s="45" t="n"/>
      <c r="AA275" s="45" t="n">
        <v>0.932758620689655</v>
      </c>
      <c r="AB275" s="45" t="n"/>
      <c r="AC275" s="45" t="n"/>
      <c r="AD275" s="45" t="n"/>
      <c r="AE275" s="45" t="n">
        <v>0.995919272201787</v>
      </c>
      <c r="AF275" s="75">
        <f>IFERROR(AVERAGE(L275:U275),"")</f>
        <v/>
      </c>
      <c r="AG275" s="75">
        <f>IFERROR(AVERAGE(V275:AE275),"")</f>
        <v/>
      </c>
      <c r="AH275" s="75">
        <f>IFERROR(AVERAGE(B275:K275),"")</f>
        <v/>
      </c>
      <c r="AI275" s="45" t="n">
        <v>0.991447448730469</v>
      </c>
      <c r="AJ275" s="47" t="n">
        <v>0.00197219848632813</v>
      </c>
    </row>
    <row r="276" ht="15" customHeight="1" s="30">
      <c r="A276" s="73" t="inlineStr">
        <is>
          <t>8211.jpg</t>
        </is>
      </c>
      <c r="B276" s="45" t="n"/>
      <c r="C276" s="45" t="n"/>
      <c r="D276" s="45" t="n"/>
      <c r="E276" s="45" t="n"/>
      <c r="F276" s="45" t="n">
        <v>0.9331141072015779</v>
      </c>
      <c r="G276" s="45" t="n">
        <v>0</v>
      </c>
      <c r="H276" s="45" t="n"/>
      <c r="I276" s="45" t="n"/>
      <c r="J276" s="45" t="n"/>
      <c r="K276" s="45" t="n">
        <v>0.932047650177962</v>
      </c>
      <c r="L276" s="45" t="n"/>
      <c r="M276" s="45" t="n"/>
      <c r="N276" s="45" t="n"/>
      <c r="O276" s="45" t="n"/>
      <c r="P276" s="45" t="n">
        <v>0.992862141357593</v>
      </c>
      <c r="Q276" s="45" t="n">
        <v>0</v>
      </c>
      <c r="R276" s="45" t="n"/>
      <c r="S276" s="45" t="n"/>
      <c r="T276" s="45" t="n"/>
      <c r="U276" s="45" t="n">
        <v>0.996698772720211</v>
      </c>
      <c r="V276" s="45" t="n"/>
      <c r="W276" s="45" t="n"/>
      <c r="X276" s="45" t="n"/>
      <c r="Y276" s="45" t="n"/>
      <c r="Z276" s="45" t="n">
        <v>0.939416010064226</v>
      </c>
      <c r="AA276" s="45" t="n"/>
      <c r="AB276" s="45" t="n"/>
      <c r="AC276" s="45" t="n"/>
      <c r="AD276" s="45" t="n"/>
      <c r="AE276" s="45" t="n">
        <v>0.934933877372582</v>
      </c>
      <c r="AF276" s="75">
        <f>IFERROR(AVERAGE(L276:U276),"")</f>
        <v/>
      </c>
      <c r="AG276" s="75">
        <f>IFERROR(AVERAGE(V276:AE276),"")</f>
        <v/>
      </c>
      <c r="AH276" s="75">
        <f>IFERROR(AVERAGE(B276:K276),"")</f>
        <v/>
      </c>
      <c r="AI276" s="45" t="n">
        <v>0.935192108154297</v>
      </c>
      <c r="AJ276" s="47" t="n">
        <v>0.00433731079101563</v>
      </c>
    </row>
    <row r="277" ht="15" customHeight="1" s="30">
      <c r="A277" s="73" t="inlineStr">
        <is>
          <t>8214.jpg</t>
        </is>
      </c>
      <c r="B277" s="45" t="n"/>
      <c r="C277" s="45" t="n"/>
      <c r="D277" s="45" t="n"/>
      <c r="E277" s="45" t="n"/>
      <c r="F277" s="45" t="n">
        <v>0.915535344078111</v>
      </c>
      <c r="G277" s="45" t="n"/>
      <c r="H277" s="45" t="n"/>
      <c r="I277" s="45" t="n"/>
      <c r="J277" s="45" t="n"/>
      <c r="K277" s="45" t="n">
        <v>0.994375689451096</v>
      </c>
      <c r="L277" s="45" t="n"/>
      <c r="M277" s="45" t="n"/>
      <c r="N277" s="45" t="n"/>
      <c r="O277" s="45" t="n"/>
      <c r="P277" s="45" t="n">
        <v>0.9299008286917539</v>
      </c>
      <c r="Q277" s="45" t="n"/>
      <c r="R277" s="45" t="n"/>
      <c r="S277" s="45" t="n"/>
      <c r="T277" s="45" t="n"/>
      <c r="U277" s="45" t="n">
        <v>0.999340486825921</v>
      </c>
      <c r="V277" s="45" t="n"/>
      <c r="W277" s="45" t="n"/>
      <c r="X277" s="45" t="n"/>
      <c r="Y277" s="45" t="n"/>
      <c r="Z277" s="45" t="n">
        <v>0.98340636448531</v>
      </c>
      <c r="AA277" s="45" t="n"/>
      <c r="AB277" s="45" t="n"/>
      <c r="AC277" s="45" t="n"/>
      <c r="AD277" s="45" t="n"/>
      <c r="AE277" s="45" t="n">
        <v>0.995028663741877</v>
      </c>
      <c r="AF277" s="75">
        <f>IFERROR(AVERAGE(L277:U277),"")</f>
        <v/>
      </c>
      <c r="AG277" s="75">
        <f>IFERROR(AVERAGE(V277:AE277),"")</f>
        <v/>
      </c>
      <c r="AH277" s="75">
        <f>IFERROR(AVERAGE(B277:K277),"")</f>
        <v/>
      </c>
      <c r="AI277" s="45" t="n">
        <v>0.994411468505859</v>
      </c>
      <c r="AJ277" s="47" t="n">
        <v>0.00102996826171875</v>
      </c>
    </row>
    <row r="278" ht="15" customHeight="1" s="30">
      <c r="A278" s="73" t="inlineStr">
        <is>
          <t>8219.jpg</t>
        </is>
      </c>
      <c r="B278" s="45" t="n"/>
      <c r="C278" s="45" t="n"/>
      <c r="D278" s="45" t="n"/>
      <c r="E278" s="45" t="n"/>
      <c r="F278" s="45" t="n"/>
      <c r="G278" s="45" t="n"/>
      <c r="H278" s="45" t="n">
        <v>0.80020338356291</v>
      </c>
      <c r="I278" s="45" t="n"/>
      <c r="J278" s="45" t="n"/>
      <c r="K278" s="45" t="n">
        <v>0.842324307238436</v>
      </c>
      <c r="L278" s="45" t="n"/>
      <c r="M278" s="45" t="n"/>
      <c r="N278" s="45" t="n"/>
      <c r="O278" s="45" t="n"/>
      <c r="P278" s="45" t="n"/>
      <c r="Q278" s="45" t="n"/>
      <c r="R278" s="45" t="n">
        <v>0.947853701270259</v>
      </c>
      <c r="S278" s="45" t="n"/>
      <c r="T278" s="45" t="n"/>
      <c r="U278" s="45" t="n">
        <v>0.922424568758293</v>
      </c>
      <c r="V278" s="45" t="n"/>
      <c r="W278" s="45" t="n"/>
      <c r="X278" s="45" t="n"/>
      <c r="Y278" s="45" t="n"/>
      <c r="Z278" s="45" t="n"/>
      <c r="AA278" s="45" t="n"/>
      <c r="AB278" s="45" t="n">
        <v>0.837053226056011</v>
      </c>
      <c r="AC278" s="45" t="n"/>
      <c r="AD278" s="45" t="n"/>
      <c r="AE278" s="45" t="n">
        <v>0.906542939219837</v>
      </c>
      <c r="AF278" s="75">
        <f>IFERROR(AVERAGE(L278:U278),"")</f>
        <v/>
      </c>
      <c r="AG278" s="75">
        <f>IFERROR(AVERAGE(V278:AE278),"")</f>
        <v/>
      </c>
      <c r="AH278" s="75">
        <f>IFERROR(AVERAGE(B278:K278),"")</f>
        <v/>
      </c>
      <c r="AI278" s="45" t="n">
        <v>0.879131317138672</v>
      </c>
      <c r="AJ278" s="47" t="n">
        <v>0.0565376281738281</v>
      </c>
    </row>
    <row r="279" ht="15" customHeight="1" s="30">
      <c r="A279" s="73" t="inlineStr">
        <is>
          <t>8233.jpg</t>
        </is>
      </c>
      <c r="B279" s="45" t="n"/>
      <c r="C279" s="45" t="n"/>
      <c r="D279" s="45" t="n"/>
      <c r="E279" s="45" t="n"/>
      <c r="F279" s="45" t="n">
        <v>0.942857507530505</v>
      </c>
      <c r="G279" s="45" t="n"/>
      <c r="H279" s="45" t="n">
        <v>0.771813448751725</v>
      </c>
      <c r="I279" s="45" t="n">
        <v>0.8446186742694231</v>
      </c>
      <c r="J279" s="45" t="n"/>
      <c r="K279" s="45" t="n">
        <v>0.858893104380944</v>
      </c>
      <c r="L279" s="45" t="n"/>
      <c r="M279" s="45" t="n"/>
      <c r="N279" s="45" t="n"/>
      <c r="O279" s="45" t="n"/>
      <c r="P279" s="45" t="n">
        <v>0.991397358814688</v>
      </c>
      <c r="Q279" s="45" t="n"/>
      <c r="R279" s="45" t="n">
        <v>0.901080190406445</v>
      </c>
      <c r="S279" s="45" t="n">
        <v>0.877128053293857</v>
      </c>
      <c r="T279" s="45" t="n"/>
      <c r="U279" s="45" t="n">
        <v>0.9075979483376591</v>
      </c>
      <c r="V279" s="45" t="n"/>
      <c r="W279" s="45" t="n"/>
      <c r="X279" s="45" t="n"/>
      <c r="Y279" s="45" t="n"/>
      <c r="Z279" s="45" t="n">
        <v>0.950635077920908</v>
      </c>
      <c r="AA279" s="45" t="n"/>
      <c r="AB279" s="45" t="n">
        <v>0.843262229075645</v>
      </c>
      <c r="AC279" s="45" t="n">
        <v>0.957962813257882</v>
      </c>
      <c r="AD279" s="45" t="n"/>
      <c r="AE279" s="45" t="n">
        <v>0.941194376577082</v>
      </c>
      <c r="AF279" s="75">
        <f>IFERROR(AVERAGE(L279:U279),"")</f>
        <v/>
      </c>
      <c r="AG279" s="75">
        <f>IFERROR(AVERAGE(V279:AE279),"")</f>
        <v/>
      </c>
      <c r="AH279" s="75">
        <f>IFERROR(AVERAGE(B279:K279),"")</f>
        <v/>
      </c>
      <c r="AI279" s="45" t="n">
        <v>0.922267913818359</v>
      </c>
      <c r="AJ279" s="47" t="n">
        <v>0.00841140747070313</v>
      </c>
    </row>
    <row r="280" ht="15" customHeight="1" s="30">
      <c r="A280" s="73" t="inlineStr">
        <is>
          <t>8237.jpg</t>
        </is>
      </c>
      <c r="B280" s="45" t="n"/>
      <c r="C280" s="45" t="n"/>
      <c r="D280" s="45" t="n"/>
      <c r="E280" s="45" t="n"/>
      <c r="F280" s="45" t="n"/>
      <c r="G280" s="45" t="n"/>
      <c r="H280" s="45" t="n">
        <v>0.74285424562382</v>
      </c>
      <c r="I280" s="45" t="n"/>
      <c r="J280" s="45" t="n"/>
      <c r="K280" s="45" t="n">
        <v>0.8981586500054241</v>
      </c>
      <c r="L280" s="45" t="n"/>
      <c r="M280" s="45" t="n"/>
      <c r="N280" s="45" t="n"/>
      <c r="O280" s="45" t="n"/>
      <c r="P280" s="45" t="n"/>
      <c r="Q280" s="45" t="n"/>
      <c r="R280" s="45" t="n">
        <v>0.865646509704292</v>
      </c>
      <c r="S280" s="45" t="n"/>
      <c r="T280" s="45" t="n"/>
      <c r="U280" s="45" t="n">
        <v>0.945791985376974</v>
      </c>
      <c r="V280" s="45" t="n"/>
      <c r="W280" s="45" t="n"/>
      <c r="X280" s="45" t="n"/>
      <c r="Y280" s="45" t="n"/>
      <c r="Z280" s="45" t="n"/>
      <c r="AA280" s="45" t="n"/>
      <c r="AB280" s="45" t="n">
        <v>0.839663595856556</v>
      </c>
      <c r="AC280" s="45" t="n"/>
      <c r="AD280" s="45" t="n"/>
      <c r="AE280" s="45" t="n">
        <v>0.946903252975092</v>
      </c>
      <c r="AF280" s="75">
        <f>IFERROR(AVERAGE(L280:U280),"")</f>
        <v/>
      </c>
      <c r="AG280" s="75">
        <f>IFERROR(AVERAGE(V280:AE280),"")</f>
        <v/>
      </c>
      <c r="AH280" s="75">
        <f>IFERROR(AVERAGE(B280:K280),"")</f>
        <v/>
      </c>
      <c r="AI280" s="45" t="n">
        <v>0.9183502197265631</v>
      </c>
      <c r="AJ280" s="47" t="n">
        <v>0.00712966918945313</v>
      </c>
    </row>
    <row r="281" ht="15" customHeight="1" s="30">
      <c r="A281" s="73" t="inlineStr">
        <is>
          <t>8250.jpg</t>
        </is>
      </c>
      <c r="B281" s="45" t="n"/>
      <c r="C281" s="45" t="n"/>
      <c r="D281" s="45" t="n"/>
      <c r="E281" s="45" t="n"/>
      <c r="F281" s="45" t="n"/>
      <c r="G281" s="45" t="n"/>
      <c r="H281" s="45" t="n">
        <v>0.832080704729332</v>
      </c>
      <c r="I281" s="45" t="n"/>
      <c r="J281" s="45" t="n"/>
      <c r="K281" s="45" t="n">
        <v>0.939551660932553</v>
      </c>
      <c r="L281" s="45" t="n"/>
      <c r="M281" s="45" t="n"/>
      <c r="N281" s="45" t="n"/>
      <c r="O281" s="45" t="n"/>
      <c r="P281" s="45" t="n"/>
      <c r="Q281" s="45" t="n"/>
      <c r="R281" s="45" t="n">
        <v>0.886300321444972</v>
      </c>
      <c r="S281" s="45" t="n"/>
      <c r="T281" s="45" t="n"/>
      <c r="U281" s="45" t="n">
        <v>0.979276172962481</v>
      </c>
      <c r="V281" s="45" t="n"/>
      <c r="W281" s="45" t="n"/>
      <c r="X281" s="45" t="n"/>
      <c r="Y281" s="45" t="n"/>
      <c r="Z281" s="45" t="n"/>
      <c r="AA281" s="45" t="n"/>
      <c r="AB281" s="45" t="n">
        <v>0.931514342251323</v>
      </c>
      <c r="AC281" s="45" t="n"/>
      <c r="AD281" s="45" t="n"/>
      <c r="AE281" s="45" t="n">
        <v>0.958611895892192</v>
      </c>
      <c r="AF281" s="75">
        <f>IFERROR(AVERAGE(L281:U281),"")</f>
        <v/>
      </c>
      <c r="AG281" s="75">
        <f>IFERROR(AVERAGE(V281:AE281),"")</f>
        <v/>
      </c>
      <c r="AH281" s="75">
        <f>IFERROR(AVERAGE(B281:K281),"")</f>
        <v/>
      </c>
      <c r="AI281" s="45" t="n">
        <v>0.952186584472656</v>
      </c>
      <c r="AJ281" s="47" t="n">
        <v>0.00400161743164063</v>
      </c>
    </row>
    <row r="282" ht="15" customHeight="1" s="30">
      <c r="A282" s="73" t="inlineStr">
        <is>
          <t>8259.jpg</t>
        </is>
      </c>
      <c r="B282" s="45" t="n"/>
      <c r="C282" s="45" t="n"/>
      <c r="D282" s="45" t="n"/>
      <c r="E282" s="45" t="n"/>
      <c r="F282" s="45" t="n">
        <v>0.820942408376963</v>
      </c>
      <c r="G282" s="45" t="n"/>
      <c r="H282" s="45" t="n">
        <v>0.804078841012249</v>
      </c>
      <c r="I282" s="45" t="n"/>
      <c r="J282" s="45" t="n"/>
      <c r="K282" s="45" t="n">
        <v>0.986652059385044</v>
      </c>
      <c r="L282" s="45" t="n"/>
      <c r="M282" s="45" t="n"/>
      <c r="N282" s="45" t="n"/>
      <c r="O282" s="45" t="n"/>
      <c r="P282" s="45" t="n">
        <v>0.832271762208068</v>
      </c>
      <c r="Q282" s="45" t="n"/>
      <c r="R282" s="45" t="n">
        <v>0.8824894226832261</v>
      </c>
      <c r="S282" s="45" t="n"/>
      <c r="T282" s="45" t="n"/>
      <c r="U282" s="45" t="n">
        <v>0.994753427327659</v>
      </c>
      <c r="V282" s="45" t="n"/>
      <c r="W282" s="45" t="n"/>
      <c r="X282" s="45" t="n"/>
      <c r="Y282" s="45" t="n"/>
      <c r="Z282" s="45" t="n">
        <v>0.983688833124216</v>
      </c>
      <c r="AA282" s="45" t="n"/>
      <c r="AB282" s="45" t="n">
        <v>0.90049439454077</v>
      </c>
      <c r="AC282" s="45" t="n"/>
      <c r="AD282" s="45" t="n"/>
      <c r="AE282" s="45" t="n">
        <v>0.99181330115877</v>
      </c>
      <c r="AF282" s="75">
        <f>IFERROR(AVERAGE(L282:U282),"")</f>
        <v/>
      </c>
      <c r="AG282" s="75">
        <f>IFERROR(AVERAGE(V282:AE282),"")</f>
        <v/>
      </c>
      <c r="AH282" s="75">
        <f>IFERROR(AVERAGE(B282:K282),"")</f>
        <v/>
      </c>
      <c r="AI282" s="45" t="n">
        <v>0.986785888671875</v>
      </c>
      <c r="AJ282" s="47" t="n">
        <v>0.0011138916015625</v>
      </c>
    </row>
    <row r="283" ht="15" customHeight="1" s="30">
      <c r="A283" s="73" t="inlineStr">
        <is>
          <t>8262.jpg</t>
        </is>
      </c>
      <c r="B283" s="45" t="n"/>
      <c r="C283" s="45" t="n"/>
      <c r="D283" s="45" t="n"/>
      <c r="E283" s="45" t="n"/>
      <c r="F283" s="45" t="n"/>
      <c r="G283" s="45" t="n"/>
      <c r="H283" s="45" t="n">
        <v>0.863722513879338</v>
      </c>
      <c r="I283" s="45" t="n"/>
      <c r="J283" s="45" t="n"/>
      <c r="K283" s="45" t="n">
        <v>0.957416158754005</v>
      </c>
      <c r="L283" s="45" t="n"/>
      <c r="M283" s="45" t="n"/>
      <c r="N283" s="45" t="n"/>
      <c r="O283" s="45" t="n"/>
      <c r="P283" s="45" t="n"/>
      <c r="Q283" s="45" t="n"/>
      <c r="R283" s="45" t="n">
        <v>0.899917865194065</v>
      </c>
      <c r="S283" s="45" t="n"/>
      <c r="T283" s="45" t="n"/>
      <c r="U283" s="45" t="n">
        <v>0.989737994485647</v>
      </c>
      <c r="V283" s="45" t="n"/>
      <c r="W283" s="45" t="n"/>
      <c r="X283" s="45" t="n"/>
      <c r="Y283" s="45" t="n"/>
      <c r="Z283" s="45" t="n"/>
      <c r="AA283" s="45" t="n"/>
      <c r="AB283" s="45" t="n">
        <v>0.955505251048354</v>
      </c>
      <c r="AC283" s="45" t="n"/>
      <c r="AD283" s="45" t="n"/>
      <c r="AE283" s="45" t="n">
        <v>0.9670156062424971</v>
      </c>
      <c r="AF283" s="75">
        <f>IFERROR(AVERAGE(L283:U283),"")</f>
        <v/>
      </c>
      <c r="AG283" s="75">
        <f>IFERROR(AVERAGE(V283:AE283),"")</f>
        <v/>
      </c>
      <c r="AH283" s="75">
        <f>IFERROR(AVERAGE(B283:K283),"")</f>
        <v/>
      </c>
      <c r="AI283" s="45" t="n">
        <v>0.964649200439453</v>
      </c>
      <c r="AJ283" s="47" t="n">
        <v>0.0055389404296875</v>
      </c>
    </row>
    <row r="284" ht="15" customHeight="1" s="30">
      <c r="A284" s="73" t="inlineStr">
        <is>
          <t>8279.jpg</t>
        </is>
      </c>
      <c r="B284" s="45" t="n"/>
      <c r="C284" s="45" t="n"/>
      <c r="D284" s="45" t="n"/>
      <c r="E284" s="45" t="n"/>
      <c r="F284" s="45" t="n">
        <v>0.921791732680398</v>
      </c>
      <c r="G284" s="45" t="n"/>
      <c r="H284" s="45" t="n">
        <v>0.736781937696485</v>
      </c>
      <c r="I284" s="45" t="n">
        <v>0.813924050632911</v>
      </c>
      <c r="J284" s="45" t="n"/>
      <c r="K284" s="45" t="n">
        <v>0.895361213906457</v>
      </c>
      <c r="L284" s="45" t="n"/>
      <c r="M284" s="45" t="n"/>
      <c r="N284" s="45" t="n"/>
      <c r="O284" s="45" t="n"/>
      <c r="P284" s="45" t="n">
        <v>0.980542362494255</v>
      </c>
      <c r="Q284" s="45" t="n"/>
      <c r="R284" s="45" t="n">
        <v>0.853602005581571</v>
      </c>
      <c r="S284" s="45" t="n">
        <v>0.827009646302251</v>
      </c>
      <c r="T284" s="45" t="n"/>
      <c r="U284" s="45" t="n">
        <v>0.973418283592131</v>
      </c>
      <c r="V284" s="45" t="n"/>
      <c r="W284" s="45" t="n"/>
      <c r="X284" s="45" t="n"/>
      <c r="Y284" s="45" t="n"/>
      <c r="Z284" s="45" t="n">
        <v>0.938967136150235</v>
      </c>
      <c r="AA284" s="45" t="n"/>
      <c r="AB284" s="45" t="n">
        <v>0.843349845779979</v>
      </c>
      <c r="AC284" s="45" t="n">
        <v>0.9809305873379101</v>
      </c>
      <c r="AD284" s="45" t="n"/>
      <c r="AE284" s="45" t="n">
        <v>0.917801615041581</v>
      </c>
      <c r="AF284" s="75">
        <f>IFERROR(AVERAGE(L284:U284),"")</f>
        <v/>
      </c>
      <c r="AG284" s="75">
        <f>IFERROR(AVERAGE(V284:AE284),"")</f>
        <v/>
      </c>
      <c r="AH284" s="75">
        <f>IFERROR(AVERAGE(B284:K284),"")</f>
        <v/>
      </c>
      <c r="AI284" s="45" t="n">
        <v>0.918643951416016</v>
      </c>
      <c r="AJ284" s="47" t="n">
        <v>0.047637939453125</v>
      </c>
    </row>
    <row r="285" ht="15" customHeight="1" s="30">
      <c r="A285" s="73" t="inlineStr">
        <is>
          <t>8287.jpg</t>
        </is>
      </c>
      <c r="B285" s="45" t="n"/>
      <c r="C285" s="45" t="n"/>
      <c r="D285" s="45" t="n"/>
      <c r="E285" s="45" t="n"/>
      <c r="F285" s="45" t="n"/>
      <c r="G285" s="45" t="n"/>
      <c r="H285" s="45" t="n">
        <v>0.822946331240441</v>
      </c>
      <c r="I285" s="45" t="n"/>
      <c r="J285" s="45" t="n"/>
      <c r="K285" s="45" t="n">
        <v>0.697176572346472</v>
      </c>
      <c r="L285" s="45" t="n"/>
      <c r="M285" s="45" t="n"/>
      <c r="N285" s="45" t="n"/>
      <c r="O285" s="45" t="n"/>
      <c r="P285" s="45" t="n"/>
      <c r="Q285" s="45" t="n"/>
      <c r="R285" s="45" t="n">
        <v>0.850256687853601</v>
      </c>
      <c r="S285" s="45" t="n"/>
      <c r="T285" s="45" t="n"/>
      <c r="U285" s="45" t="n">
        <v>0.992070120530651</v>
      </c>
      <c r="V285" s="45" t="n"/>
      <c r="W285" s="45" t="n"/>
      <c r="X285" s="45" t="n"/>
      <c r="Y285" s="45" t="n"/>
      <c r="Z285" s="45" t="n"/>
      <c r="AA285" s="45" t="n"/>
      <c r="AB285" s="45" t="n">
        <v>0.962435514794537</v>
      </c>
      <c r="AC285" s="45" t="n"/>
      <c r="AD285" s="45" t="n"/>
      <c r="AE285" s="45" t="n">
        <v>0.701083512469091</v>
      </c>
      <c r="AF285" s="75">
        <f>IFERROR(AVERAGE(L285:U285),"")</f>
        <v/>
      </c>
      <c r="AG285" s="75">
        <f>IFERROR(AVERAGE(V285:AE285),"")</f>
        <v/>
      </c>
      <c r="AH285" s="75">
        <f>IFERROR(AVERAGE(B285:K285),"")</f>
        <v/>
      </c>
      <c r="AI285" s="45" t="n">
        <v>0.801963806152344</v>
      </c>
      <c r="AJ285" s="47" t="n">
        <v>0.129169464111328</v>
      </c>
    </row>
    <row r="286" ht="15" customHeight="1" s="30">
      <c r="A286" s="73" t="inlineStr">
        <is>
          <t>8290.jpg</t>
        </is>
      </c>
      <c r="B286" s="45" t="n"/>
      <c r="C286" s="45" t="n"/>
      <c r="D286" s="45" t="n"/>
      <c r="E286" s="45" t="n"/>
      <c r="F286" s="45" t="n"/>
      <c r="G286" s="45" t="n"/>
      <c r="H286" s="45" t="n">
        <v>0.876758839084588</v>
      </c>
      <c r="I286" s="45" t="n"/>
      <c r="J286" s="45" t="n"/>
      <c r="K286" s="45" t="n">
        <v>0.9285883813992</v>
      </c>
      <c r="L286" s="45" t="n"/>
      <c r="M286" s="45" t="n"/>
      <c r="N286" s="45" t="n"/>
      <c r="O286" s="45" t="n"/>
      <c r="P286" s="45" t="n"/>
      <c r="Q286" s="45" t="n"/>
      <c r="R286" s="45" t="n">
        <v>0.965637921735483</v>
      </c>
      <c r="S286" s="45" t="n"/>
      <c r="T286" s="45" t="n"/>
      <c r="U286" s="45" t="n">
        <v>0.954297934132756</v>
      </c>
      <c r="V286" s="45" t="n"/>
      <c r="W286" s="45" t="n"/>
      <c r="X286" s="45" t="n"/>
      <c r="Y286" s="45" t="n"/>
      <c r="Z286" s="45" t="n"/>
      <c r="AA286" s="45" t="n"/>
      <c r="AB286" s="45" t="n">
        <v>0.904994046682991</v>
      </c>
      <c r="AC286" s="45" t="n"/>
      <c r="AD286" s="45" t="n"/>
      <c r="AE286" s="45" t="n">
        <v>0.971805358194988</v>
      </c>
      <c r="AF286" s="75">
        <f>IFERROR(AVERAGE(L286:U286),"")</f>
        <v/>
      </c>
      <c r="AG286" s="75">
        <f>IFERROR(AVERAGE(V286:AE286),"")</f>
        <v/>
      </c>
      <c r="AH286" s="75">
        <f>IFERROR(AVERAGE(B286:K286),"")</f>
        <v/>
      </c>
      <c r="AI286" s="45" t="n">
        <v>0.949115753173828</v>
      </c>
      <c r="AJ286" s="47" t="n">
        <v>0.00921249389648438</v>
      </c>
    </row>
    <row r="287" ht="15" customHeight="1" s="30">
      <c r="A287" s="73" t="inlineStr">
        <is>
          <t>8292.jpg</t>
        </is>
      </c>
      <c r="B287" s="45" t="n"/>
      <c r="C287" s="45" t="n"/>
      <c r="D287" s="45" t="n"/>
      <c r="E287" s="45" t="n"/>
      <c r="F287" s="45" t="n"/>
      <c r="G287" s="45" t="n"/>
      <c r="H287" s="45" t="n">
        <v>0.789995874587459</v>
      </c>
      <c r="I287" s="45" t="n"/>
      <c r="J287" s="45" t="n"/>
      <c r="K287" s="45" t="n">
        <v>0.952759216023043</v>
      </c>
      <c r="L287" s="45" t="n"/>
      <c r="M287" s="45" t="n"/>
      <c r="N287" s="45" t="n"/>
      <c r="O287" s="45" t="n"/>
      <c r="P287" s="45" t="n"/>
      <c r="Q287" s="45" t="n"/>
      <c r="R287" s="45" t="n">
        <v>0.950866477978053</v>
      </c>
      <c r="S287" s="45" t="n"/>
      <c r="T287" s="45" t="n"/>
      <c r="U287" s="45" t="n">
        <v>0.964087060026884</v>
      </c>
      <c r="V287" s="45" t="n"/>
      <c r="W287" s="45" t="n"/>
      <c r="X287" s="45" t="n"/>
      <c r="Y287" s="45" t="n"/>
      <c r="Z287" s="45" t="n"/>
      <c r="AA287" s="45" t="n"/>
      <c r="AB287" s="45" t="n">
        <v>0.823616696415131</v>
      </c>
      <c r="AC287" s="45" t="n"/>
      <c r="AD287" s="45" t="n"/>
      <c r="AE287" s="45" t="n">
        <v>0.98781782854069</v>
      </c>
      <c r="AF287" s="75">
        <f>IFERROR(AVERAGE(L287:U287),"")</f>
        <v/>
      </c>
      <c r="AG287" s="75">
        <f>IFERROR(AVERAGE(V287:AE287),"")</f>
        <v/>
      </c>
      <c r="AH287" s="75">
        <f>IFERROR(AVERAGE(B287:K287),"")</f>
        <v/>
      </c>
      <c r="AI287" s="45" t="n">
        <v>0.958690643310547</v>
      </c>
      <c r="AJ287" s="47" t="n">
        <v>0.00349044799804688</v>
      </c>
    </row>
    <row r="288" ht="15" customHeight="1" s="30">
      <c r="A288" s="73" t="inlineStr">
        <is>
          <t>8293.jpg</t>
        </is>
      </c>
      <c r="B288" s="45" t="n"/>
      <c r="C288" s="45" t="n"/>
      <c r="D288" s="45" t="n"/>
      <c r="E288" s="45" t="n"/>
      <c r="F288" s="45" t="n"/>
      <c r="G288" s="45" t="n"/>
      <c r="H288" s="45" t="n">
        <v>0.710025520969395</v>
      </c>
      <c r="I288" s="45" t="n"/>
      <c r="J288" s="45" t="n"/>
      <c r="K288" s="45" t="n">
        <v>0.930575946792139</v>
      </c>
      <c r="L288" s="45" t="n"/>
      <c r="M288" s="45" t="n"/>
      <c r="N288" s="45" t="n"/>
      <c r="O288" s="45" t="n"/>
      <c r="P288" s="45" t="n"/>
      <c r="Q288" s="45" t="n"/>
      <c r="R288" s="45" t="n">
        <v>0.850066161433899</v>
      </c>
      <c r="S288" s="45" t="n"/>
      <c r="T288" s="45" t="n"/>
      <c r="U288" s="45" t="n">
        <v>0.965501578329173</v>
      </c>
      <c r="V288" s="45" t="n"/>
      <c r="W288" s="45" t="n"/>
      <c r="X288" s="45" t="n"/>
      <c r="Y288" s="45" t="n"/>
      <c r="Z288" s="45" t="n"/>
      <c r="AA288" s="45" t="n"/>
      <c r="AB288" s="45" t="n">
        <v>0.811674438905608</v>
      </c>
      <c r="AC288" s="45" t="n"/>
      <c r="AD288" s="45" t="n"/>
      <c r="AE288" s="45" t="n">
        <v>0.962582280102281</v>
      </c>
      <c r="AF288" s="75">
        <f>IFERROR(AVERAGE(L288:U288),"")</f>
        <v/>
      </c>
      <c r="AG288" s="75">
        <f>IFERROR(AVERAGE(V288:AE288),"")</f>
        <v/>
      </c>
      <c r="AH288" s="75">
        <f>IFERROR(AVERAGE(B288:K288),"")</f>
        <v/>
      </c>
      <c r="AI288" s="45" t="n">
        <v>0.937522888183594</v>
      </c>
      <c r="AJ288" s="47" t="n">
        <v>0.0100212097167969</v>
      </c>
    </row>
    <row r="289" ht="15" customHeight="1" s="30">
      <c r="A289" s="73" t="inlineStr">
        <is>
          <t>8302.jpg</t>
        </is>
      </c>
      <c r="B289" s="45" t="n"/>
      <c r="C289" s="45" t="n"/>
      <c r="D289" s="45" t="n"/>
      <c r="E289" s="45" t="n"/>
      <c r="F289" s="45" t="n">
        <v>0.882716430822468</v>
      </c>
      <c r="G289" s="45" t="n"/>
      <c r="H289" s="45" t="n"/>
      <c r="I289" s="45" t="n"/>
      <c r="J289" s="45" t="n"/>
      <c r="K289" s="45" t="n">
        <v>0.992704445198507</v>
      </c>
      <c r="L289" s="45" t="n"/>
      <c r="M289" s="45" t="n"/>
      <c r="N289" s="45" t="n"/>
      <c r="O289" s="45" t="n"/>
      <c r="P289" s="45" t="n">
        <v>0.993393602225313</v>
      </c>
      <c r="Q289" s="45" t="n"/>
      <c r="R289" s="45" t="n"/>
      <c r="S289" s="45" t="n"/>
      <c r="T289" s="45" t="n"/>
      <c r="U289" s="45" t="n">
        <v>0.993965231319317</v>
      </c>
      <c r="V289" s="45" t="n"/>
      <c r="W289" s="45" t="n"/>
      <c r="X289" s="45" t="n"/>
      <c r="Y289" s="45" t="n"/>
      <c r="Z289" s="45" t="n">
        <v>0.887928891098956</v>
      </c>
      <c r="AA289" s="45" t="n"/>
      <c r="AB289" s="45" t="n"/>
      <c r="AC289" s="45" t="n"/>
      <c r="AD289" s="45" t="n"/>
      <c r="AE289" s="45" t="n">
        <v>0.9987238677374261</v>
      </c>
      <c r="AF289" s="75">
        <f>IFERROR(AVERAGE(L289:U289),"")</f>
        <v/>
      </c>
      <c r="AG289" s="75">
        <f>IFERROR(AVERAGE(V289:AE289),"")</f>
        <v/>
      </c>
      <c r="AH289" s="75">
        <f>IFERROR(AVERAGE(B289:K289),"")</f>
        <v/>
      </c>
      <c r="AI289" s="45" t="n">
        <v>0.991924285888672</v>
      </c>
      <c r="AJ289" s="47" t="n">
        <v>0.00202178955078125</v>
      </c>
    </row>
    <row r="290" ht="15" customHeight="1" s="30">
      <c r="A290" s="73" t="inlineStr">
        <is>
          <t>8303.jpg</t>
        </is>
      </c>
      <c r="B290" s="45" t="n"/>
      <c r="C290" s="45" t="n"/>
      <c r="D290" s="45" t="n"/>
      <c r="E290" s="45" t="n"/>
      <c r="F290" s="45" t="n">
        <v>0.841230769230769</v>
      </c>
      <c r="G290" s="45" t="n"/>
      <c r="H290" s="45" t="n">
        <v>0.652412845612227</v>
      </c>
      <c r="I290" s="45" t="n"/>
      <c r="J290" s="45" t="n"/>
      <c r="K290" s="45" t="n">
        <v>0.989439717250668</v>
      </c>
      <c r="L290" s="45" t="n"/>
      <c r="M290" s="45" t="n"/>
      <c r="N290" s="45" t="n"/>
      <c r="O290" s="45" t="n"/>
      <c r="P290" s="45" t="n">
        <v>0.936943111720356</v>
      </c>
      <c r="Q290" s="45" t="n"/>
      <c r="R290" s="45" t="n">
        <v>0.689724037763253</v>
      </c>
      <c r="S290" s="45" t="n"/>
      <c r="T290" s="45" t="n"/>
      <c r="U290" s="45" t="n">
        <v>0.998393571142411</v>
      </c>
      <c r="V290" s="45" t="n"/>
      <c r="W290" s="45" t="n"/>
      <c r="X290" s="45" t="n"/>
      <c r="Y290" s="45" t="n"/>
      <c r="Z290" s="45" t="n">
        <v>0.891715590345727</v>
      </c>
      <c r="AA290" s="45" t="n"/>
      <c r="AB290" s="45" t="n">
        <v>0.923432182790472</v>
      </c>
      <c r="AC290" s="45" t="n"/>
      <c r="AD290" s="45" t="n"/>
      <c r="AE290" s="45" t="n">
        <v>0.991017438800454</v>
      </c>
      <c r="AF290" s="75">
        <f>IFERROR(AVERAGE(L290:U290),"")</f>
        <v/>
      </c>
      <c r="AG290" s="75">
        <f>IFERROR(AVERAGE(V290:AE290),"")</f>
        <v/>
      </c>
      <c r="AH290" s="75">
        <f>IFERROR(AVERAGE(B290:K290),"")</f>
        <v/>
      </c>
      <c r="AI290" s="45" t="n">
        <v>0.989376068115234</v>
      </c>
      <c r="AJ290" s="47" t="n">
        <v>0.00219345092773438</v>
      </c>
    </row>
    <row r="291" ht="15" customHeight="1" s="30">
      <c r="A291" s="73" t="inlineStr">
        <is>
          <t>8307.jpg</t>
        </is>
      </c>
      <c r="B291" s="45" t="n"/>
      <c r="C291" s="45" t="n"/>
      <c r="D291" s="45" t="n"/>
      <c r="E291" s="45" t="n"/>
      <c r="F291" s="45" t="n"/>
      <c r="G291" s="45" t="n"/>
      <c r="H291" s="45" t="n">
        <v>0.829059156702329</v>
      </c>
      <c r="I291" s="45" t="n"/>
      <c r="J291" s="45" t="n"/>
      <c r="K291" s="45" t="n">
        <v>0.9684505208333331</v>
      </c>
      <c r="L291" s="45" t="n"/>
      <c r="M291" s="45" t="n"/>
      <c r="N291" s="45" t="n"/>
      <c r="O291" s="45" t="n"/>
      <c r="P291" s="45" t="n"/>
      <c r="Q291" s="45" t="n"/>
      <c r="R291" s="45" t="n">
        <v>0.909344531047773</v>
      </c>
      <c r="S291" s="45" t="n"/>
      <c r="T291" s="45" t="n"/>
      <c r="U291" s="45" t="n">
        <v>0.985687212584651</v>
      </c>
      <c r="V291" s="45" t="n"/>
      <c r="W291" s="45" t="n"/>
      <c r="X291" s="45" t="n"/>
      <c r="Y291" s="45" t="n"/>
      <c r="Z291" s="45" t="n"/>
      <c r="AA291" s="45" t="n"/>
      <c r="AB291" s="45" t="n">
        <v>0.9037560027441121</v>
      </c>
      <c r="AC291" s="45" t="n"/>
      <c r="AD291" s="45" t="n"/>
      <c r="AE291" s="45" t="n">
        <v>0.982263602746962</v>
      </c>
      <c r="AF291" s="75">
        <f>IFERROR(AVERAGE(L291:U291),"")</f>
        <v/>
      </c>
      <c r="AG291" s="75">
        <f>IFERROR(AVERAGE(V291:AE291),"")</f>
        <v/>
      </c>
      <c r="AH291" s="75">
        <f>IFERROR(AVERAGE(B291:K291),"")</f>
        <v/>
      </c>
      <c r="AI291" s="45" t="n">
        <v>0.9717864990234381</v>
      </c>
      <c r="AJ291" s="47" t="n">
        <v>0.0038299560546875</v>
      </c>
    </row>
    <row r="292" ht="15" customHeight="1" s="30">
      <c r="A292" s="73" t="inlineStr">
        <is>
          <t>8308.jpg</t>
        </is>
      </c>
      <c r="B292" s="45" t="n"/>
      <c r="C292" s="45" t="n"/>
      <c r="D292" s="45" t="n"/>
      <c r="E292" s="45" t="n"/>
      <c r="F292" s="45" t="n"/>
      <c r="G292" s="45" t="n"/>
      <c r="H292" s="45" t="n">
        <v>0.839198743126473</v>
      </c>
      <c r="I292" s="45" t="n"/>
      <c r="J292" s="45" t="n"/>
      <c r="K292" s="45" t="n">
        <v>0.979031815802375</v>
      </c>
      <c r="L292" s="45" t="n"/>
      <c r="M292" s="45" t="n"/>
      <c r="N292" s="45" t="n"/>
      <c r="O292" s="45" t="n"/>
      <c r="P292" s="45" t="n"/>
      <c r="Q292" s="45" t="n"/>
      <c r="R292" s="45" t="n">
        <v>0.893563631801263</v>
      </c>
      <c r="S292" s="45" t="n"/>
      <c r="T292" s="45" t="n"/>
      <c r="U292" s="45" t="n">
        <v>0.993804824561404</v>
      </c>
      <c r="V292" s="45" t="n"/>
      <c r="W292" s="45" t="n"/>
      <c r="X292" s="45" t="n"/>
      <c r="Y292" s="45" t="n"/>
      <c r="Z292" s="45" t="n"/>
      <c r="AA292" s="45" t="n"/>
      <c r="AB292" s="45" t="n">
        <v>0.932402356535021</v>
      </c>
      <c r="AC292" s="45" t="n"/>
      <c r="AD292" s="45" t="n"/>
      <c r="AE292" s="45" t="n">
        <v>0.985043619293648</v>
      </c>
      <c r="AF292" s="75">
        <f>IFERROR(AVERAGE(L292:U292),"")</f>
        <v/>
      </c>
      <c r="AG292" s="75">
        <f>IFERROR(AVERAGE(V292:AE292),"")</f>
        <v/>
      </c>
      <c r="AH292" s="75">
        <f>IFERROR(AVERAGE(B292:K292),"")</f>
        <v/>
      </c>
      <c r="AI292" s="45" t="n">
        <v>0.980442047119141</v>
      </c>
      <c r="AJ292" s="47" t="n">
        <v>0.00424575805664063</v>
      </c>
    </row>
    <row r="293" ht="15" customHeight="1" s="30">
      <c r="A293" s="73" t="inlineStr">
        <is>
          <t>8309.jpg</t>
        </is>
      </c>
      <c r="B293" s="45" t="n"/>
      <c r="C293" s="45" t="n"/>
      <c r="D293" s="45" t="n"/>
      <c r="E293" s="45" t="n"/>
      <c r="F293" s="45" t="n"/>
      <c r="G293" s="45" t="n"/>
      <c r="H293" s="45" t="n">
        <v>0.747621798575005</v>
      </c>
      <c r="I293" s="45" t="n"/>
      <c r="J293" s="45" t="n"/>
      <c r="K293" s="45" t="n">
        <v>0.97441844121161</v>
      </c>
      <c r="L293" s="45" t="n"/>
      <c r="M293" s="45" t="n"/>
      <c r="N293" s="45" t="n"/>
      <c r="O293" s="45" t="n"/>
      <c r="P293" s="45" t="n"/>
      <c r="Q293" s="45" t="n"/>
      <c r="R293" s="45" t="n">
        <v>0.911275936531781</v>
      </c>
      <c r="S293" s="45" t="n"/>
      <c r="T293" s="45" t="n"/>
      <c r="U293" s="45" t="n">
        <v>0.9840353360135931</v>
      </c>
      <c r="V293" s="45" t="n"/>
      <c r="W293" s="45" t="n"/>
      <c r="X293" s="45" t="n"/>
      <c r="Y293" s="45" t="n"/>
      <c r="Z293" s="45" t="n"/>
      <c r="AA293" s="45" t="n"/>
      <c r="AB293" s="45" t="n">
        <v>0.806313603322949</v>
      </c>
      <c r="AC293" s="45" t="n"/>
      <c r="AD293" s="45" t="n"/>
      <c r="AE293" s="45" t="n">
        <v>0.990070105725651</v>
      </c>
      <c r="AF293" s="75">
        <f>IFERROR(AVERAGE(L293:U293),"")</f>
        <v/>
      </c>
      <c r="AG293" s="75">
        <f>IFERROR(AVERAGE(V293:AE293),"")</f>
        <v/>
      </c>
      <c r="AH293" s="75">
        <f>IFERROR(AVERAGE(B293:K293),"")</f>
        <v/>
      </c>
      <c r="AI293" s="45" t="n">
        <v>0.973194122314453</v>
      </c>
      <c r="AJ293" s="47" t="n">
        <v>0.00500869750976563</v>
      </c>
    </row>
    <row r="294" ht="15" customHeight="1" s="30">
      <c r="A294" s="73" t="inlineStr">
        <is>
          <t>8310.jpg</t>
        </is>
      </c>
      <c r="B294" s="45" t="n"/>
      <c r="C294" s="45" t="n"/>
      <c r="D294" s="45" t="n"/>
      <c r="E294" s="45" t="n"/>
      <c r="F294" s="45" t="n"/>
      <c r="G294" s="45" t="n"/>
      <c r="H294" s="45" t="n">
        <v>0.806354598869427</v>
      </c>
      <c r="I294" s="45" t="n"/>
      <c r="J294" s="45" t="n"/>
      <c r="K294" s="45" t="n">
        <v>0.969000171791788</v>
      </c>
      <c r="L294" s="45" t="n"/>
      <c r="M294" s="45" t="n"/>
      <c r="N294" s="45" t="n"/>
      <c r="O294" s="45" t="n"/>
      <c r="P294" s="45" t="n"/>
      <c r="Q294" s="45" t="n"/>
      <c r="R294" s="45" t="n">
        <v>0.871857405232891</v>
      </c>
      <c r="S294" s="45" t="n"/>
      <c r="T294" s="45" t="n"/>
      <c r="U294" s="45" t="n">
        <v>0.989687375259351</v>
      </c>
      <c r="V294" s="45" t="n"/>
      <c r="W294" s="45" t="n"/>
      <c r="X294" s="45" t="n"/>
      <c r="Y294" s="45" t="n"/>
      <c r="Z294" s="45" t="n"/>
      <c r="AA294" s="45" t="n"/>
      <c r="AB294" s="45" t="n">
        <v>0.9147685989575109</v>
      </c>
      <c r="AC294" s="45" t="n"/>
      <c r="AD294" s="45" t="n"/>
      <c r="AE294" s="45" t="n">
        <v>0.978884024834157</v>
      </c>
      <c r="AF294" s="75">
        <f>IFERROR(AVERAGE(L294:U294),"")</f>
        <v/>
      </c>
      <c r="AG294" s="75">
        <f>IFERROR(AVERAGE(V294:AE294),"")</f>
        <v/>
      </c>
      <c r="AH294" s="75">
        <f>IFERROR(AVERAGE(B294:K294),"")</f>
        <v/>
      </c>
      <c r="AI294" s="45" t="n">
        <v>0.971141815185547</v>
      </c>
      <c r="AJ294" s="47" t="n">
        <v>0.00365447998046875</v>
      </c>
    </row>
    <row r="295" ht="15" customHeight="1" s="30">
      <c r="A295" s="73" t="inlineStr">
        <is>
          <t>8316.jpg</t>
        </is>
      </c>
      <c r="B295" s="45" t="n"/>
      <c r="C295" s="45" t="n"/>
      <c r="D295" s="45" t="n"/>
      <c r="E295" s="45" t="n"/>
      <c r="F295" s="45" t="n"/>
      <c r="G295" s="45" t="n"/>
      <c r="H295" s="45" t="n">
        <v>0.931169787629638</v>
      </c>
      <c r="I295" s="45" t="n"/>
      <c r="J295" s="45" t="n"/>
      <c r="K295" s="45" t="n">
        <v>0.964193085524</v>
      </c>
      <c r="L295" s="45" t="n"/>
      <c r="M295" s="45" t="n"/>
      <c r="N295" s="45" t="n"/>
      <c r="O295" s="45" t="n"/>
      <c r="P295" s="45" t="n"/>
      <c r="Q295" s="45" t="n"/>
      <c r="R295" s="45" t="n">
        <v>0.9561983163689109</v>
      </c>
      <c r="S295" s="45" t="n"/>
      <c r="T295" s="45" t="n"/>
      <c r="U295" s="45" t="n">
        <v>0.989800285703169</v>
      </c>
      <c r="V295" s="45" t="n"/>
      <c r="W295" s="45" t="n"/>
      <c r="X295" s="45" t="n"/>
      <c r="Y295" s="45" t="n"/>
      <c r="Z295" s="45" t="n"/>
      <c r="AA295" s="45" t="n"/>
      <c r="AB295" s="45" t="n">
        <v>0.9726587131434909</v>
      </c>
      <c r="AC295" s="45" t="n"/>
      <c r="AD295" s="45" t="n"/>
      <c r="AE295" s="45" t="n">
        <v>0.97386929176921</v>
      </c>
      <c r="AF295" s="75">
        <f>IFERROR(AVERAGE(L295:U295),"")</f>
        <v/>
      </c>
      <c r="AG295" s="75">
        <f>IFERROR(AVERAGE(V295:AE295),"")</f>
        <v/>
      </c>
      <c r="AH295" s="75">
        <f>IFERROR(AVERAGE(B295:K295),"")</f>
        <v/>
      </c>
      <c r="AI295" s="45" t="n">
        <v>0.973503112792969</v>
      </c>
      <c r="AJ295" s="47" t="n">
        <v>0.00601959228515625</v>
      </c>
    </row>
    <row r="296" ht="15" customHeight="1" s="30">
      <c r="A296" s="73" t="inlineStr">
        <is>
          <t>8324.jpg</t>
        </is>
      </c>
      <c r="B296" s="45" t="n"/>
      <c r="C296" s="45" t="n"/>
      <c r="D296" s="45" t="n"/>
      <c r="E296" s="45" t="n"/>
      <c r="F296" s="45" t="n">
        <v>0.922951556704507</v>
      </c>
      <c r="G296" s="45" t="n"/>
      <c r="H296" s="45" t="n">
        <v>0.769397371732959</v>
      </c>
      <c r="I296" s="45" t="n">
        <v>0.866606579540334</v>
      </c>
      <c r="J296" s="45" t="n"/>
      <c r="K296" s="45" t="n">
        <v>0.94605253961439</v>
      </c>
      <c r="L296" s="45" t="n"/>
      <c r="M296" s="45" t="n"/>
      <c r="N296" s="45" t="n"/>
      <c r="O296" s="45" t="n"/>
      <c r="P296" s="45" t="n">
        <v>0.943959075755834</v>
      </c>
      <c r="Q296" s="45" t="n"/>
      <c r="R296" s="45" t="n">
        <v>0.784084469233752</v>
      </c>
      <c r="S296" s="45" t="n">
        <v>0.914843006660324</v>
      </c>
      <c r="T296" s="45" t="n"/>
      <c r="U296" s="45" t="n">
        <v>0.995963588201905</v>
      </c>
      <c r="V296" s="45" t="n"/>
      <c r="W296" s="45" t="n"/>
      <c r="X296" s="45" t="n"/>
      <c r="Y296" s="45" t="n"/>
      <c r="Z296" s="45" t="n">
        <v>0.9764551994767821</v>
      </c>
      <c r="AA296" s="45" t="n"/>
      <c r="AB296" s="45" t="n">
        <v>0.976232917409388</v>
      </c>
      <c r="AC296" s="45" t="n">
        <v>0.9426470588235289</v>
      </c>
      <c r="AD296" s="45" t="n"/>
      <c r="AE296" s="45" t="n">
        <v>0.949693792661047</v>
      </c>
      <c r="AF296" s="75">
        <f>IFERROR(AVERAGE(L296:U296),"")</f>
        <v/>
      </c>
      <c r="AG296" s="75">
        <f>IFERROR(AVERAGE(V296:AE296),"")</f>
        <v/>
      </c>
      <c r="AH296" s="75">
        <f>IFERROR(AVERAGE(B296:K296),"")</f>
        <v/>
      </c>
      <c r="AI296" s="45" t="n">
        <v>0.955799102783203</v>
      </c>
      <c r="AJ296" s="47" t="n">
        <v>0.00553512573242188</v>
      </c>
    </row>
    <row r="297" ht="15" customHeight="1" s="30">
      <c r="A297" s="73" t="inlineStr">
        <is>
          <t>8329.jpg</t>
        </is>
      </c>
      <c r="B297" s="45" t="n"/>
      <c r="C297" s="45" t="n"/>
      <c r="D297" s="45" t="n"/>
      <c r="E297" s="45" t="n"/>
      <c r="F297" s="45" t="n"/>
      <c r="G297" s="45" t="n"/>
      <c r="H297" s="45" t="n">
        <v>0.934489892207745</v>
      </c>
      <c r="I297" s="45" t="n"/>
      <c r="J297" s="45" t="n"/>
      <c r="K297" s="45" t="n">
        <v>0.930579348129589</v>
      </c>
      <c r="L297" s="45" t="n"/>
      <c r="M297" s="45" t="n"/>
      <c r="N297" s="45" t="n"/>
      <c r="O297" s="45" t="n"/>
      <c r="P297" s="45" t="n"/>
      <c r="Q297" s="45" t="n"/>
      <c r="R297" s="45" t="n">
        <v>0.954640841780553</v>
      </c>
      <c r="S297" s="45" t="n"/>
      <c r="T297" s="45" t="n"/>
      <c r="U297" s="45" t="n">
        <v>0.983922059891324</v>
      </c>
      <c r="V297" s="45" t="n"/>
      <c r="W297" s="45" t="n"/>
      <c r="X297" s="45" t="n"/>
      <c r="Y297" s="45" t="n"/>
      <c r="Z297" s="45" t="n"/>
      <c r="AA297" s="45" t="n"/>
      <c r="AB297" s="45" t="n">
        <v>0.97791079241614</v>
      </c>
      <c r="AC297" s="45" t="n"/>
      <c r="AD297" s="45" t="n"/>
      <c r="AE297" s="45" t="n">
        <v>0.94494850416871</v>
      </c>
      <c r="AF297" s="75">
        <f>IFERROR(AVERAGE(L297:U297),"")</f>
        <v/>
      </c>
      <c r="AG297" s="75">
        <f>IFERROR(AVERAGE(V297:AE297),"")</f>
        <v/>
      </c>
      <c r="AH297" s="75">
        <f>IFERROR(AVERAGE(B297:K297),"")</f>
        <v/>
      </c>
      <c r="AI297" s="45" t="n">
        <v>0.9615020751953131</v>
      </c>
      <c r="AJ297" s="47" t="n">
        <v>0.007476806640625</v>
      </c>
    </row>
    <row r="298" ht="15" customHeight="1" s="30">
      <c r="A298" s="73" t="inlineStr">
        <is>
          <t>8332.jpg</t>
        </is>
      </c>
      <c r="B298" s="45" t="n"/>
      <c r="C298" s="45" t="n"/>
      <c r="D298" s="45" t="n"/>
      <c r="E298" s="45" t="n"/>
      <c r="F298" s="45" t="n"/>
      <c r="G298" s="45" t="n"/>
      <c r="H298" s="45" t="n">
        <v>0.961107641395421</v>
      </c>
      <c r="I298" s="45" t="n"/>
      <c r="J298" s="45" t="n"/>
      <c r="K298" s="45" t="n">
        <v>0.965960058872357</v>
      </c>
      <c r="L298" s="45" t="n"/>
      <c r="M298" s="45" t="n"/>
      <c r="N298" s="45" t="n"/>
      <c r="O298" s="45" t="n"/>
      <c r="P298" s="45" t="n"/>
      <c r="Q298" s="45" t="n"/>
      <c r="R298" s="45" t="n">
        <v>0.985323343783002</v>
      </c>
      <c r="S298" s="45" t="n"/>
      <c r="T298" s="45" t="n"/>
      <c r="U298" s="45" t="n">
        <v>0.980590842786535</v>
      </c>
      <c r="V298" s="45" t="n"/>
      <c r="W298" s="45" t="n"/>
      <c r="X298" s="45" t="n"/>
      <c r="Y298" s="45" t="n"/>
      <c r="Z298" s="45" t="n"/>
      <c r="AA298" s="45" t="n"/>
      <c r="AB298" s="45" t="n">
        <v>0.975066653500543</v>
      </c>
      <c r="AC298" s="45" t="n"/>
      <c r="AD298" s="45" t="n"/>
      <c r="AE298" s="45" t="n">
        <v>0.9847887924904</v>
      </c>
      <c r="AF298" s="75">
        <f>IFERROR(AVERAGE(L298:U298),"")</f>
        <v/>
      </c>
      <c r="AG298" s="75">
        <f>IFERROR(AVERAGE(V298:AE298),"")</f>
        <v/>
      </c>
      <c r="AH298" s="75">
        <f>IFERROR(AVERAGE(B298:K298),"")</f>
        <v/>
      </c>
      <c r="AI298" s="45" t="n">
        <v>0.980281829833984</v>
      </c>
      <c r="AJ298" s="47" t="n">
        <v>0.00252914428710938</v>
      </c>
    </row>
    <row r="299" ht="15" customHeight="1" s="30">
      <c r="A299" s="73" t="inlineStr">
        <is>
          <t>8338.jpg</t>
        </is>
      </c>
      <c r="B299" s="45" t="n"/>
      <c r="C299" s="45" t="n"/>
      <c r="D299" s="45" t="n">
        <v>0.944051153231331</v>
      </c>
      <c r="E299" s="45" t="n"/>
      <c r="F299" s="45" t="n">
        <v>0</v>
      </c>
      <c r="G299" s="45" t="n"/>
      <c r="H299" s="45" t="n">
        <v>0.879959102785807</v>
      </c>
      <c r="I299" s="45" t="n"/>
      <c r="J299" s="45" t="n"/>
      <c r="K299" s="45" t="n">
        <v>0.935372806081052</v>
      </c>
      <c r="L299" s="45" t="n"/>
      <c r="M299" s="45" t="n"/>
      <c r="N299" s="45" t="n">
        <v>0.968376669009136</v>
      </c>
      <c r="O299" s="45" t="n"/>
      <c r="P299" s="45" t="n">
        <v>0</v>
      </c>
      <c r="Q299" s="45" t="n"/>
      <c r="R299" s="45" t="n">
        <v>0.937279840813144</v>
      </c>
      <c r="S299" s="45" t="n"/>
      <c r="T299" s="45" t="n"/>
      <c r="U299" s="45" t="n">
        <v>0.977714913822445</v>
      </c>
      <c r="V299" s="45" t="n"/>
      <c r="W299" s="45" t="n"/>
      <c r="X299" s="45" t="n">
        <v>0.974081055607917</v>
      </c>
      <c r="Y299" s="45" t="n"/>
      <c r="Z299" s="45" t="n"/>
      <c r="AA299" s="45" t="n"/>
      <c r="AB299" s="45" t="n">
        <v>0.935017033718716</v>
      </c>
      <c r="AC299" s="45" t="n"/>
      <c r="AD299" s="45" t="n"/>
      <c r="AE299" s="45" t="n">
        <v>0.955749364575493</v>
      </c>
      <c r="AF299" s="75">
        <f>IFERROR(AVERAGE(L299:U299),"")</f>
        <v/>
      </c>
      <c r="AG299" s="75">
        <f>IFERROR(AVERAGE(V299:AE299),"")</f>
        <v/>
      </c>
      <c r="AH299" s="75">
        <f>IFERROR(AVERAGE(B299:K299),"")</f>
        <v/>
      </c>
      <c r="AI299" s="45" t="n">
        <v>0.9501495361328131</v>
      </c>
      <c r="AJ299" s="47" t="n">
        <v>0.00708389282226563</v>
      </c>
    </row>
    <row r="300" ht="15" customHeight="1" s="30">
      <c r="A300" s="73" t="inlineStr">
        <is>
          <t>8339.jpg</t>
        </is>
      </c>
      <c r="B300" s="45" t="n"/>
      <c r="C300" s="45" t="n"/>
      <c r="D300" s="45" t="n">
        <v>0.87095282146161</v>
      </c>
      <c r="E300" s="45" t="n"/>
      <c r="F300" s="45" t="n">
        <v>0</v>
      </c>
      <c r="G300" s="45" t="n"/>
      <c r="H300" s="45" t="n">
        <v>0.845487389346438</v>
      </c>
      <c r="I300" s="45" t="n"/>
      <c r="J300" s="45" t="n"/>
      <c r="K300" s="45" t="n">
        <v>0.939425499748026</v>
      </c>
      <c r="L300" s="45" t="n"/>
      <c r="M300" s="45" t="n"/>
      <c r="N300" s="45" t="n">
        <v>0.9663843982550679</v>
      </c>
      <c r="O300" s="45" t="n"/>
      <c r="P300" s="45" t="n">
        <v>0</v>
      </c>
      <c r="Q300" s="45" t="n"/>
      <c r="R300" s="45" t="n">
        <v>0.912752546257787</v>
      </c>
      <c r="S300" s="45" t="n"/>
      <c r="T300" s="45" t="n"/>
      <c r="U300" s="45" t="n">
        <v>0.979546694291391</v>
      </c>
      <c r="V300" s="45" t="n"/>
      <c r="W300" s="45" t="n"/>
      <c r="X300" s="45" t="n">
        <v>0.898163606010017</v>
      </c>
      <c r="Y300" s="45" t="n"/>
      <c r="Z300" s="45" t="n"/>
      <c r="AA300" s="45" t="n"/>
      <c r="AB300" s="45" t="n">
        <v>0.919825643127247</v>
      </c>
      <c r="AC300" s="45" t="n"/>
      <c r="AD300" s="45" t="n"/>
      <c r="AE300" s="45" t="n">
        <v>0.958221552078642</v>
      </c>
      <c r="AF300" s="75">
        <f>IFERROR(AVERAGE(L300:U300),"")</f>
        <v/>
      </c>
      <c r="AG300" s="75">
        <f>IFERROR(AVERAGE(V300:AE300),"")</f>
        <v/>
      </c>
      <c r="AH300" s="75">
        <f>IFERROR(AVERAGE(B300:K300),"")</f>
        <v/>
      </c>
      <c r="AI300" s="45" t="n">
        <v>0.949398040771484</v>
      </c>
      <c r="AJ300" s="47" t="n">
        <v>0.00590896606445313</v>
      </c>
    </row>
    <row r="301" ht="15" customHeight="1" s="30">
      <c r="A301" s="73" t="inlineStr">
        <is>
          <t>8340.jpg</t>
        </is>
      </c>
      <c r="B301" s="45" t="n"/>
      <c r="C301" s="45" t="n"/>
      <c r="D301" s="45" t="n">
        <v>0.9429228998849249</v>
      </c>
      <c r="E301" s="45" t="n"/>
      <c r="F301" s="45" t="n">
        <v>0</v>
      </c>
      <c r="G301" s="45" t="n"/>
      <c r="H301" s="45" t="n">
        <v>0.829943594749973</v>
      </c>
      <c r="I301" s="45" t="n"/>
      <c r="J301" s="45" t="n"/>
      <c r="K301" s="45" t="n">
        <v>0.960949979537684</v>
      </c>
      <c r="L301" s="45" t="n"/>
      <c r="M301" s="45" t="n"/>
      <c r="N301" s="45" t="n">
        <v>0.9722354057902231</v>
      </c>
      <c r="O301" s="45" t="n"/>
      <c r="P301" s="45" t="n">
        <v>0</v>
      </c>
      <c r="Q301" s="45" t="n"/>
      <c r="R301" s="45" t="n">
        <v>0.874353626831986</v>
      </c>
      <c r="S301" s="45" t="n"/>
      <c r="T301" s="45" t="n"/>
      <c r="U301" s="45" t="n">
        <v>0.991784069542469</v>
      </c>
      <c r="V301" s="45" t="n"/>
      <c r="W301" s="45" t="n"/>
      <c r="X301" s="45" t="n">
        <v>0.969016083254494</v>
      </c>
      <c r="Y301" s="45" t="n"/>
      <c r="Z301" s="45" t="n"/>
      <c r="AA301" s="45" t="n"/>
      <c r="AB301" s="45" t="n">
        <v>0.9423301927458591</v>
      </c>
      <c r="AC301" s="45" t="n"/>
      <c r="AD301" s="45" t="n"/>
      <c r="AE301" s="45" t="n">
        <v>0.96866100657387</v>
      </c>
      <c r="AF301" s="75">
        <f>IFERROR(AVERAGE(L301:U301),"")</f>
        <v/>
      </c>
      <c r="AG301" s="75">
        <f>IFERROR(AVERAGE(V301:AE301),"")</f>
        <v/>
      </c>
      <c r="AH301" s="75">
        <f>IFERROR(AVERAGE(B301:K301),"")</f>
        <v/>
      </c>
      <c r="AI301" s="45" t="n">
        <v>0.965404510498047</v>
      </c>
      <c r="AJ301" s="47" t="n">
        <v>0.003631591796875</v>
      </c>
    </row>
    <row r="302" ht="15" customHeight="1" s="30">
      <c r="A302" s="73" t="inlineStr">
        <is>
          <t>8341.jpg</t>
        </is>
      </c>
      <c r="B302" s="45" t="n"/>
      <c r="C302" s="45" t="n"/>
      <c r="D302" s="45" t="n">
        <v>0.951895508123606</v>
      </c>
      <c r="E302" s="45" t="n"/>
      <c r="F302" s="45" t="n"/>
      <c r="G302" s="45" t="n"/>
      <c r="H302" s="45" t="n">
        <v>0.737240433281302</v>
      </c>
      <c r="I302" s="45" t="n"/>
      <c r="J302" s="45" t="n"/>
      <c r="K302" s="45" t="n">
        <v>0.974124784715743</v>
      </c>
      <c r="L302" s="45" t="n"/>
      <c r="M302" s="45" t="n"/>
      <c r="N302" s="45" t="n">
        <v>0.962009014810045</v>
      </c>
      <c r="O302" s="45" t="n"/>
      <c r="P302" s="45" t="n"/>
      <c r="Q302" s="45" t="n"/>
      <c r="R302" s="45" t="n">
        <v>0.912475850360049</v>
      </c>
      <c r="S302" s="45" t="n"/>
      <c r="T302" s="45" t="n"/>
      <c r="U302" s="45" t="n">
        <v>0.984193958321221</v>
      </c>
      <c r="V302" s="45" t="n"/>
      <c r="W302" s="45" t="n"/>
      <c r="X302" s="45" t="n">
        <v>0.989076464746773</v>
      </c>
      <c r="Y302" s="45" t="n"/>
      <c r="Z302" s="45" t="n"/>
      <c r="AA302" s="45" t="n"/>
      <c r="AB302" s="45" t="n">
        <v>0.793342156164105</v>
      </c>
      <c r="AC302" s="45" t="n"/>
      <c r="AD302" s="45" t="n"/>
      <c r="AE302" s="45" t="n">
        <v>0.989606517536131</v>
      </c>
      <c r="AF302" s="75">
        <f>IFERROR(AVERAGE(L302:U302),"")</f>
        <v/>
      </c>
      <c r="AG302" s="75">
        <f>IFERROR(AVERAGE(V302:AE302),"")</f>
        <v/>
      </c>
      <c r="AH302" s="75">
        <f>IFERROR(AVERAGE(B302:K302),"")</f>
        <v/>
      </c>
      <c r="AI302" s="45" t="n">
        <v>0.974891662597656</v>
      </c>
      <c r="AJ302" s="47" t="n">
        <v>0.00443649291992188</v>
      </c>
    </row>
    <row r="303" ht="15" customHeight="1" s="30">
      <c r="A303" s="73" t="inlineStr">
        <is>
          <t>8343.jpg</t>
        </is>
      </c>
      <c r="B303" s="45" t="n"/>
      <c r="C303" s="45" t="n"/>
      <c r="D303" s="45" t="n"/>
      <c r="E303" s="45" t="n"/>
      <c r="F303" s="45" t="n">
        <v>0.896218292602159</v>
      </c>
      <c r="G303" s="45" t="n">
        <v>0.738214766744215</v>
      </c>
      <c r="H303" s="45" t="n"/>
      <c r="I303" s="45" t="n"/>
      <c r="J303" s="45" t="n"/>
      <c r="K303" s="45" t="n">
        <v>0.982884984619196</v>
      </c>
      <c r="L303" s="45" t="n"/>
      <c r="M303" s="45" t="n"/>
      <c r="N303" s="45" t="n"/>
      <c r="O303" s="45" t="n"/>
      <c r="P303" s="45" t="n">
        <v>0.915933396507378</v>
      </c>
      <c r="Q303" s="45" t="n">
        <v>0.994556252062026</v>
      </c>
      <c r="R303" s="45" t="n"/>
      <c r="S303" s="45" t="n"/>
      <c r="T303" s="45" t="n"/>
      <c r="U303" s="45" t="n">
        <v>0.9915358725715619</v>
      </c>
      <c r="V303" s="45" t="n"/>
      <c r="W303" s="45" t="n"/>
      <c r="X303" s="45" t="n"/>
      <c r="Y303" s="45" t="n"/>
      <c r="Z303" s="45" t="n">
        <v>0.976546149960309</v>
      </c>
      <c r="AA303" s="45" t="n">
        <v>0.741209736906811</v>
      </c>
      <c r="AB303" s="45" t="n"/>
      <c r="AC303" s="45" t="n"/>
      <c r="AD303" s="45" t="n"/>
      <c r="AE303" s="45" t="n">
        <v>0.991201442413795</v>
      </c>
      <c r="AF303" s="75">
        <f>IFERROR(AVERAGE(L303:U303),"")</f>
        <v/>
      </c>
      <c r="AG303" s="75">
        <f>IFERROR(AVERAGE(V303:AE303),"")</f>
        <v/>
      </c>
      <c r="AH303" s="75">
        <f>IFERROR(AVERAGE(B303:K303),"")</f>
        <v/>
      </c>
      <c r="AI303" s="45" t="n">
        <v>0.982669830322266</v>
      </c>
      <c r="AJ303" s="47" t="n">
        <v>0.0047149658203125</v>
      </c>
    </row>
    <row r="304" ht="15" customHeight="1" s="30">
      <c r="A304" s="73" t="inlineStr">
        <is>
          <t>8346.jpg</t>
        </is>
      </c>
      <c r="B304" s="45" t="n"/>
      <c r="C304" s="45" t="n"/>
      <c r="D304" s="45" t="n"/>
      <c r="E304" s="45" t="n"/>
      <c r="F304" s="45" t="n">
        <v>0.894503311258278</v>
      </c>
      <c r="G304" s="45" t="n"/>
      <c r="H304" s="45" t="n"/>
      <c r="I304" s="45" t="n"/>
      <c r="J304" s="45" t="n"/>
      <c r="K304" s="45" t="n">
        <v>0.990363297643333</v>
      </c>
      <c r="L304" s="45" t="n"/>
      <c r="M304" s="45" t="n"/>
      <c r="N304" s="45" t="n"/>
      <c r="O304" s="45" t="n"/>
      <c r="P304" s="45" t="n">
        <v>0.90529490616622</v>
      </c>
      <c r="Q304" s="45" t="n"/>
      <c r="R304" s="45" t="n"/>
      <c r="S304" s="45" t="n"/>
      <c r="T304" s="45" t="n"/>
      <c r="U304" s="45" t="n">
        <v>0.99970756196031</v>
      </c>
      <c r="V304" s="45" t="n"/>
      <c r="W304" s="45" t="n"/>
      <c r="X304" s="45" t="n"/>
      <c r="Y304" s="45" t="n"/>
      <c r="Z304" s="45" t="n">
        <v>0.986848834660627</v>
      </c>
      <c r="AA304" s="45" t="n"/>
      <c r="AB304" s="45" t="n"/>
      <c r="AC304" s="45" t="n"/>
      <c r="AD304" s="45" t="n"/>
      <c r="AE304" s="45" t="n">
        <v>0.990650293612174</v>
      </c>
      <c r="AF304" s="75">
        <f>IFERROR(AVERAGE(L304:U304),"")</f>
        <v/>
      </c>
      <c r="AG304" s="75">
        <f>IFERROR(AVERAGE(V304:AE304),"")</f>
        <v/>
      </c>
      <c r="AH304" s="75">
        <f>IFERROR(AVERAGE(B304:K304),"")</f>
        <v/>
      </c>
      <c r="AI304" s="45" t="n">
        <v>0.990451812744141</v>
      </c>
      <c r="AJ304" s="47" t="n">
        <v>0.00388336181640625</v>
      </c>
    </row>
    <row r="305" ht="15" customHeight="1" s="30">
      <c r="A305" s="73" t="inlineStr">
        <is>
          <t>8356.jpg</t>
        </is>
      </c>
      <c r="B305" s="45" t="n"/>
      <c r="C305" s="45" t="n"/>
      <c r="D305" s="45" t="n"/>
      <c r="E305" s="45" t="n"/>
      <c r="F305" s="45" t="n">
        <v>0.931446974925236</v>
      </c>
      <c r="G305" s="45" t="n"/>
      <c r="H305" s="45" t="n">
        <v>0.88892580481578</v>
      </c>
      <c r="I305" s="45" t="n">
        <v>0.900579950289975</v>
      </c>
      <c r="J305" s="45" t="n"/>
      <c r="K305" s="45" t="n">
        <v>0.897407307991438</v>
      </c>
      <c r="L305" s="45" t="n"/>
      <c r="M305" s="45" t="n"/>
      <c r="N305" s="45" t="n"/>
      <c r="O305" s="45" t="n"/>
      <c r="P305" s="45" t="n">
        <v>0.964124136836257</v>
      </c>
      <c r="Q305" s="45" t="n"/>
      <c r="R305" s="45" t="n">
        <v>0.915030915030915</v>
      </c>
      <c r="S305" s="45" t="n">
        <v>0.932246998284734</v>
      </c>
      <c r="T305" s="45" t="n"/>
      <c r="U305" s="45" t="n">
        <v>0.986390389299926</v>
      </c>
      <c r="V305" s="45" t="n"/>
      <c r="W305" s="45" t="n"/>
      <c r="X305" s="45" t="n"/>
      <c r="Y305" s="45" t="n"/>
      <c r="Z305" s="45" t="n">
        <v>0.96488998331877</v>
      </c>
      <c r="AA305" s="45" t="n"/>
      <c r="AB305" s="45" t="n">
        <v>0.968903967293416</v>
      </c>
      <c r="AC305" s="45" t="n">
        <v>0.963652482269504</v>
      </c>
      <c r="AD305" s="45" t="n"/>
      <c r="AE305" s="45" t="n">
        <v>0.908658201736658</v>
      </c>
      <c r="AF305" s="75">
        <f>IFERROR(AVERAGE(L305:U305),"")</f>
        <v/>
      </c>
      <c r="AG305" s="75">
        <f>IFERROR(AVERAGE(V305:AE305),"")</f>
        <v/>
      </c>
      <c r="AH305" s="75">
        <f>IFERROR(AVERAGE(B305:K305),"")</f>
        <v/>
      </c>
      <c r="AI305" s="45" t="n">
        <v>0.935710906982422</v>
      </c>
      <c r="AJ305" s="47" t="n">
        <v>0.0193862915039063</v>
      </c>
    </row>
    <row r="306" ht="15" customHeight="1" s="30">
      <c r="A306" s="73" t="inlineStr">
        <is>
          <t>8358.jpg</t>
        </is>
      </c>
      <c r="B306" s="45" t="n"/>
      <c r="C306" s="45" t="n"/>
      <c r="D306" s="45" t="n"/>
      <c r="E306" s="45" t="n"/>
      <c r="F306" s="45" t="n">
        <v>0.929181340151479</v>
      </c>
      <c r="G306" s="45" t="n"/>
      <c r="H306" s="45" t="n">
        <v>0.942194214610994</v>
      </c>
      <c r="I306" s="45" t="n">
        <v>0.553599171413775</v>
      </c>
      <c r="J306" s="45" t="n"/>
      <c r="K306" s="45" t="n">
        <v>0.854929073787102</v>
      </c>
      <c r="L306" s="45" t="n"/>
      <c r="M306" s="45" t="n"/>
      <c r="N306" s="45" t="n"/>
      <c r="O306" s="45" t="n"/>
      <c r="P306" s="45" t="n">
        <v>0.939973646966961</v>
      </c>
      <c r="Q306" s="45" t="n"/>
      <c r="R306" s="45" t="n">
        <v>0.978582729619452</v>
      </c>
      <c r="S306" s="45" t="n">
        <v>0.928757602085143</v>
      </c>
      <c r="T306" s="45" t="n"/>
      <c r="U306" s="45" t="n">
        <v>0.977397060255038</v>
      </c>
      <c r="V306" s="45" t="n"/>
      <c r="W306" s="45" t="n"/>
      <c r="X306" s="45" t="n"/>
      <c r="Y306" s="45" t="n"/>
      <c r="Z306" s="45" t="n">
        <v>0.987794245858762</v>
      </c>
      <c r="AA306" s="45" t="n"/>
      <c r="AB306" s="45" t="n">
        <v>0.962032155604309</v>
      </c>
      <c r="AC306" s="45" t="n">
        <v>0.578150351541374</v>
      </c>
      <c r="AD306" s="45" t="n"/>
      <c r="AE306" s="45" t="n">
        <v>0.872172613877211</v>
      </c>
      <c r="AF306" s="75">
        <f>IFERROR(AVERAGE(L306:U306),"")</f>
        <v/>
      </c>
      <c r="AG306" s="75">
        <f>IFERROR(AVERAGE(V306:AE306),"")</f>
        <v/>
      </c>
      <c r="AH306" s="75">
        <f>IFERROR(AVERAGE(B306:K306),"")</f>
        <v/>
      </c>
      <c r="AI306" s="45" t="n">
        <v>0.941509246826172</v>
      </c>
      <c r="AJ306" s="47" t="n">
        <v>0.0343399047851563</v>
      </c>
    </row>
    <row r="307" ht="15" customHeight="1" s="30">
      <c r="A307" s="73" t="inlineStr">
        <is>
          <t>8362.jpg</t>
        </is>
      </c>
      <c r="B307" s="45" t="n"/>
      <c r="C307" s="45" t="n"/>
      <c r="D307" s="45" t="n"/>
      <c r="E307" s="45" t="n"/>
      <c r="F307" s="45" t="n">
        <v>0.707233459033253</v>
      </c>
      <c r="G307" s="45" t="n"/>
      <c r="H307" s="45" t="n">
        <v>0.8894730219096491</v>
      </c>
      <c r="I307" s="45" t="n"/>
      <c r="J307" s="45" t="n"/>
      <c r="K307" s="45" t="n">
        <v>0.932205031478602</v>
      </c>
      <c r="L307" s="45" t="n"/>
      <c r="M307" s="45" t="n"/>
      <c r="N307" s="45" t="n"/>
      <c r="O307" s="45" t="n"/>
      <c r="P307" s="45" t="n">
        <v>0.708204600068658</v>
      </c>
      <c r="Q307" s="45" t="n"/>
      <c r="R307" s="45" t="n">
        <v>0.904600071098471</v>
      </c>
      <c r="S307" s="45" t="n"/>
      <c r="T307" s="45" t="n"/>
      <c r="U307" s="45" t="n">
        <v>0.995102467268156</v>
      </c>
      <c r="V307" s="45" t="n"/>
      <c r="W307" s="45" t="n"/>
      <c r="X307" s="45" t="n"/>
      <c r="Y307" s="45" t="n"/>
      <c r="Z307" s="45" t="n">
        <v>0.998064828253508</v>
      </c>
      <c r="AA307" s="45" t="n"/>
      <c r="AB307" s="45" t="n">
        <v>0.9815466271678081</v>
      </c>
      <c r="AC307" s="45" t="n"/>
      <c r="AD307" s="45" t="n"/>
      <c r="AE307" s="45" t="n">
        <v>0.936501677207897</v>
      </c>
      <c r="AF307" s="75">
        <f>IFERROR(AVERAGE(L307:U307),"")</f>
        <v/>
      </c>
      <c r="AG307" s="75">
        <f>IFERROR(AVERAGE(V307:AE307),"")</f>
        <v/>
      </c>
      <c r="AH307" s="75">
        <f>IFERROR(AVERAGE(B307:K307),"")</f>
        <v/>
      </c>
      <c r="AI307" s="45" t="n">
        <v>0.948123931884766</v>
      </c>
      <c r="AJ307" s="47" t="n">
        <v>0.0196075439453125</v>
      </c>
    </row>
    <row r="308" ht="15" customHeight="1" s="30">
      <c r="A308" s="73" t="inlineStr">
        <is>
          <t>8363.jpg</t>
        </is>
      </c>
      <c r="B308" s="45" t="n"/>
      <c r="C308" s="45" t="n"/>
      <c r="D308" s="45" t="n"/>
      <c r="E308" s="45" t="n"/>
      <c r="F308" s="45" t="n"/>
      <c r="G308" s="45" t="n"/>
      <c r="H308" s="45" t="n">
        <v>0.914222246499517</v>
      </c>
      <c r="I308" s="45" t="n"/>
      <c r="J308" s="45" t="n"/>
      <c r="K308" s="45" t="n">
        <v>0.974867937365929</v>
      </c>
      <c r="L308" s="45" t="n"/>
      <c r="M308" s="45" t="n"/>
      <c r="N308" s="45" t="n"/>
      <c r="O308" s="45" t="n"/>
      <c r="P308" s="45" t="n"/>
      <c r="Q308" s="45" t="n"/>
      <c r="R308" s="45" t="n">
        <v>0.943601886827912</v>
      </c>
      <c r="S308" s="45" t="n"/>
      <c r="T308" s="45" t="n"/>
      <c r="U308" s="45" t="n">
        <v>0.993174192865154</v>
      </c>
      <c r="V308" s="45" t="n"/>
      <c r="W308" s="45" t="n"/>
      <c r="X308" s="45" t="n"/>
      <c r="Y308" s="45" t="n"/>
      <c r="Z308" s="45" t="n"/>
      <c r="AA308" s="45" t="n"/>
      <c r="AB308" s="45" t="n">
        <v>0.967064714946071</v>
      </c>
      <c r="AC308" s="45" t="n"/>
      <c r="AD308" s="45" t="n"/>
      <c r="AE308" s="45" t="n">
        <v>0.981443603013928</v>
      </c>
      <c r="AF308" s="75">
        <f>IFERROR(AVERAGE(L308:U308),"")</f>
        <v/>
      </c>
      <c r="AG308" s="75">
        <f>IFERROR(AVERAGE(V308:AE308),"")</f>
        <v/>
      </c>
      <c r="AH308" s="75">
        <f>IFERROR(AVERAGE(B308:K308),"")</f>
        <v/>
      </c>
      <c r="AI308" s="45" t="n">
        <v>0.978595733642578</v>
      </c>
      <c r="AJ308" s="47" t="n">
        <v>0.004547119140625</v>
      </c>
    </row>
    <row r="309" ht="15" customHeight="1" s="30">
      <c r="A309" s="73" t="inlineStr">
        <is>
          <t>8364.jpg</t>
        </is>
      </c>
      <c r="B309" s="45" t="n"/>
      <c r="C309" s="45" t="n"/>
      <c r="D309" s="45" t="n"/>
      <c r="E309" s="45" t="n"/>
      <c r="F309" s="45" t="n">
        <v>0.941326118559199</v>
      </c>
      <c r="G309" s="45" t="n"/>
      <c r="H309" s="45" t="n">
        <v>0.88685308523596</v>
      </c>
      <c r="I309" s="45" t="n">
        <v>0.8718446601941749</v>
      </c>
      <c r="J309" s="45" t="n"/>
      <c r="K309" s="45" t="n">
        <v>0.971233535048402</v>
      </c>
      <c r="L309" s="45" t="n"/>
      <c r="M309" s="45" t="n"/>
      <c r="N309" s="45" t="n"/>
      <c r="O309" s="45" t="n"/>
      <c r="P309" s="45" t="n">
        <v>0.98650021159543</v>
      </c>
      <c r="Q309" s="45" t="n"/>
      <c r="R309" s="45" t="n">
        <v>0.912852112676056</v>
      </c>
      <c r="S309" s="45" t="n">
        <v>0.939330543933054</v>
      </c>
      <c r="T309" s="45" t="n"/>
      <c r="U309" s="45" t="n">
        <v>0.989878896624799</v>
      </c>
      <c r="V309" s="45" t="n"/>
      <c r="W309" s="45" t="n"/>
      <c r="X309" s="45" t="n"/>
      <c r="Y309" s="45" t="n"/>
      <c r="Z309" s="45" t="n">
        <v>0.953610145223972</v>
      </c>
      <c r="AA309" s="45" t="n"/>
      <c r="AB309" s="45" t="n">
        <v>0.968884484711212</v>
      </c>
      <c r="AC309" s="45" t="n">
        <v>0.923868312757202</v>
      </c>
      <c r="AD309" s="45" t="n"/>
      <c r="AE309" s="45" t="n">
        <v>0.980975070953426</v>
      </c>
      <c r="AF309" s="75">
        <f>IFERROR(AVERAGE(L309:U309),"")</f>
        <v/>
      </c>
      <c r="AG309" s="75">
        <f>IFERROR(AVERAGE(V309:AE309),"")</f>
        <v/>
      </c>
      <c r="AH309" s="75">
        <f>IFERROR(AVERAGE(B309:K309),"")</f>
        <v/>
      </c>
      <c r="AI309" s="45" t="n">
        <v>0.976688385009766</v>
      </c>
      <c r="AJ309" s="47" t="n">
        <v>0.00179672241210938</v>
      </c>
    </row>
    <row r="310" ht="15" customHeight="1" s="30">
      <c r="A310" s="73" t="inlineStr">
        <is>
          <t>8367.jpg</t>
        </is>
      </c>
      <c r="B310" s="45" t="n"/>
      <c r="C310" s="45" t="n"/>
      <c r="D310" s="45" t="n"/>
      <c r="E310" s="45" t="n"/>
      <c r="F310" s="45" t="n">
        <v>0.914228978203059</v>
      </c>
      <c r="G310" s="45" t="n"/>
      <c r="H310" s="45" t="n">
        <v>0.751679434295816</v>
      </c>
      <c r="I310" s="45" t="n">
        <v>0.836538461538462</v>
      </c>
      <c r="J310" s="45" t="n"/>
      <c r="K310" s="45" t="n">
        <v>0.858728240131774</v>
      </c>
      <c r="L310" s="45" t="n"/>
      <c r="M310" s="45" t="n"/>
      <c r="N310" s="45" t="n"/>
      <c r="O310" s="45" t="n"/>
      <c r="P310" s="45" t="n">
        <v>0.942228977667137</v>
      </c>
      <c r="Q310" s="45" t="n"/>
      <c r="R310" s="45" t="n">
        <v>0.760462620722547</v>
      </c>
      <c r="S310" s="45" t="n">
        <v>0.864238410596027</v>
      </c>
      <c r="T310" s="45" t="n"/>
      <c r="U310" s="45" t="n">
        <v>0.99036496948907</v>
      </c>
      <c r="V310" s="45" t="n"/>
      <c r="W310" s="45" t="n"/>
      <c r="X310" s="45" t="n"/>
      <c r="Y310" s="45" t="n"/>
      <c r="Z310" s="45" t="n">
        <v>0.968518564082376</v>
      </c>
      <c r="AA310" s="45" t="n"/>
      <c r="AB310" s="45" t="n">
        <v>0.984867201976529</v>
      </c>
      <c r="AC310" s="45" t="n">
        <v>0.96309963099631</v>
      </c>
      <c r="AD310" s="45" t="n"/>
      <c r="AE310" s="45" t="n">
        <v>0.865962811596281</v>
      </c>
      <c r="AF310" s="75">
        <f>IFERROR(AVERAGE(L310:U310),"")</f>
        <v/>
      </c>
      <c r="AG310" s="75">
        <f>IFERROR(AVERAGE(V310:AE310),"")</f>
        <v/>
      </c>
      <c r="AH310" s="75">
        <f>IFERROR(AVERAGE(B310:K310),"")</f>
        <v/>
      </c>
      <c r="AI310" s="45" t="n">
        <v>0.903839111328125</v>
      </c>
      <c r="AJ310" s="47" t="n">
        <v>0.0567283630371094</v>
      </c>
    </row>
    <row r="311" ht="15" customHeight="1" s="30">
      <c r="A311" s="73" t="inlineStr">
        <is>
          <t>8372.jpg</t>
        </is>
      </c>
      <c r="B311" s="45" t="n"/>
      <c r="C311" s="45" t="n"/>
      <c r="D311" s="45" t="n">
        <v>0.961168935148119</v>
      </c>
      <c r="E311" s="45" t="n"/>
      <c r="F311" s="45" t="n">
        <v>0.955915373484357</v>
      </c>
      <c r="G311" s="45" t="n"/>
      <c r="H311" s="45" t="n">
        <v>0.909324358670979</v>
      </c>
      <c r="I311" s="45" t="n">
        <v>0.845588235294118</v>
      </c>
      <c r="J311" s="45" t="n"/>
      <c r="K311" s="45" t="n">
        <v>0.857152525854134</v>
      </c>
      <c r="L311" s="45" t="n"/>
      <c r="M311" s="45" t="n"/>
      <c r="N311" s="45" t="n">
        <v>0.9993756503642039</v>
      </c>
      <c r="O311" s="45" t="n"/>
      <c r="P311" s="45" t="n">
        <v>0.971081711273317</v>
      </c>
      <c r="Q311" s="45" t="n"/>
      <c r="R311" s="45" t="n">
        <v>0.935546117708587</v>
      </c>
      <c r="S311" s="45" t="n">
        <v>0.894941634241245</v>
      </c>
      <c r="T311" s="45" t="n"/>
      <c r="U311" s="45" t="n">
        <v>0.950524625106952</v>
      </c>
      <c r="V311" s="45" t="n"/>
      <c r="W311" s="45" t="n"/>
      <c r="X311" s="45" t="n">
        <v>0.961746445023032</v>
      </c>
      <c r="Y311" s="45" t="n"/>
      <c r="Z311" s="45" t="n">
        <v>0.983924398448936</v>
      </c>
      <c r="AA311" s="45" t="n"/>
      <c r="AB311" s="45" t="n">
        <v>0.970098456302419</v>
      </c>
      <c r="AC311" s="45" t="n">
        <v>0.938775510204082</v>
      </c>
      <c r="AD311" s="45" t="n"/>
      <c r="AE311" s="45" t="n">
        <v>0.897180504392179</v>
      </c>
      <c r="AF311" s="75">
        <f>IFERROR(AVERAGE(L311:U311),"")</f>
        <v/>
      </c>
      <c r="AG311" s="75">
        <f>IFERROR(AVERAGE(V311:AE311),"")</f>
        <v/>
      </c>
      <c r="AH311" s="75">
        <f>IFERROR(AVERAGE(B311:K311),"")</f>
        <v/>
      </c>
      <c r="AI311" s="45" t="n">
        <v>0.951000213623047</v>
      </c>
      <c r="AJ311" s="47" t="n">
        <v>0.00439453125</v>
      </c>
    </row>
    <row r="312" ht="15" customHeight="1" s="30">
      <c r="A312" s="73" t="inlineStr">
        <is>
          <t>8376.jpg</t>
        </is>
      </c>
      <c r="B312" s="45" t="n"/>
      <c r="C312" s="45" t="n"/>
      <c r="D312" s="45" t="n">
        <v>0.9750921637205791</v>
      </c>
      <c r="E312" s="45" t="n"/>
      <c r="F312" s="45" t="n">
        <v>0.92321942505541</v>
      </c>
      <c r="G312" s="45" t="n"/>
      <c r="H312" s="45" t="n">
        <v>0.885448284865694</v>
      </c>
      <c r="I312" s="45" t="n">
        <v>0.362405416168857</v>
      </c>
      <c r="J312" s="45" t="n"/>
      <c r="K312" s="45" t="n">
        <v>0.850906467033463</v>
      </c>
      <c r="L312" s="45" t="n"/>
      <c r="M312" s="45" t="n"/>
      <c r="N312" s="45" t="n">
        <v>0.997485857950974</v>
      </c>
      <c r="O312" s="45" t="n"/>
      <c r="P312" s="45" t="n">
        <v>0.985869718807404</v>
      </c>
      <c r="Q312" s="45" t="n"/>
      <c r="R312" s="45" t="n">
        <v>0.9667180387161149</v>
      </c>
      <c r="S312" s="45" t="n">
        <v>0.91</v>
      </c>
      <c r="T312" s="45" t="n"/>
      <c r="U312" s="45" t="n">
        <v>0.896379894637937</v>
      </c>
      <c r="V312" s="45" t="n"/>
      <c r="W312" s="45" t="n"/>
      <c r="X312" s="45" t="n">
        <v>0.977494551312423</v>
      </c>
      <c r="Y312" s="45" t="n"/>
      <c r="Z312" s="45" t="n">
        <v>0.9355995842971609</v>
      </c>
      <c r="AA312" s="45" t="n"/>
      <c r="AB312" s="45" t="n">
        <v>0.913289008584413</v>
      </c>
      <c r="AC312" s="45" t="n">
        <v>0.375877736472532</v>
      </c>
      <c r="AD312" s="45" t="n"/>
      <c r="AE312" s="45" t="n">
        <v>0.943735550417926</v>
      </c>
      <c r="AF312" s="75">
        <f>IFERROR(AVERAGE(L312:U312),"")</f>
        <v/>
      </c>
      <c r="AG312" s="75">
        <f>IFERROR(AVERAGE(V312:AE312),"")</f>
        <v/>
      </c>
      <c r="AH312" s="75">
        <f>IFERROR(AVERAGE(B312:K312),"")</f>
        <v/>
      </c>
      <c r="AI312" s="45" t="n">
        <v>0.926483154296875</v>
      </c>
      <c r="AJ312" s="47" t="n">
        <v>0.0197563171386719</v>
      </c>
    </row>
    <row r="313" ht="15" customHeight="1" s="30">
      <c r="A313" s="73" t="inlineStr">
        <is>
          <t>8378.jpg</t>
        </is>
      </c>
      <c r="B313" s="45" t="n"/>
      <c r="C313" s="45" t="n"/>
      <c r="D313" s="45" t="n">
        <v>0.848903330625508</v>
      </c>
      <c r="E313" s="45" t="n"/>
      <c r="F313" s="45" t="n">
        <v>0.874869339447685</v>
      </c>
      <c r="G313" s="45" t="n"/>
      <c r="H313" s="45" t="n">
        <v>0.665530303030303</v>
      </c>
      <c r="I313" s="45" t="n"/>
      <c r="J313" s="45" t="n"/>
      <c r="K313" s="45" t="n">
        <v>0.821201968591168</v>
      </c>
      <c r="L313" s="45" t="n"/>
      <c r="M313" s="45" t="n"/>
      <c r="N313" s="45" t="n">
        <v>0.9989434493861939</v>
      </c>
      <c r="O313" s="45" t="n"/>
      <c r="P313" s="45" t="n">
        <v>0.900871497517447</v>
      </c>
      <c r="Q313" s="45" t="n"/>
      <c r="R313" s="45" t="n">
        <v>0.878752974341098</v>
      </c>
      <c r="S313" s="45" t="n"/>
      <c r="T313" s="45" t="n"/>
      <c r="U313" s="45" t="n">
        <v>0.8837738630287439</v>
      </c>
      <c r="V313" s="45" t="n"/>
      <c r="W313" s="45" t="n"/>
      <c r="X313" s="45" t="n">
        <v>0.849666210201986</v>
      </c>
      <c r="Y313" s="45" t="n"/>
      <c r="Z313" s="45" t="n">
        <v>0.968062084919036</v>
      </c>
      <c r="AA313" s="45" t="n"/>
      <c r="AB313" s="45" t="n">
        <v>0.732823559150657</v>
      </c>
      <c r="AC313" s="45" t="n"/>
      <c r="AD313" s="45" t="n"/>
      <c r="AE313" s="45" t="n">
        <v>0.920627154620862</v>
      </c>
      <c r="AF313" s="75">
        <f>IFERROR(AVERAGE(L313:U313),"")</f>
        <v/>
      </c>
      <c r="AG313" s="75">
        <f>IFERROR(AVERAGE(V313:AE313),"")</f>
        <v/>
      </c>
      <c r="AH313" s="75">
        <f>IFERROR(AVERAGE(B313:K313),"")</f>
        <v/>
      </c>
      <c r="AI313" s="45" t="n">
        <v>0.862468719482422</v>
      </c>
      <c r="AJ313" s="47" t="n">
        <v>0.0346832275390625</v>
      </c>
    </row>
    <row r="314" ht="15" customHeight="1" s="30">
      <c r="A314" s="73" t="inlineStr">
        <is>
          <t>8391.jpg</t>
        </is>
      </c>
      <c r="B314" s="45" t="n"/>
      <c r="C314" s="45" t="n"/>
      <c r="D314" s="45" t="n"/>
      <c r="E314" s="45" t="n"/>
      <c r="F314" s="45" t="n"/>
      <c r="G314" s="45" t="n">
        <v>0.746410659319371</v>
      </c>
      <c r="H314" s="45" t="n">
        <v>0.782017973508241</v>
      </c>
      <c r="I314" s="45" t="n"/>
      <c r="J314" s="45" t="n"/>
      <c r="K314" s="45" t="n">
        <v>0.903840644105493</v>
      </c>
      <c r="L314" s="45" t="n"/>
      <c r="M314" s="45" t="n"/>
      <c r="N314" s="45" t="n"/>
      <c r="O314" s="45" t="n"/>
      <c r="P314" s="45" t="n"/>
      <c r="Q314" s="45" t="n">
        <v>0.864285536252835</v>
      </c>
      <c r="R314" s="45" t="n">
        <v>0.9143924302788849</v>
      </c>
      <c r="S314" s="45" t="n"/>
      <c r="T314" s="45" t="n"/>
      <c r="U314" s="45" t="n">
        <v>0.965970189533122</v>
      </c>
      <c r="V314" s="45" t="n"/>
      <c r="W314" s="45" t="n"/>
      <c r="X314" s="45" t="n"/>
      <c r="Y314" s="45" t="n"/>
      <c r="Z314" s="45" t="n"/>
      <c r="AA314" s="45" t="n">
        <v>0.845508631620014</v>
      </c>
      <c r="AB314" s="45" t="n">
        <v>0.843795955882353</v>
      </c>
      <c r="AC314" s="45" t="n"/>
      <c r="AD314" s="45" t="n"/>
      <c r="AE314" s="45" t="n">
        <v>0.933566398491263</v>
      </c>
      <c r="AF314" s="75">
        <f>IFERROR(AVERAGE(L314:U314),"")</f>
        <v/>
      </c>
      <c r="AG314" s="75">
        <f>IFERROR(AVERAGE(V314:AE314),"")</f>
        <v/>
      </c>
      <c r="AH314" s="75">
        <f>IFERROR(AVERAGE(B314:K314),"")</f>
        <v/>
      </c>
      <c r="AI314" s="45" t="n">
        <v>0.9123382568359381</v>
      </c>
      <c r="AJ314" s="47" t="n">
        <v>0.0353202819824219</v>
      </c>
    </row>
    <row r="315" ht="15" customHeight="1" s="30">
      <c r="A315" s="73" t="inlineStr">
        <is>
          <t>8397.jpg</t>
        </is>
      </c>
      <c r="B315" s="45" t="n"/>
      <c r="C315" s="45" t="n"/>
      <c r="D315" s="45" t="n">
        <v>0.94888178913738</v>
      </c>
      <c r="E315" s="45" t="n"/>
      <c r="F315" s="45" t="n">
        <v>0.638511864075774</v>
      </c>
      <c r="G315" s="45" t="n">
        <v>0.7903012011338379</v>
      </c>
      <c r="H315" s="45" t="n">
        <v>0.429951330486509</v>
      </c>
      <c r="I315" s="45" t="n"/>
      <c r="J315" s="45" t="n"/>
      <c r="K315" s="45" t="n">
        <v>0.847583175679151</v>
      </c>
      <c r="L315" s="45" t="n"/>
      <c r="M315" s="45" t="n"/>
      <c r="N315" s="45" t="n">
        <v>0.975369458128079</v>
      </c>
      <c r="O315" s="45" t="n"/>
      <c r="P315" s="45" t="n">
        <v>0.805295566502463</v>
      </c>
      <c r="Q315" s="45" t="n">
        <v>0.990391004344493</v>
      </c>
      <c r="R315" s="45" t="n">
        <v>0.536246714887085</v>
      </c>
      <c r="S315" s="45" t="n"/>
      <c r="T315" s="45" t="n"/>
      <c r="U315" s="45" t="n">
        <v>0.951914497544693</v>
      </c>
      <c r="V315" s="45" t="n"/>
      <c r="W315" s="45" t="n"/>
      <c r="X315" s="45" t="n">
        <v>0.9721767594108019</v>
      </c>
      <c r="Y315" s="45" t="n"/>
      <c r="Z315" s="45" t="n">
        <v>0.755080831408776</v>
      </c>
      <c r="AA315" s="45" t="n">
        <v>0.796407800908325</v>
      </c>
      <c r="AB315" s="45" t="n">
        <v>0.684448006649449</v>
      </c>
      <c r="AC315" s="45" t="n"/>
      <c r="AD315" s="45" t="n"/>
      <c r="AE315" s="45" t="n">
        <v>0.885495909715173</v>
      </c>
      <c r="AF315" s="75">
        <f>IFERROR(AVERAGE(L315:U315),"")</f>
        <v/>
      </c>
      <c r="AG315" s="75">
        <f>IFERROR(AVERAGE(V315:AE315),"")</f>
        <v/>
      </c>
      <c r="AH315" s="75">
        <f>IFERROR(AVERAGE(B315:K315),"")</f>
        <v/>
      </c>
      <c r="AI315" s="45" t="n">
        <v>0.84002685546875</v>
      </c>
      <c r="AJ315" s="47" t="n">
        <v>0.0475234985351563</v>
      </c>
    </row>
    <row r="316" ht="15" customHeight="1" s="30">
      <c r="A316" s="73" t="inlineStr">
        <is>
          <t>8399.jpg</t>
        </is>
      </c>
      <c r="B316" s="45" t="n"/>
      <c r="C316" s="45" t="n"/>
      <c r="D316" s="45" t="n">
        <v>0.959326788218794</v>
      </c>
      <c r="E316" s="45" t="n"/>
      <c r="F316" s="45" t="n">
        <v>0.335294814580783</v>
      </c>
      <c r="G316" s="45" t="n">
        <v>0.732864077669903</v>
      </c>
      <c r="H316" s="45" t="n">
        <v>0.640573764961475</v>
      </c>
      <c r="I316" s="45" t="n"/>
      <c r="J316" s="45" t="n"/>
      <c r="K316" s="45" t="n">
        <v>0.804058484510348</v>
      </c>
      <c r="L316" s="45" t="n"/>
      <c r="M316" s="45" t="n"/>
      <c r="N316" s="45" t="n">
        <v>0.980504587155963</v>
      </c>
      <c r="O316" s="45" t="n"/>
      <c r="P316" s="45" t="n">
        <v>0.936672550750221</v>
      </c>
      <c r="Q316" s="45" t="n">
        <v>0.954901960784314</v>
      </c>
      <c r="R316" s="45" t="n">
        <v>0.801279454459523</v>
      </c>
      <c r="S316" s="45" t="n"/>
      <c r="T316" s="45" t="n"/>
      <c r="U316" s="45" t="n">
        <v>0.863068080088411</v>
      </c>
      <c r="V316" s="45" t="n"/>
      <c r="W316" s="45" t="n"/>
      <c r="X316" s="45" t="n">
        <v>0.977981126680012</v>
      </c>
      <c r="Y316" s="45" t="n"/>
      <c r="Z316" s="45" t="n">
        <v>0.343071887501515</v>
      </c>
      <c r="AA316" s="45" t="n">
        <v>0.759139136119073</v>
      </c>
      <c r="AB316" s="45" t="n">
        <v>0.761558699906953</v>
      </c>
      <c r="AC316" s="45" t="n"/>
      <c r="AD316" s="45" t="n"/>
      <c r="AE316" s="45" t="n">
        <v>0.921630548724609</v>
      </c>
      <c r="AF316" s="75">
        <f>IFERROR(AVERAGE(L316:U316),"")</f>
        <v/>
      </c>
      <c r="AG316" s="75">
        <f>IFERROR(AVERAGE(V316:AE316),"")</f>
        <v/>
      </c>
      <c r="AH316" s="75">
        <f>IFERROR(AVERAGE(B316:K316),"")</f>
        <v/>
      </c>
      <c r="AI316" s="45" t="n">
        <v>0.817375183105469</v>
      </c>
      <c r="AJ316" s="47" t="n">
        <v>0.0479393005371094</v>
      </c>
    </row>
    <row r="317" ht="15" customHeight="1" s="30">
      <c r="A317" s="73" t="inlineStr">
        <is>
          <t>8401.jpg</t>
        </is>
      </c>
      <c r="B317" s="45" t="n"/>
      <c r="C317" s="45" t="n"/>
      <c r="D317" s="45" t="n">
        <v>0.891020876967772</v>
      </c>
      <c r="E317" s="45" t="n"/>
      <c r="F317" s="45" t="n">
        <v>0.492931196983977</v>
      </c>
      <c r="G317" s="45" t="n"/>
      <c r="H317" s="45" t="n">
        <v>0.836227208467757</v>
      </c>
      <c r="I317" s="45" t="n"/>
      <c r="J317" s="45" t="n"/>
      <c r="K317" s="45" t="n">
        <v>0.902994412050535</v>
      </c>
      <c r="L317" s="45" t="n"/>
      <c r="M317" s="45" t="n"/>
      <c r="N317" s="45" t="n">
        <v>0.937180216031836</v>
      </c>
      <c r="O317" s="45" t="n"/>
      <c r="P317" s="45" t="n">
        <v>0.849419953596288</v>
      </c>
      <c r="Q317" s="45" t="n"/>
      <c r="R317" s="45" t="n">
        <v>0.914529236868186</v>
      </c>
      <c r="S317" s="45" t="n"/>
      <c r="T317" s="45" t="n"/>
      <c r="U317" s="45" t="n">
        <v>0.959582007474295</v>
      </c>
      <c r="V317" s="45" t="n"/>
      <c r="W317" s="45" t="n"/>
      <c r="X317" s="45" t="n">
        <v>0.947618021125243</v>
      </c>
      <c r="Y317" s="45" t="n"/>
      <c r="Z317" s="45" t="n">
        <v>0.540129831808793</v>
      </c>
      <c r="AA317" s="45" t="n"/>
      <c r="AB317" s="45" t="n">
        <v>0.907121229994888</v>
      </c>
      <c r="AC317" s="45" t="n"/>
      <c r="AD317" s="45" t="n"/>
      <c r="AE317" s="45" t="n">
        <v>0.93869729381606</v>
      </c>
      <c r="AF317" s="75">
        <f>IFERROR(AVERAGE(L317:U317),"")</f>
        <v/>
      </c>
      <c r="AG317" s="75">
        <f>IFERROR(AVERAGE(V317:AE317),"")</f>
        <v/>
      </c>
      <c r="AH317" s="75">
        <f>IFERROR(AVERAGE(B317:K317),"")</f>
        <v/>
      </c>
      <c r="AI317" s="45" t="n">
        <v>0.909370422363281</v>
      </c>
      <c r="AJ317" s="47" t="n">
        <v>0.0337448120117188</v>
      </c>
    </row>
    <row r="318" ht="15" customHeight="1" s="30">
      <c r="A318" s="73" t="inlineStr">
        <is>
          <t>8402.jpg</t>
        </is>
      </c>
      <c r="B318" s="45" t="n"/>
      <c r="C318" s="45" t="n"/>
      <c r="D318" s="45" t="n">
        <v>0.837326779984982</v>
      </c>
      <c r="E318" s="45" t="n"/>
      <c r="F318" s="45" t="n">
        <v>0.529705295291769</v>
      </c>
      <c r="G318" s="45" t="n"/>
      <c r="H318" s="45" t="n">
        <v>0.859518554637376</v>
      </c>
      <c r="I318" s="45" t="n">
        <v>0</v>
      </c>
      <c r="J318" s="45" t="n"/>
      <c r="K318" s="45" t="n">
        <v>0.912746212236315</v>
      </c>
      <c r="L318" s="45" t="n"/>
      <c r="M318" s="45" t="n"/>
      <c r="N318" s="45" t="n">
        <v>0.880355989377736</v>
      </c>
      <c r="O318" s="45" t="n"/>
      <c r="P318" s="45" t="n">
        <v>0.973144952545298</v>
      </c>
      <c r="Q318" s="45" t="n"/>
      <c r="R318" s="45" t="n">
        <v>0.904406999351912</v>
      </c>
      <c r="S318" s="45" t="n"/>
      <c r="T318" s="45" t="n"/>
      <c r="U318" s="45" t="n">
        <v>0.979712451727377</v>
      </c>
      <c r="V318" s="45" t="n"/>
      <c r="W318" s="45" t="n"/>
      <c r="X318" s="45" t="n">
        <v>0.944846710830381</v>
      </c>
      <c r="Y318" s="45" t="n"/>
      <c r="Z318" s="45" t="n">
        <v>0.537563300565982</v>
      </c>
      <c r="AA318" s="45" t="n"/>
      <c r="AB318" s="45" t="n">
        <v>0.945407327951222</v>
      </c>
      <c r="AC318" s="45" t="n">
        <v>0</v>
      </c>
      <c r="AD318" s="45" t="n"/>
      <c r="AE318" s="45" t="n">
        <v>0.930330229878649</v>
      </c>
      <c r="AF318" s="75">
        <f>IFERROR(AVERAGE(L318:U318),"")</f>
        <v/>
      </c>
      <c r="AG318" s="75">
        <f>IFERROR(AVERAGE(V318:AE318),"")</f>
        <v/>
      </c>
      <c r="AH318" s="75">
        <f>IFERROR(AVERAGE(B318:K318),"")</f>
        <v/>
      </c>
      <c r="AI318" s="45" t="n">
        <v>0.909648895263672</v>
      </c>
      <c r="AJ318" s="47" t="n">
        <v>0.0441703796386719</v>
      </c>
    </row>
    <row r="319" ht="15" customHeight="1" s="30">
      <c r="A319" s="73" t="inlineStr">
        <is>
          <t>8428.jpg</t>
        </is>
      </c>
      <c r="B319" s="45" t="n"/>
      <c r="C319" s="45" t="n"/>
      <c r="D319" s="45" t="n"/>
      <c r="E319" s="45" t="n"/>
      <c r="F319" s="45" t="n"/>
      <c r="G319" s="45" t="n"/>
      <c r="H319" s="45" t="n">
        <v>0.6341798215511329</v>
      </c>
      <c r="I319" s="45" t="n"/>
      <c r="J319" s="45" t="n"/>
      <c r="K319" s="45" t="n">
        <v>0.993687882501642</v>
      </c>
      <c r="L319" s="45" t="n"/>
      <c r="M319" s="45" t="n"/>
      <c r="N319" s="45" t="n"/>
      <c r="O319" s="45" t="n"/>
      <c r="P319" s="45" t="n"/>
      <c r="Q319" s="45" t="n"/>
      <c r="R319" s="45" t="n">
        <v>0.676923076923077</v>
      </c>
      <c r="S319" s="45" t="n"/>
      <c r="T319" s="45" t="n"/>
      <c r="U319" s="45" t="n">
        <v>0.999300702002465</v>
      </c>
      <c r="V319" s="45" t="n"/>
      <c r="W319" s="45" t="n"/>
      <c r="X319" s="45" t="n"/>
      <c r="Y319" s="45" t="n"/>
      <c r="Z319" s="45" t="n"/>
      <c r="AA319" s="45" t="n"/>
      <c r="AB319" s="45" t="n">
        <v>0.909448818897638</v>
      </c>
      <c r="AC319" s="45" t="n"/>
      <c r="AD319" s="45" t="n"/>
      <c r="AE319" s="45" t="n">
        <v>0.994379344282463</v>
      </c>
      <c r="AF319" s="75">
        <f>IFERROR(AVERAGE(L319:U319),"")</f>
        <v/>
      </c>
      <c r="AG319" s="75">
        <f>IFERROR(AVERAGE(V319:AE319),"")</f>
        <v/>
      </c>
      <c r="AH319" s="75">
        <f>IFERROR(AVERAGE(B319:K319),"")</f>
        <v/>
      </c>
      <c r="AI319" s="45" t="n">
        <v>0.993721008300781</v>
      </c>
      <c r="AJ319" s="47" t="n">
        <v>0.00222396850585938</v>
      </c>
    </row>
    <row r="320" ht="15" customHeight="1" s="30">
      <c r="A320" s="73" t="inlineStr">
        <is>
          <t>8439.jpg</t>
        </is>
      </c>
      <c r="B320" s="45" t="n">
        <v>0</v>
      </c>
      <c r="C320" s="45" t="n"/>
      <c r="D320" s="45" t="n">
        <v>0.926860346585117</v>
      </c>
      <c r="E320" s="45" t="n"/>
      <c r="F320" s="45" t="n">
        <v>0.855140953693676</v>
      </c>
      <c r="G320" s="45" t="n">
        <v>0</v>
      </c>
      <c r="H320" s="45" t="n">
        <v>0.816653561454407</v>
      </c>
      <c r="I320" s="45" t="n">
        <v>0.465346534653465</v>
      </c>
      <c r="J320" s="45" t="n"/>
      <c r="K320" s="45" t="n">
        <v>0.958487591023135</v>
      </c>
      <c r="L320" s="45" t="n"/>
      <c r="M320" s="45" t="n"/>
      <c r="N320" s="45" t="n">
        <v>0.953967213114754</v>
      </c>
      <c r="O320" s="45" t="n"/>
      <c r="P320" s="45" t="n">
        <v>0.9522713152797569</v>
      </c>
      <c r="Q320" s="45" t="n">
        <v>0</v>
      </c>
      <c r="R320" s="45" t="n">
        <v>0.947943222232713</v>
      </c>
      <c r="S320" s="45" t="n">
        <v>0.770491803278689</v>
      </c>
      <c r="T320" s="45" t="n"/>
      <c r="U320" s="45" t="n">
        <v>0.983643659184588</v>
      </c>
      <c r="V320" s="45" t="n">
        <v>0</v>
      </c>
      <c r="W320" s="45" t="n"/>
      <c r="X320" s="45" t="n">
        <v>0.970254768574096</v>
      </c>
      <c r="Y320" s="45" t="n"/>
      <c r="Z320" s="45" t="n">
        <v>0.893433910509172</v>
      </c>
      <c r="AA320" s="45" t="n"/>
      <c r="AB320" s="45" t="n">
        <v>0.854997587078094</v>
      </c>
      <c r="AC320" s="45" t="n">
        <v>0.540229885057471</v>
      </c>
      <c r="AD320" s="45" t="n"/>
      <c r="AE320" s="45" t="n">
        <v>0.9740114217663139</v>
      </c>
      <c r="AF320" s="75">
        <f>IFERROR(AVERAGE(L320:U320),"")</f>
        <v/>
      </c>
      <c r="AG320" s="75">
        <f>IFERROR(AVERAGE(V320:AE320),"")</f>
        <v/>
      </c>
      <c r="AH320" s="75">
        <f>IFERROR(AVERAGE(B320:K320),"")</f>
        <v/>
      </c>
      <c r="AI320" s="45" t="n">
        <v>0.9291534423828131</v>
      </c>
      <c r="AJ320" s="47" t="n">
        <v>0.0251388549804688</v>
      </c>
    </row>
    <row r="321" ht="15" customHeight="1" s="30">
      <c r="A321" s="73" t="inlineStr">
        <is>
          <t>8440.jpg</t>
        </is>
      </c>
      <c r="B321" s="45" t="n"/>
      <c r="C321" s="45" t="n"/>
      <c r="D321" s="45" t="n">
        <v>0.955264700136746</v>
      </c>
      <c r="E321" s="45" t="n"/>
      <c r="F321" s="45" t="n">
        <v>0.858377326215826</v>
      </c>
      <c r="G321" s="45" t="n">
        <v>0</v>
      </c>
      <c r="H321" s="45" t="n">
        <v>0.7940021880429891</v>
      </c>
      <c r="I321" s="45" t="n">
        <v>0.639655172413793</v>
      </c>
      <c r="J321" s="45" t="n"/>
      <c r="K321" s="45" t="n">
        <v>0.928718052829848</v>
      </c>
      <c r="L321" s="45" t="n"/>
      <c r="M321" s="45" t="n"/>
      <c r="N321" s="45" t="n">
        <v>0.966880869995057</v>
      </c>
      <c r="O321" s="45" t="n"/>
      <c r="P321" s="45" t="n">
        <v>0.945550826808746</v>
      </c>
      <c r="Q321" s="45" t="n">
        <v>0</v>
      </c>
      <c r="R321" s="45" t="n">
        <v>0.96285312938973</v>
      </c>
      <c r="S321" s="45" t="n">
        <v>0.891826923076923</v>
      </c>
      <c r="T321" s="45" t="n"/>
      <c r="U321" s="45" t="n">
        <v>0.9818866934570299</v>
      </c>
      <c r="V321" s="45" t="n"/>
      <c r="W321" s="45" t="n"/>
      <c r="X321" s="45" t="n">
        <v>0.987579521357165</v>
      </c>
      <c r="Y321" s="45" t="n"/>
      <c r="Z321" s="45" t="n">
        <v>0.903012627594552</v>
      </c>
      <c r="AA321" s="45" t="n"/>
      <c r="AB321" s="45" t="n">
        <v>0.819093142136361</v>
      </c>
      <c r="AC321" s="45" t="n">
        <v>0.693457943925234</v>
      </c>
      <c r="AD321" s="45" t="n"/>
      <c r="AE321" s="45" t="n">
        <v>0.94490664769402</v>
      </c>
      <c r="AF321" s="75">
        <f>IFERROR(AVERAGE(L321:U321),"")</f>
        <v/>
      </c>
      <c r="AG321" s="75">
        <f>IFERROR(AVERAGE(V321:AE321),"")</f>
        <v/>
      </c>
      <c r="AH321" s="75">
        <f>IFERROR(AVERAGE(B321:K321),"")</f>
        <v/>
      </c>
      <c r="AI321" s="45" t="n">
        <v>0.919166564941406</v>
      </c>
      <c r="AJ321" s="47" t="n">
        <v>0.0404739379882813</v>
      </c>
    </row>
    <row r="322" ht="15" customHeight="1" s="30">
      <c r="A322" s="73" t="inlineStr">
        <is>
          <t>8447.jpg</t>
        </is>
      </c>
      <c r="B322" s="45" t="n">
        <v>0.483840688196573</v>
      </c>
      <c r="C322" s="45" t="n"/>
      <c r="D322" s="45" t="n">
        <v>0.868421723285507</v>
      </c>
      <c r="E322" s="45" t="n"/>
      <c r="F322" s="45" t="n">
        <v>0.518368610271184</v>
      </c>
      <c r="G322" s="45" t="n">
        <v>0</v>
      </c>
      <c r="H322" s="45" t="n">
        <v>0.862076204471502</v>
      </c>
      <c r="I322" s="45" t="n">
        <v>0.656036446469248</v>
      </c>
      <c r="J322" s="45" t="n"/>
      <c r="K322" s="45" t="n">
        <v>0</v>
      </c>
      <c r="L322" s="45" t="n">
        <v>0.997990343847266</v>
      </c>
      <c r="M322" s="45" t="n"/>
      <c r="N322" s="45" t="n">
        <v>0.890340448880412</v>
      </c>
      <c r="O322" s="45" t="n"/>
      <c r="P322" s="45" t="n">
        <v>0.530726665529093</v>
      </c>
      <c r="Q322" s="45" t="n">
        <v>0</v>
      </c>
      <c r="R322" s="45" t="n">
        <v>0.920533512665322</v>
      </c>
      <c r="S322" s="45" t="n">
        <v>0.685170499603489</v>
      </c>
      <c r="T322" s="45" t="n"/>
      <c r="U322" s="45" t="n">
        <v>0</v>
      </c>
      <c r="V322" s="45" t="n">
        <v>0.484312559467174</v>
      </c>
      <c r="W322" s="45" t="n"/>
      <c r="X322" s="45" t="n">
        <v>0.972433080303636</v>
      </c>
      <c r="Y322" s="45" t="n"/>
      <c r="Z322" s="45" t="n">
        <v>0.957010989010989</v>
      </c>
      <c r="AA322" s="45" t="n"/>
      <c r="AB322" s="45" t="n">
        <v>0.9313903379451119</v>
      </c>
      <c r="AC322" s="45" t="n">
        <v>0.939130434782609</v>
      </c>
      <c r="AD322" s="45" t="n"/>
      <c r="AE322" s="45" t="n"/>
      <c r="AF322" s="75">
        <f>IFERROR(AVERAGE(L322:U322),"")</f>
        <v/>
      </c>
      <c r="AG322" s="75">
        <f>IFERROR(AVERAGE(V322:AE322),"")</f>
        <v/>
      </c>
      <c r="AH322" s="75">
        <f>IFERROR(AVERAGE(B322:K322),"")</f>
        <v/>
      </c>
      <c r="AI322" s="45" t="n">
        <v>0.652336120605469</v>
      </c>
      <c r="AJ322" s="47" t="n">
        <v>0.0349464416503906</v>
      </c>
    </row>
    <row r="323" ht="15" customHeight="1" s="30">
      <c r="A323" s="73" t="inlineStr">
        <is>
          <t>8462.jpg</t>
        </is>
      </c>
      <c r="B323" s="45" t="n"/>
      <c r="C323" s="45" t="n"/>
      <c r="D323" s="45" t="n"/>
      <c r="E323" s="45" t="n"/>
      <c r="F323" s="45" t="n">
        <v>0.904471004869411</v>
      </c>
      <c r="G323" s="45" t="n"/>
      <c r="H323" s="45" t="n">
        <v>0.875805926408336</v>
      </c>
      <c r="I323" s="45" t="n">
        <v>0</v>
      </c>
      <c r="J323" s="45" t="n"/>
      <c r="K323" s="45" t="n">
        <v>0.904211370457224</v>
      </c>
      <c r="L323" s="45" t="n"/>
      <c r="M323" s="45" t="n"/>
      <c r="N323" s="45" t="n"/>
      <c r="O323" s="45" t="n"/>
      <c r="P323" s="45" t="n">
        <v>0.93186171668339</v>
      </c>
      <c r="Q323" s="45" t="n"/>
      <c r="R323" s="45" t="n">
        <v>0.977716383728961</v>
      </c>
      <c r="S323" s="45" t="n">
        <v>0</v>
      </c>
      <c r="T323" s="45" t="n"/>
      <c r="U323" s="45" t="n">
        <v>0.968479753251908</v>
      </c>
      <c r="V323" s="45" t="n"/>
      <c r="W323" s="45" t="n"/>
      <c r="X323" s="45" t="n"/>
      <c r="Y323" s="45" t="n"/>
      <c r="Z323" s="45" t="n">
        <v>0.968524838832006</v>
      </c>
      <c r="AA323" s="45" t="n"/>
      <c r="AB323" s="45" t="n">
        <v>0.893643884772569</v>
      </c>
      <c r="AC323" s="45" t="n"/>
      <c r="AD323" s="45" t="n"/>
      <c r="AE323" s="45" t="n">
        <v>0.931627837103619</v>
      </c>
      <c r="AF323" s="75">
        <f>IFERROR(AVERAGE(L323:U323),"")</f>
        <v/>
      </c>
      <c r="AG323" s="75">
        <f>IFERROR(AVERAGE(V323:AE323),"")</f>
        <v/>
      </c>
      <c r="AH323" s="75">
        <f>IFERROR(AVERAGE(B323:K323),"")</f>
        <v/>
      </c>
      <c r="AI323" s="45" t="n">
        <v>0.928844451904297</v>
      </c>
      <c r="AJ323" s="47" t="n">
        <v>0.0355911254882813</v>
      </c>
    </row>
    <row r="324" ht="15" customHeight="1" s="30">
      <c r="A324" s="73" t="inlineStr">
        <is>
          <t>8478.jpg</t>
        </is>
      </c>
      <c r="B324" s="45" t="n"/>
      <c r="C324" s="45" t="n"/>
      <c r="D324" s="45" t="n"/>
      <c r="E324" s="45" t="n"/>
      <c r="F324" s="45" t="n">
        <v>0.732258406704148</v>
      </c>
      <c r="G324" s="45" t="n">
        <v>0.898462610850792</v>
      </c>
      <c r="H324" s="45" t="n">
        <v>0.8117813462018471</v>
      </c>
      <c r="I324" s="45" t="n"/>
      <c r="J324" s="45" t="n"/>
      <c r="K324" s="45" t="n">
        <v>0.865380733430526</v>
      </c>
      <c r="L324" s="45" t="n"/>
      <c r="M324" s="45" t="n"/>
      <c r="N324" s="45" t="n"/>
      <c r="O324" s="45" t="n"/>
      <c r="P324" s="45" t="n">
        <v>0.914950958734647</v>
      </c>
      <c r="Q324" s="45" t="n">
        <v>0.995345245500762</v>
      </c>
      <c r="R324" s="45" t="n">
        <v>0.881277548955849</v>
      </c>
      <c r="S324" s="45" t="n"/>
      <c r="T324" s="45" t="n"/>
      <c r="U324" s="45" t="n">
        <v>0.97540196177571</v>
      </c>
      <c r="V324" s="45" t="n"/>
      <c r="W324" s="45" t="n"/>
      <c r="X324" s="45" t="n"/>
      <c r="Y324" s="45" t="n"/>
      <c r="Z324" s="45" t="n">
        <v>0.785741387160419</v>
      </c>
      <c r="AA324" s="45" t="n">
        <v>0.902253592331175</v>
      </c>
      <c r="AB324" s="45" t="n">
        <v>0.911458625263905</v>
      </c>
      <c r="AC324" s="45" t="n"/>
      <c r="AD324" s="45" t="n"/>
      <c r="AE324" s="45" t="n">
        <v>0.884687700632853</v>
      </c>
      <c r="AF324" s="75">
        <f>IFERROR(AVERAGE(L324:U324),"")</f>
        <v/>
      </c>
      <c r="AG324" s="75">
        <f>IFERROR(AVERAGE(V324:AE324),"")</f>
        <v/>
      </c>
      <c r="AH324" s="75">
        <f>IFERROR(AVERAGE(B324:K324),"")</f>
        <v/>
      </c>
      <c r="AI324" s="45" t="n">
        <v>0.8836517333984381</v>
      </c>
      <c r="AJ324" s="47" t="n">
        <v>0.0719718933105469</v>
      </c>
    </row>
    <row r="325" ht="15" customHeight="1" s="30">
      <c r="A325" s="73" t="inlineStr">
        <is>
          <t>8486.jpg</t>
        </is>
      </c>
      <c r="B325" s="45" t="n"/>
      <c r="C325" s="45" t="n"/>
      <c r="D325" s="45" t="n">
        <v>0.897963403287501</v>
      </c>
      <c r="E325" s="45" t="n"/>
      <c r="F325" s="45" t="n">
        <v>0.783746663556972</v>
      </c>
      <c r="G325" s="45" t="n">
        <v>0.800700286694553</v>
      </c>
      <c r="H325" s="45" t="n">
        <v>0.768396097383058</v>
      </c>
      <c r="I325" s="45" t="n">
        <v>0</v>
      </c>
      <c r="J325" s="45" t="n"/>
      <c r="K325" s="45" t="n">
        <v>0.8794726779029231</v>
      </c>
      <c r="L325" s="45" t="n"/>
      <c r="M325" s="45" t="n"/>
      <c r="N325" s="45" t="n">
        <v>0.92571672173079</v>
      </c>
      <c r="O325" s="45" t="n"/>
      <c r="P325" s="45" t="n">
        <v>0.88650486575214</v>
      </c>
      <c r="Q325" s="45" t="n">
        <v>0.990177559501322</v>
      </c>
      <c r="R325" s="45" t="n">
        <v>0.823056387550462</v>
      </c>
      <c r="S325" s="45" t="n"/>
      <c r="T325" s="45" t="n"/>
      <c r="U325" s="45" t="n">
        <v>0.969011117405467</v>
      </c>
      <c r="V325" s="45" t="n"/>
      <c r="W325" s="45" t="n"/>
      <c r="X325" s="45" t="n">
        <v>0.967691622103387</v>
      </c>
      <c r="Y325" s="45" t="n"/>
      <c r="Z325" s="45" t="n">
        <v>0.871158222196618</v>
      </c>
      <c r="AA325" s="45" t="n">
        <v>0.807111047943908</v>
      </c>
      <c r="AB325" s="45" t="n">
        <v>0.9204470982305401</v>
      </c>
      <c r="AC325" s="45" t="n">
        <v>0</v>
      </c>
      <c r="AD325" s="45" t="n"/>
      <c r="AE325" s="45" t="n">
        <v>0.904924076477347</v>
      </c>
      <c r="AF325" s="75">
        <f>IFERROR(AVERAGE(L325:U325),"")</f>
        <v/>
      </c>
      <c r="AG325" s="75">
        <f>IFERROR(AVERAGE(V325:AE325),"")</f>
        <v/>
      </c>
      <c r="AH325" s="75">
        <f>IFERROR(AVERAGE(B325:K325),"")</f>
        <v/>
      </c>
      <c r="AI325" s="45" t="n">
        <v>0.88897705078125</v>
      </c>
      <c r="AJ325" s="47" t="n">
        <v>0.0374832153320313</v>
      </c>
    </row>
    <row r="326" ht="15" customHeight="1" s="30">
      <c r="A326" s="73" t="inlineStr">
        <is>
          <t>8494.jpg</t>
        </is>
      </c>
      <c r="B326" s="45" t="n"/>
      <c r="C326" s="45" t="n"/>
      <c r="D326" s="45" t="n">
        <v>0.841404358353511</v>
      </c>
      <c r="E326" s="45" t="n"/>
      <c r="F326" s="45" t="n">
        <v>0.817204724409449</v>
      </c>
      <c r="G326" s="45" t="n">
        <v>0.700516778372035</v>
      </c>
      <c r="H326" s="45" t="n">
        <v>0.531789233998648</v>
      </c>
      <c r="I326" s="45" t="n"/>
      <c r="J326" s="45" t="n"/>
      <c r="K326" s="45" t="n">
        <v>0.879276743178865</v>
      </c>
      <c r="L326" s="45" t="n"/>
      <c r="M326" s="45" t="n"/>
      <c r="N326" s="45" t="n">
        <v>0.955720572057206</v>
      </c>
      <c r="O326" s="45" t="n"/>
      <c r="P326" s="45" t="n">
        <v>0.9098759479244291</v>
      </c>
      <c r="Q326" s="45" t="n">
        <v>0.964396669566298</v>
      </c>
      <c r="R326" s="45" t="n">
        <v>0.612343554763514</v>
      </c>
      <c r="S326" s="45" t="n"/>
      <c r="T326" s="45" t="n"/>
      <c r="U326" s="45" t="n">
        <v>0.9812571964689329</v>
      </c>
      <c r="V326" s="45" t="n"/>
      <c r="W326" s="45" t="n"/>
      <c r="X326" s="45" t="n">
        <v>0.875535399344923</v>
      </c>
      <c r="Y326" s="45" t="n"/>
      <c r="Z326" s="45" t="n">
        <v>0.889179232350925</v>
      </c>
      <c r="AA326" s="45" t="n">
        <v>0.719114138114764</v>
      </c>
      <c r="AB326" s="45" t="n">
        <v>0.80168414277669</v>
      </c>
      <c r="AC326" s="45" t="n"/>
      <c r="AD326" s="45" t="n"/>
      <c r="AE326" s="45" t="n">
        <v>0.894296356275304</v>
      </c>
      <c r="AF326" s="75">
        <f>IFERROR(AVERAGE(L326:U326),"")</f>
        <v/>
      </c>
      <c r="AG326" s="75">
        <f>IFERROR(AVERAGE(V326:AE326),"")</f>
        <v/>
      </c>
      <c r="AH326" s="75">
        <f>IFERROR(AVERAGE(B326:K326),"")</f>
        <v/>
      </c>
      <c r="AI326" s="45" t="n">
        <v>0.851535797119141</v>
      </c>
      <c r="AJ326" s="47" t="n">
        <v>0.0533828735351563</v>
      </c>
    </row>
    <row r="327" ht="15" customHeight="1" s="30">
      <c r="A327" s="73" t="inlineStr">
        <is>
          <t>8511.jpg</t>
        </is>
      </c>
      <c r="B327" s="45" t="n"/>
      <c r="C327" s="45" t="n"/>
      <c r="D327" s="45" t="n">
        <v>0</v>
      </c>
      <c r="E327" s="45" t="n"/>
      <c r="F327" s="45" t="n">
        <v>0</v>
      </c>
      <c r="G327" s="45" t="n">
        <v>0</v>
      </c>
      <c r="H327" s="45" t="n">
        <v>0.8750078670778531</v>
      </c>
      <c r="I327" s="45" t="n"/>
      <c r="J327" s="45" t="n"/>
      <c r="K327" s="45" t="n">
        <v>0</v>
      </c>
      <c r="L327" s="45" t="n"/>
      <c r="M327" s="45" t="n"/>
      <c r="N327" s="45" t="n">
        <v>0</v>
      </c>
      <c r="O327" s="45" t="n"/>
      <c r="P327" s="45" t="n"/>
      <c r="Q327" s="45" t="n">
        <v>0</v>
      </c>
      <c r="R327" s="45" t="n">
        <v>0.915333465007571</v>
      </c>
      <c r="S327" s="45" t="n"/>
      <c r="T327" s="45" t="n"/>
      <c r="U327" s="45" t="n"/>
      <c r="V327" s="45" t="n"/>
      <c r="W327" s="45" t="n"/>
      <c r="X327" s="45" t="n">
        <v>0</v>
      </c>
      <c r="Y327" s="45" t="n"/>
      <c r="Z327" s="45" t="n">
        <v>0</v>
      </c>
      <c r="AA327" s="45" t="n"/>
      <c r="AB327" s="45" t="n">
        <v>0.952064644251181</v>
      </c>
      <c r="AC327" s="45" t="n"/>
      <c r="AD327" s="45" t="n"/>
      <c r="AE327" s="45" t="n">
        <v>0</v>
      </c>
      <c r="AF327" s="75">
        <f>IFERROR(AVERAGE(L327:U327),"")</f>
        <v/>
      </c>
      <c r="AG327" s="75">
        <f>IFERROR(AVERAGE(V327:AE327),"")</f>
        <v/>
      </c>
      <c r="AH327" s="75">
        <f>IFERROR(AVERAGE(B327:K327),"")</f>
        <v/>
      </c>
      <c r="AI327" s="45" t="n">
        <v>0.106071472167969</v>
      </c>
      <c r="AJ327" s="47" t="n">
        <v>0.00339126586914063</v>
      </c>
    </row>
    <row r="328" ht="15" customHeight="1" s="30">
      <c r="A328" s="73" t="inlineStr">
        <is>
          <t>8514.jpg</t>
        </is>
      </c>
      <c r="B328" s="45" t="n"/>
      <c r="C328" s="45" t="n"/>
      <c r="D328" s="45" t="n">
        <v>0.947190174916263</v>
      </c>
      <c r="E328" s="45" t="n"/>
      <c r="F328" s="45" t="n">
        <v>0.858348236804696</v>
      </c>
      <c r="G328" s="45" t="n"/>
      <c r="H328" s="45" t="n">
        <v>0.806616672190918</v>
      </c>
      <c r="I328" s="45" t="n">
        <v>0.731707317073171</v>
      </c>
      <c r="J328" s="45" t="n"/>
      <c r="K328" s="45" t="n">
        <v>0.9114280937471499</v>
      </c>
      <c r="L328" s="45" t="n"/>
      <c r="M328" s="45" t="n"/>
      <c r="N328" s="45" t="n">
        <v>0.98942580569918</v>
      </c>
      <c r="O328" s="45" t="n"/>
      <c r="P328" s="45" t="n">
        <v>0.959028572404488</v>
      </c>
      <c r="Q328" s="45" t="n"/>
      <c r="R328" s="45" t="n">
        <v>0.865285895242117</v>
      </c>
      <c r="S328" s="45" t="n">
        <v>0.775480059084195</v>
      </c>
      <c r="T328" s="45" t="n"/>
      <c r="U328" s="45" t="n">
        <v>0.980341349376318</v>
      </c>
      <c r="V328" s="45" t="n"/>
      <c r="W328" s="45" t="n"/>
      <c r="X328" s="45" t="n">
        <v>0.9568764568764569</v>
      </c>
      <c r="Y328" s="45" t="n"/>
      <c r="Z328" s="45" t="n">
        <v>0.89102218272984</v>
      </c>
      <c r="AA328" s="45" t="n"/>
      <c r="AB328" s="45" t="n">
        <v>0.922459132906894</v>
      </c>
      <c r="AC328" s="45" t="n">
        <v>0.928381962864722</v>
      </c>
      <c r="AD328" s="45" t="n"/>
      <c r="AE328" s="45" t="n">
        <v>0.928396151196365</v>
      </c>
      <c r="AF328" s="75">
        <f>IFERROR(AVERAGE(L328:U328),"")</f>
        <v/>
      </c>
      <c r="AG328" s="75">
        <f>IFERROR(AVERAGE(V328:AE328),"")</f>
        <v/>
      </c>
      <c r="AH328" s="75">
        <f>IFERROR(AVERAGE(B328:K328),"")</f>
        <v/>
      </c>
      <c r="AI328" s="45" t="n">
        <v>0.921344757080078</v>
      </c>
      <c r="AJ328" s="47" t="n">
        <v>0.0350074768066406</v>
      </c>
    </row>
    <row r="329" ht="15" customHeight="1" s="30">
      <c r="A329" s="73" t="inlineStr">
        <is>
          <t>8523.jpg</t>
        </is>
      </c>
      <c r="B329" s="45" t="n">
        <v>0</v>
      </c>
      <c r="C329" s="45" t="n"/>
      <c r="D329" s="45" t="n"/>
      <c r="E329" s="45" t="n"/>
      <c r="F329" s="45" t="n"/>
      <c r="G329" s="45" t="n">
        <v>0</v>
      </c>
      <c r="H329" s="45" t="n">
        <v>0.900169272932452</v>
      </c>
      <c r="I329" s="45" t="n"/>
      <c r="J329" s="45" t="n"/>
      <c r="K329" s="45" t="n">
        <v>0.987061604596579</v>
      </c>
      <c r="L329" s="45" t="n"/>
      <c r="M329" s="45" t="n"/>
      <c r="N329" s="45" t="n"/>
      <c r="O329" s="45" t="n"/>
      <c r="P329" s="45" t="n"/>
      <c r="Q329" s="45" t="n">
        <v>0</v>
      </c>
      <c r="R329" s="45" t="n">
        <v>0.986659009586076</v>
      </c>
      <c r="S329" s="45" t="n"/>
      <c r="T329" s="45" t="n"/>
      <c r="U329" s="45" t="n">
        <v>0.992270417008465</v>
      </c>
      <c r="V329" s="45" t="n">
        <v>0</v>
      </c>
      <c r="W329" s="45" t="n"/>
      <c r="X329" s="45" t="n"/>
      <c r="Y329" s="45" t="n"/>
      <c r="Z329" s="45" t="n"/>
      <c r="AA329" s="45" t="n"/>
      <c r="AB329" s="45" t="n">
        <v>0.911260709914321</v>
      </c>
      <c r="AC329" s="45" t="n"/>
      <c r="AD329" s="45" t="n"/>
      <c r="AE329" s="45" t="n">
        <v>0.994709936671838</v>
      </c>
      <c r="AF329" s="75">
        <f>IFERROR(AVERAGE(L329:U329),"")</f>
        <v/>
      </c>
      <c r="AG329" s="75">
        <f>IFERROR(AVERAGE(V329:AE329),"")</f>
        <v/>
      </c>
      <c r="AH329" s="75">
        <f>IFERROR(AVERAGE(B329:K329),"")</f>
        <v/>
      </c>
      <c r="AI329" s="45" t="n">
        <v>0.980381011962891</v>
      </c>
      <c r="AJ329" s="47" t="n">
        <v>0.00497817993164063</v>
      </c>
    </row>
    <row r="330" ht="15" customHeight="1" s="30">
      <c r="A330" s="73" t="inlineStr">
        <is>
          <t>8525.jpg</t>
        </is>
      </c>
      <c r="B330" s="45" t="n"/>
      <c r="C330" s="45" t="n"/>
      <c r="D330" s="45" t="n"/>
      <c r="E330" s="45" t="n"/>
      <c r="F330" s="45" t="n">
        <v>0.86411889596603</v>
      </c>
      <c r="G330" s="45" t="n">
        <v>0</v>
      </c>
      <c r="H330" s="45" t="n">
        <v>0.832504271881527</v>
      </c>
      <c r="I330" s="45" t="n"/>
      <c r="J330" s="45" t="n"/>
      <c r="K330" s="45" t="n">
        <v>0.979797683624102</v>
      </c>
      <c r="L330" s="45" t="n"/>
      <c r="M330" s="45" t="n"/>
      <c r="N330" s="45" t="n"/>
      <c r="O330" s="45" t="n"/>
      <c r="P330" s="45" t="n">
        <v>0.881906825568797</v>
      </c>
      <c r="Q330" s="45" t="n">
        <v>0</v>
      </c>
      <c r="R330" s="45" t="n">
        <v>0.934128674904133</v>
      </c>
      <c r="S330" s="45" t="n"/>
      <c r="T330" s="45" t="n"/>
      <c r="U330" s="45" t="n">
        <v>0.990627845420858</v>
      </c>
      <c r="V330" s="45" t="n"/>
      <c r="W330" s="45" t="n"/>
      <c r="X330" s="45" t="n"/>
      <c r="Y330" s="45" t="n"/>
      <c r="Z330" s="45" t="n">
        <v>0.97719087635054</v>
      </c>
      <c r="AA330" s="45" t="n"/>
      <c r="AB330" s="45" t="n">
        <v>0.884424543144137</v>
      </c>
      <c r="AC330" s="45" t="n"/>
      <c r="AD330" s="45" t="n"/>
      <c r="AE330" s="45" t="n">
        <v>0.988965085700273</v>
      </c>
      <c r="AF330" s="75">
        <f>IFERROR(AVERAGE(L330:U330),"")</f>
        <v/>
      </c>
      <c r="AG330" s="75">
        <f>IFERROR(AVERAGE(V330:AE330),"")</f>
        <v/>
      </c>
      <c r="AH330" s="75">
        <f>IFERROR(AVERAGE(B330:K330),"")</f>
        <v/>
      </c>
      <c r="AI330" s="45" t="n">
        <v>0.979042053222656</v>
      </c>
      <c r="AJ330" s="47" t="n">
        <v>0.00575637817382813</v>
      </c>
    </row>
    <row r="331" ht="15" customHeight="1" s="30">
      <c r="A331" s="73" t="inlineStr">
        <is>
          <t>8530.jpg</t>
        </is>
      </c>
      <c r="B331" s="45" t="n"/>
      <c r="C331" s="45" t="n"/>
      <c r="D331" s="45" t="n"/>
      <c r="E331" s="45" t="n"/>
      <c r="F331" s="45" t="n">
        <v>0</v>
      </c>
      <c r="G331" s="45" t="n"/>
      <c r="H331" s="45" t="n">
        <v>0.788506274368468</v>
      </c>
      <c r="I331" s="45" t="n"/>
      <c r="J331" s="45" t="n"/>
      <c r="K331" s="45" t="n">
        <v>0.970781765720266</v>
      </c>
      <c r="L331" s="45" t="n"/>
      <c r="M331" s="45" t="n"/>
      <c r="N331" s="45" t="n"/>
      <c r="O331" s="45" t="n"/>
      <c r="P331" s="45" t="n"/>
      <c r="Q331" s="45" t="n"/>
      <c r="R331" s="45" t="n">
        <v>0.959034032039531</v>
      </c>
      <c r="S331" s="45" t="n"/>
      <c r="T331" s="45" t="n"/>
      <c r="U331" s="45" t="n">
        <v>0.980154859685147</v>
      </c>
      <c r="V331" s="45" t="n"/>
      <c r="W331" s="45" t="n"/>
      <c r="X331" s="45" t="n"/>
      <c r="Y331" s="45" t="n"/>
      <c r="Z331" s="45" t="n">
        <v>0</v>
      </c>
      <c r="AA331" s="45" t="n"/>
      <c r="AB331" s="45" t="n">
        <v>0.81599023497101</v>
      </c>
      <c r="AC331" s="45" t="n"/>
      <c r="AD331" s="45" t="n"/>
      <c r="AE331" s="45" t="n">
        <v>0.990245399303305</v>
      </c>
      <c r="AF331" s="75">
        <f>IFERROR(AVERAGE(L331:U331),"")</f>
        <v/>
      </c>
      <c r="AG331" s="75">
        <f>IFERROR(AVERAGE(V331:AE331),"")</f>
        <v/>
      </c>
      <c r="AH331" s="75">
        <f>IFERROR(AVERAGE(B331:K331),"")</f>
        <v/>
      </c>
      <c r="AI331" s="45" t="n">
        <v>0.965831756591797</v>
      </c>
      <c r="AJ331" s="47" t="n">
        <v>0.0125503540039063</v>
      </c>
    </row>
    <row r="332" ht="15" customHeight="1" s="30">
      <c r="A332" s="73" t="inlineStr">
        <is>
          <t>8533.jpg</t>
        </is>
      </c>
      <c r="B332" s="45" t="n"/>
      <c r="C332" s="45" t="n"/>
      <c r="D332" s="45" t="n"/>
      <c r="E332" s="45" t="n"/>
      <c r="F332" s="45" t="n"/>
      <c r="G332" s="45" t="n"/>
      <c r="H332" s="45" t="n">
        <v>0.855932660659364</v>
      </c>
      <c r="I332" s="45" t="n"/>
      <c r="J332" s="45" t="n"/>
      <c r="K332" s="45" t="n">
        <v>0.988807669165596</v>
      </c>
      <c r="L332" s="45" t="n"/>
      <c r="M332" s="45" t="n"/>
      <c r="N332" s="45" t="n"/>
      <c r="O332" s="45" t="n"/>
      <c r="P332" s="45" t="n"/>
      <c r="Q332" s="45" t="n"/>
      <c r="R332" s="45" t="n">
        <v>0.965489957395009</v>
      </c>
      <c r="S332" s="45" t="n"/>
      <c r="T332" s="45" t="n"/>
      <c r="U332" s="45" t="n">
        <v>0.992677939537902</v>
      </c>
      <c r="V332" s="45" t="n"/>
      <c r="W332" s="45" t="n"/>
      <c r="X332" s="45" t="n"/>
      <c r="Y332" s="45" t="n"/>
      <c r="Z332" s="45" t="n"/>
      <c r="AA332" s="45" t="n"/>
      <c r="AB332" s="45" t="n">
        <v>0.882945563842814</v>
      </c>
      <c r="AC332" s="45" t="n"/>
      <c r="AD332" s="45" t="n"/>
      <c r="AE332" s="45" t="n">
        <v>0.996072537247418</v>
      </c>
      <c r="AF332" s="75">
        <f>IFERROR(AVERAGE(L332:U332),"")</f>
        <v/>
      </c>
      <c r="AG332" s="75">
        <f>IFERROR(AVERAGE(V332:AE332),"")</f>
        <v/>
      </c>
      <c r="AH332" s="75">
        <f>IFERROR(AVERAGE(B332:K332),"")</f>
        <v/>
      </c>
      <c r="AI332" s="45" t="n">
        <v>0.988319396972656</v>
      </c>
      <c r="AJ332" s="47" t="n">
        <v>0.00267410278320313</v>
      </c>
    </row>
    <row r="333" ht="15" customHeight="1" s="30">
      <c r="A333" s="73" t="inlineStr">
        <is>
          <t>8541.jpg</t>
        </is>
      </c>
      <c r="B333" s="45" t="n"/>
      <c r="C333" s="45" t="n"/>
      <c r="D333" s="45" t="n"/>
      <c r="E333" s="45" t="n"/>
      <c r="F333" s="45" t="n"/>
      <c r="G333" s="45" t="n"/>
      <c r="H333" s="45" t="n">
        <v>0.878351539225422</v>
      </c>
      <c r="I333" s="45" t="n"/>
      <c r="J333" s="45" t="n"/>
      <c r="K333" s="45" t="n">
        <v>0.991400765059223</v>
      </c>
      <c r="L333" s="45" t="n"/>
      <c r="M333" s="45" t="n"/>
      <c r="N333" s="45" t="n"/>
      <c r="O333" s="45" t="n"/>
      <c r="P333" s="45" t="n"/>
      <c r="Q333" s="45" t="n"/>
      <c r="R333" s="45" t="n">
        <v>0.915157785825142</v>
      </c>
      <c r="S333" s="45" t="n"/>
      <c r="T333" s="45" t="n"/>
      <c r="U333" s="45" t="n">
        <v>0.9996979214673271</v>
      </c>
      <c r="V333" s="45" t="n"/>
      <c r="W333" s="45" t="n"/>
      <c r="X333" s="45" t="n"/>
      <c r="Y333" s="45" t="n"/>
      <c r="Z333" s="45" t="n"/>
      <c r="AA333" s="45" t="n"/>
      <c r="AB333" s="45" t="n">
        <v>0.956216216216216</v>
      </c>
      <c r="AC333" s="45" t="n"/>
      <c r="AD333" s="45" t="n"/>
      <c r="AE333" s="45" t="n">
        <v>0.99169784935496</v>
      </c>
      <c r="AF333" s="75">
        <f>IFERROR(AVERAGE(L333:U333),"")</f>
        <v/>
      </c>
      <c r="AG333" s="75">
        <f>IFERROR(AVERAGE(V333:AE333),"")</f>
        <v/>
      </c>
      <c r="AH333" s="75">
        <f>IFERROR(AVERAGE(B333:K333),"")</f>
        <v/>
      </c>
      <c r="AI333" s="45" t="n">
        <v>0.991447448730469</v>
      </c>
      <c r="AJ333" s="47" t="n">
        <v>0.00762939453125</v>
      </c>
    </row>
    <row r="334" ht="15" customHeight="1" s="30">
      <c r="A334" s="73" t="inlineStr">
        <is>
          <t>8542.jpg</t>
        </is>
      </c>
      <c r="B334" s="45" t="n"/>
      <c r="C334" s="45" t="n"/>
      <c r="D334" s="45" t="n"/>
      <c r="E334" s="45" t="n"/>
      <c r="F334" s="45" t="n"/>
      <c r="G334" s="45" t="n"/>
      <c r="H334" s="45" t="n">
        <v>0.796067006554989</v>
      </c>
      <c r="I334" s="45" t="n"/>
      <c r="J334" s="45" t="n"/>
      <c r="K334" s="45" t="n">
        <v>0.993929438376875</v>
      </c>
      <c r="L334" s="45" t="n"/>
      <c r="M334" s="45" t="n"/>
      <c r="N334" s="45" t="n"/>
      <c r="O334" s="45" t="n"/>
      <c r="P334" s="45" t="n"/>
      <c r="Q334" s="45" t="n"/>
      <c r="R334" s="45" t="n">
        <v>0.868494239173619</v>
      </c>
      <c r="S334" s="45" t="n"/>
      <c r="T334" s="45" t="n"/>
      <c r="U334" s="45" t="n">
        <v>0.999172399924201</v>
      </c>
      <c r="V334" s="45" t="n"/>
      <c r="W334" s="45" t="n"/>
      <c r="X334" s="45" t="n"/>
      <c r="Y334" s="45" t="n"/>
      <c r="Z334" s="45" t="n"/>
      <c r="AA334" s="45" t="n"/>
      <c r="AB334" s="45" t="n">
        <v>0.905175983436853</v>
      </c>
      <c r="AC334" s="45" t="n"/>
      <c r="AD334" s="45" t="n"/>
      <c r="AE334" s="45" t="n">
        <v>0.994748372341941</v>
      </c>
      <c r="AF334" s="75">
        <f>IFERROR(AVERAGE(L334:U334),"")</f>
        <v/>
      </c>
      <c r="AG334" s="75">
        <f>IFERROR(AVERAGE(V334:AE334),"")</f>
        <v/>
      </c>
      <c r="AH334" s="75">
        <f>IFERROR(AVERAGE(B334:K334),"")</f>
        <v/>
      </c>
      <c r="AI334" s="45" t="n">
        <v>0.993923187255859</v>
      </c>
      <c r="AJ334" s="47" t="n">
        <v>0.003997802734375</v>
      </c>
    </row>
    <row r="335" ht="15" customHeight="1" s="30">
      <c r="A335" s="73" t="inlineStr">
        <is>
          <t>8543.jpg</t>
        </is>
      </c>
      <c r="B335" s="45" t="n"/>
      <c r="C335" s="45" t="n"/>
      <c r="D335" s="45" t="n"/>
      <c r="E335" s="45" t="n"/>
      <c r="F335" s="45" t="n"/>
      <c r="G335" s="45" t="n"/>
      <c r="H335" s="45" t="n">
        <v>0.36646744259201</v>
      </c>
      <c r="I335" s="45" t="n"/>
      <c r="J335" s="45" t="n"/>
      <c r="K335" s="45" t="n">
        <v>0.990321060315198</v>
      </c>
      <c r="L335" s="45" t="n"/>
      <c r="M335" s="45" t="n"/>
      <c r="N335" s="45" t="n"/>
      <c r="O335" s="45" t="n"/>
      <c r="P335" s="45" t="n"/>
      <c r="Q335" s="45" t="n"/>
      <c r="R335" s="45" t="n">
        <v>0.36646744259201</v>
      </c>
      <c r="S335" s="45" t="n"/>
      <c r="T335" s="45" t="n"/>
      <c r="U335" s="45" t="n">
        <v>1</v>
      </c>
      <c r="V335" s="45" t="n"/>
      <c r="W335" s="45" t="n"/>
      <c r="X335" s="45" t="n"/>
      <c r="Y335" s="45" t="n"/>
      <c r="Z335" s="45" t="n"/>
      <c r="AA335" s="45" t="n"/>
      <c r="AB335" s="45" t="n">
        <v>1</v>
      </c>
      <c r="AC335" s="45" t="n"/>
      <c r="AD335" s="45" t="n"/>
      <c r="AE335" s="45" t="n">
        <v>0.990321060315198</v>
      </c>
      <c r="AF335" s="75">
        <f>IFERROR(AVERAGE(L335:U335),"")</f>
        <v/>
      </c>
      <c r="AG335" s="75">
        <f>IFERROR(AVERAGE(V335:AE335),"")</f>
        <v/>
      </c>
      <c r="AH335" s="75">
        <f>IFERROR(AVERAGE(B335:K335),"")</f>
        <v/>
      </c>
      <c r="AI335" s="45" t="n">
        <v>0.990364074707031</v>
      </c>
      <c r="AJ335" s="47" t="n">
        <v>0.001953125</v>
      </c>
    </row>
    <row r="336" ht="15" customHeight="1" s="30">
      <c r="A336" s="73" t="inlineStr">
        <is>
          <t>8544.jpg</t>
        </is>
      </c>
      <c r="B336" s="45" t="n"/>
      <c r="C336" s="45" t="n"/>
      <c r="D336" s="45" t="n"/>
      <c r="E336" s="45" t="n"/>
      <c r="F336" s="45" t="n"/>
      <c r="G336" s="45" t="n"/>
      <c r="H336" s="45" t="n">
        <v>0.383283666808571</v>
      </c>
      <c r="I336" s="45" t="n"/>
      <c r="J336" s="45" t="n"/>
      <c r="K336" s="45" t="n">
        <v>0.981502680742976</v>
      </c>
      <c r="L336" s="45" t="n"/>
      <c r="M336" s="45" t="n"/>
      <c r="N336" s="45" t="n"/>
      <c r="O336" s="45" t="n"/>
      <c r="P336" s="45" t="n"/>
      <c r="Q336" s="45" t="n"/>
      <c r="R336" s="45" t="n">
        <v>0.391109180422821</v>
      </c>
      <c r="S336" s="45" t="n"/>
      <c r="T336" s="45" t="n"/>
      <c r="U336" s="45" t="n">
        <v>0.999446592224817</v>
      </c>
      <c r="V336" s="45" t="n"/>
      <c r="W336" s="45" t="n"/>
      <c r="X336" s="45" t="n"/>
      <c r="Y336" s="45" t="n"/>
      <c r="Z336" s="45" t="n"/>
      <c r="AA336" s="45" t="n"/>
      <c r="AB336" s="45" t="n">
        <v>0.950387051372273</v>
      </c>
      <c r="AC336" s="45" t="n"/>
      <c r="AD336" s="45" t="n"/>
      <c r="AE336" s="45" t="n">
        <v>0.982036390000848</v>
      </c>
      <c r="AF336" s="75">
        <f>IFERROR(AVERAGE(L336:U336),"")</f>
        <v/>
      </c>
      <c r="AG336" s="75">
        <f>IFERROR(AVERAGE(V336:AE336),"")</f>
        <v/>
      </c>
      <c r="AH336" s="75">
        <f>IFERROR(AVERAGE(B336:K336),"")</f>
        <v/>
      </c>
      <c r="AI336" s="45" t="n">
        <v>0.981693267822266</v>
      </c>
      <c r="AJ336" s="47" t="n">
        <v>0.00172805786132813</v>
      </c>
    </row>
    <row r="337" ht="15" customHeight="1" s="30">
      <c r="A337" s="73" t="inlineStr">
        <is>
          <t>8557.jpg</t>
        </is>
      </c>
      <c r="B337" s="45" t="n"/>
      <c r="C337" s="45" t="n"/>
      <c r="D337" s="45" t="n"/>
      <c r="E337" s="45" t="n"/>
      <c r="F337" s="45" t="n"/>
      <c r="G337" s="45" t="n">
        <v>0.773907536415453</v>
      </c>
      <c r="H337" s="45" t="n">
        <v>0.740226502015484</v>
      </c>
      <c r="I337" s="45" t="n"/>
      <c r="J337" s="45" t="n"/>
      <c r="K337" s="45" t="n">
        <v>0.9794233861518939</v>
      </c>
      <c r="L337" s="45" t="n"/>
      <c r="M337" s="45" t="n"/>
      <c r="N337" s="45" t="n"/>
      <c r="O337" s="45" t="n"/>
      <c r="P337" s="45" t="n"/>
      <c r="Q337" s="45" t="n">
        <v>0.93353705118411</v>
      </c>
      <c r="R337" s="45" t="n">
        <v>0.925816261203585</v>
      </c>
      <c r="S337" s="45" t="n"/>
      <c r="T337" s="45" t="n"/>
      <c r="U337" s="45" t="n">
        <v>0.98755076850377</v>
      </c>
      <c r="V337" s="45" t="n"/>
      <c r="W337" s="45" t="n"/>
      <c r="X337" s="45" t="n"/>
      <c r="Y337" s="45" t="n"/>
      <c r="Z337" s="45" t="n"/>
      <c r="AA337" s="45" t="n">
        <v>0.819034852546917</v>
      </c>
      <c r="AB337" s="45" t="n">
        <v>0.786899741531764</v>
      </c>
      <c r="AC337" s="45" t="n"/>
      <c r="AD337" s="45" t="n"/>
      <c r="AE337" s="45" t="n">
        <v>0.991667280269003</v>
      </c>
      <c r="AF337" s="75">
        <f>IFERROR(AVERAGE(L337:U337),"")</f>
        <v/>
      </c>
      <c r="AG337" s="75">
        <f>IFERROR(AVERAGE(V337:AE337),"")</f>
        <v/>
      </c>
      <c r="AH337" s="75">
        <f>IFERROR(AVERAGE(B337:K337),"")</f>
        <v/>
      </c>
      <c r="AI337" s="45" t="n">
        <v>0.978218078613281</v>
      </c>
      <c r="AJ337" s="47" t="n">
        <v>0.00592422485351563</v>
      </c>
    </row>
    <row r="338" ht="15" customHeight="1" s="30">
      <c r="A338" s="73" t="inlineStr">
        <is>
          <t>8558.jpg</t>
        </is>
      </c>
      <c r="B338" s="45" t="n"/>
      <c r="C338" s="45" t="n"/>
      <c r="D338" s="45" t="n"/>
      <c r="E338" s="45" t="n"/>
      <c r="F338" s="45" t="n"/>
      <c r="G338" s="45" t="n">
        <v>0.784812978819288</v>
      </c>
      <c r="H338" s="45" t="n">
        <v>0.722215632783774</v>
      </c>
      <c r="I338" s="45" t="n"/>
      <c r="J338" s="45" t="n"/>
      <c r="K338" s="45" t="n">
        <v>0.974072296604793</v>
      </c>
      <c r="L338" s="45" t="n"/>
      <c r="M338" s="45" t="n"/>
      <c r="N338" s="45" t="n"/>
      <c r="O338" s="45" t="n"/>
      <c r="P338" s="45" t="n"/>
      <c r="Q338" s="45" t="n">
        <v>0.97263334264172</v>
      </c>
      <c r="R338" s="45" t="n">
        <v>0.909280967669678</v>
      </c>
      <c r="S338" s="45" t="n"/>
      <c r="T338" s="45" t="n"/>
      <c r="U338" s="45" t="n">
        <v>0.984709316668037</v>
      </c>
      <c r="V338" s="45" t="n"/>
      <c r="W338" s="45" t="n"/>
      <c r="X338" s="45" t="n"/>
      <c r="Y338" s="45" t="n"/>
      <c r="Z338" s="45" t="n"/>
      <c r="AA338" s="45" t="n">
        <v>0.802534562211982</v>
      </c>
      <c r="AB338" s="45" t="n">
        <v>0.778296159008117</v>
      </c>
      <c r="AC338" s="45" t="n"/>
      <c r="AD338" s="45" t="n"/>
      <c r="AE338" s="45" t="n">
        <v>0.98903190905074</v>
      </c>
      <c r="AF338" s="75">
        <f>IFERROR(AVERAGE(L338:U338),"")</f>
        <v/>
      </c>
      <c r="AG338" s="75">
        <f>IFERROR(AVERAGE(V338:AE338),"")</f>
        <v/>
      </c>
      <c r="AH338" s="75">
        <f>IFERROR(AVERAGE(B338:K338),"")</f>
        <v/>
      </c>
      <c r="AI338" s="45" t="n">
        <v>0.973365783691406</v>
      </c>
      <c r="AJ338" s="47" t="n">
        <v>0.00743865966796875</v>
      </c>
    </row>
    <row r="339" ht="15" customHeight="1" s="30">
      <c r="A339" s="73" t="inlineStr">
        <is>
          <t>8592.jpg</t>
        </is>
      </c>
      <c r="B339" s="45" t="n"/>
      <c r="C339" s="45" t="n"/>
      <c r="D339" s="45" t="n"/>
      <c r="E339" s="45" t="n"/>
      <c r="F339" s="45" t="n"/>
      <c r="G339" s="45" t="n">
        <v>0.655818998915233</v>
      </c>
      <c r="H339" s="45" t="n"/>
      <c r="I339" s="45" t="n"/>
      <c r="J339" s="45" t="n"/>
      <c r="K339" s="45" t="n">
        <v>0.973978548306572</v>
      </c>
      <c r="L339" s="45" t="n"/>
      <c r="M339" s="45" t="n"/>
      <c r="N339" s="45" t="n"/>
      <c r="O339" s="45" t="n"/>
      <c r="P339" s="45" t="n"/>
      <c r="Q339" s="45" t="n">
        <v>0.9889390870852161</v>
      </c>
      <c r="R339" s="45" t="n"/>
      <c r="S339" s="45" t="n"/>
      <c r="T339" s="45" t="n"/>
      <c r="U339" s="45" t="n">
        <v>0.977987014562126</v>
      </c>
      <c r="V339" s="45" t="n"/>
      <c r="W339" s="45" t="n"/>
      <c r="X339" s="45" t="n"/>
      <c r="Y339" s="45" t="n"/>
      <c r="Z339" s="45" t="n"/>
      <c r="AA339" s="45" t="n">
        <v>0.660665036165895</v>
      </c>
      <c r="AB339" s="45" t="n"/>
      <c r="AC339" s="45" t="n"/>
      <c r="AD339" s="45" t="n"/>
      <c r="AE339" s="45" t="n">
        <v>0.9958094406961761</v>
      </c>
      <c r="AF339" s="75">
        <f>IFERROR(AVERAGE(L339:U339),"")</f>
        <v/>
      </c>
      <c r="AG339" s="75">
        <f>IFERROR(AVERAGE(V339:AE339),"")</f>
        <v/>
      </c>
      <c r="AH339" s="75">
        <f>IFERROR(AVERAGE(B339:K339),"")</f>
        <v/>
      </c>
      <c r="AI339" s="45" t="n">
        <v>0.971240997314453</v>
      </c>
      <c r="AJ339" s="47" t="n">
        <v>0.0074462890625</v>
      </c>
    </row>
    <row r="340" ht="15" customHeight="1" s="30">
      <c r="A340" s="73" t="inlineStr">
        <is>
          <t>8601.jpg</t>
        </is>
      </c>
      <c r="B340" s="45" t="n"/>
      <c r="C340" s="45" t="n"/>
      <c r="D340" s="45" t="n"/>
      <c r="E340" s="45" t="n"/>
      <c r="F340" s="45" t="n"/>
      <c r="G340" s="45" t="n">
        <v>0.596059113300493</v>
      </c>
      <c r="H340" s="45" t="n"/>
      <c r="I340" s="45" t="n"/>
      <c r="J340" s="45" t="n"/>
      <c r="K340" s="45" t="n">
        <v>0.970185924825683</v>
      </c>
      <c r="L340" s="45" t="n"/>
      <c r="M340" s="45" t="n"/>
      <c r="N340" s="45" t="n"/>
      <c r="O340" s="45" t="n"/>
      <c r="P340" s="45" t="n"/>
      <c r="Q340" s="45" t="n">
        <v>0.926790167438547</v>
      </c>
      <c r="R340" s="45" t="n"/>
      <c r="S340" s="45" t="n"/>
      <c r="T340" s="45" t="n"/>
      <c r="U340" s="45" t="n">
        <v>0.977472507632868</v>
      </c>
      <c r="V340" s="45" t="n"/>
      <c r="W340" s="45" t="n"/>
      <c r="X340" s="45" t="n"/>
      <c r="Y340" s="45" t="n"/>
      <c r="Z340" s="45" t="n"/>
      <c r="AA340" s="45" t="n">
        <v>0.625510940129839</v>
      </c>
      <c r="AB340" s="45" t="n"/>
      <c r="AC340" s="45" t="n"/>
      <c r="AD340" s="45" t="n"/>
      <c r="AE340" s="45" t="n">
        <v>0.992374993890219</v>
      </c>
      <c r="AF340" s="75">
        <f>IFERROR(AVERAGE(L340:U340),"")</f>
        <v/>
      </c>
      <c r="AG340" s="75">
        <f>IFERROR(AVERAGE(V340:AE340),"")</f>
        <v/>
      </c>
      <c r="AH340" s="75">
        <f>IFERROR(AVERAGE(B340:K340),"")</f>
        <v/>
      </c>
      <c r="AI340" s="45" t="n">
        <v>0.969093322753906</v>
      </c>
      <c r="AJ340" s="47" t="n">
        <v>0.00635147094726563</v>
      </c>
    </row>
    <row r="341" ht="15" customHeight="1" s="30">
      <c r="A341" s="73" t="inlineStr">
        <is>
          <t>8762.jpg</t>
        </is>
      </c>
      <c r="B341" s="45" t="n">
        <v>0</v>
      </c>
      <c r="C341" s="45" t="n"/>
      <c r="D341" s="45" t="n"/>
      <c r="E341" s="45" t="n"/>
      <c r="F341" s="45" t="n">
        <v>0.748093266506864</v>
      </c>
      <c r="G341" s="45" t="n">
        <v>0.843580518713419</v>
      </c>
      <c r="H341" s="45" t="n"/>
      <c r="I341" s="45" t="n">
        <v>0.762589928057554</v>
      </c>
      <c r="J341" s="45" t="n"/>
      <c r="K341" s="45" t="n">
        <v>0.899337545264734</v>
      </c>
      <c r="L341" s="45" t="n"/>
      <c r="M341" s="45" t="n"/>
      <c r="N341" s="45" t="n"/>
      <c r="O341" s="45" t="n"/>
      <c r="P341" s="45" t="n">
        <v>0.974361400189215</v>
      </c>
      <c r="Q341" s="45" t="n">
        <v>0.98563272476316</v>
      </c>
      <c r="R341" s="45" t="n"/>
      <c r="S341" s="45" t="n">
        <v>0.803030303030303</v>
      </c>
      <c r="T341" s="45" t="n"/>
      <c r="U341" s="45" t="n">
        <v>0.914635712385687</v>
      </c>
      <c r="V341" s="45" t="n">
        <v>0</v>
      </c>
      <c r="W341" s="45" t="n"/>
      <c r="X341" s="45" t="n"/>
      <c r="Y341" s="45" t="n"/>
      <c r="Z341" s="45" t="n">
        <v>0.763114997036159</v>
      </c>
      <c r="AA341" s="45" t="n">
        <v>0.854082853104273</v>
      </c>
      <c r="AB341" s="45" t="n"/>
      <c r="AC341" s="45" t="n">
        <v>0.938053097345133</v>
      </c>
      <c r="AD341" s="45" t="n"/>
      <c r="AE341" s="45" t="n">
        <v>0.981741476237829</v>
      </c>
      <c r="AF341" s="75">
        <f>IFERROR(AVERAGE(L341:U341),"")</f>
        <v/>
      </c>
      <c r="AG341" s="75">
        <f>IFERROR(AVERAGE(V341:AE341),"")</f>
        <v/>
      </c>
      <c r="AH341" s="75">
        <f>IFERROR(AVERAGE(B341:K341),"")</f>
        <v/>
      </c>
      <c r="AI341" s="45" t="n">
        <v>0.899669647216797</v>
      </c>
      <c r="AJ341" s="47" t="n">
        <v>0.0262870788574219</v>
      </c>
    </row>
    <row r="342" ht="15" customHeight="1" s="30">
      <c r="A342" s="73" t="inlineStr">
        <is>
          <t>8767.jpg</t>
        </is>
      </c>
      <c r="B342" s="45" t="n"/>
      <c r="C342" s="45" t="n"/>
      <c r="D342" s="45" t="n"/>
      <c r="E342" s="45" t="n"/>
      <c r="F342" s="45" t="n">
        <v>0.838765100671141</v>
      </c>
      <c r="G342" s="45" t="n">
        <v>0.9194760575477779</v>
      </c>
      <c r="H342" s="45" t="n"/>
      <c r="I342" s="45" t="n">
        <v>0.7479338842975209</v>
      </c>
      <c r="J342" s="45" t="n"/>
      <c r="K342" s="45" t="n">
        <v>0.9675498281300841</v>
      </c>
      <c r="L342" s="45" t="n"/>
      <c r="M342" s="45" t="n"/>
      <c r="N342" s="45" t="n"/>
      <c r="O342" s="45" t="n"/>
      <c r="P342" s="45" t="n">
        <v>0.971638263465605</v>
      </c>
      <c r="Q342" s="45" t="n">
        <v>0.937955205081869</v>
      </c>
      <c r="R342" s="45" t="n"/>
      <c r="S342" s="45" t="n">
        <v>0.900497512437811</v>
      </c>
      <c r="T342" s="45" t="n"/>
      <c r="U342" s="45" t="n">
        <v>0.980926156979162</v>
      </c>
      <c r="V342" s="45" t="n"/>
      <c r="W342" s="45" t="n"/>
      <c r="X342" s="45" t="n"/>
      <c r="Y342" s="45" t="n"/>
      <c r="Z342" s="45" t="n">
        <v>0.859816170400132</v>
      </c>
      <c r="AA342" s="45" t="n">
        <v>0.979022577879394</v>
      </c>
      <c r="AB342" s="45" t="n"/>
      <c r="AC342" s="45" t="n">
        <v>0.815315315315315</v>
      </c>
      <c r="AD342" s="45" t="n"/>
      <c r="AE342" s="45" t="n">
        <v>0.986102100543517</v>
      </c>
      <c r="AF342" s="75">
        <f>IFERROR(AVERAGE(L342:U342),"")</f>
        <v/>
      </c>
      <c r="AG342" s="75">
        <f>IFERROR(AVERAGE(V342:AE342),"")</f>
        <v/>
      </c>
      <c r="AH342" s="75">
        <f>IFERROR(AVERAGE(B342:K342),"")</f>
        <v/>
      </c>
      <c r="AI342" s="45" t="n">
        <v>0.967979431152344</v>
      </c>
      <c r="AJ342" s="47" t="n">
        <v>0.00892257690429688</v>
      </c>
    </row>
    <row r="343" ht="15" customHeight="1" s="30">
      <c r="A343" s="73" t="inlineStr">
        <is>
          <t>8773.jpg</t>
        </is>
      </c>
      <c r="B343" s="45" t="n"/>
      <c r="C343" s="45" t="n"/>
      <c r="D343" s="45" t="n"/>
      <c r="E343" s="45" t="n"/>
      <c r="F343" s="45" t="n">
        <v>0.718011947024936</v>
      </c>
      <c r="G343" s="45" t="n">
        <v>0.936957514846962</v>
      </c>
      <c r="H343" s="45" t="n">
        <v>0</v>
      </c>
      <c r="I343" s="45" t="n"/>
      <c r="J343" s="45" t="n"/>
      <c r="K343" s="45" t="n">
        <v>0.954662299826723</v>
      </c>
      <c r="L343" s="45" t="n"/>
      <c r="M343" s="45" t="n"/>
      <c r="N343" s="45" t="n"/>
      <c r="O343" s="45" t="n"/>
      <c r="P343" s="45" t="n">
        <v>0.976495417618318</v>
      </c>
      <c r="Q343" s="45" t="n">
        <v>0.996235579842137</v>
      </c>
      <c r="R343" s="45" t="n">
        <v>0</v>
      </c>
      <c r="S343" s="45" t="n"/>
      <c r="T343" s="45" t="n"/>
      <c r="U343" s="45" t="n">
        <v>0.980861501440401</v>
      </c>
      <c r="V343" s="45" t="n"/>
      <c r="W343" s="45" t="n"/>
      <c r="X343" s="45" t="n"/>
      <c r="Y343" s="45" t="n"/>
      <c r="Z343" s="45" t="n">
        <v>0.730639439300857</v>
      </c>
      <c r="AA343" s="45" t="n">
        <v>0.9402865329512889</v>
      </c>
      <c r="AB343" s="45" t="n">
        <v>0</v>
      </c>
      <c r="AC343" s="45" t="n"/>
      <c r="AD343" s="45" t="n"/>
      <c r="AE343" s="45" t="n">
        <v>0.972782615022677</v>
      </c>
      <c r="AF343" s="75">
        <f>IFERROR(AVERAGE(L343:U343),"")</f>
        <v/>
      </c>
      <c r="AG343" s="75">
        <f>IFERROR(AVERAGE(V343:AE343),"")</f>
        <v/>
      </c>
      <c r="AH343" s="75">
        <f>IFERROR(AVERAGE(B343:K343),"")</f>
        <v/>
      </c>
      <c r="AI343" s="45" t="n">
        <v>0.9251556396484381</v>
      </c>
      <c r="AJ343" s="47" t="n">
        <v>0.0527610778808594</v>
      </c>
    </row>
    <row r="344" ht="15" customHeight="1" s="30">
      <c r="A344" s="73" t="inlineStr">
        <is>
          <t>8776.jpg</t>
        </is>
      </c>
      <c r="B344" s="45" t="n"/>
      <c r="C344" s="45" t="n"/>
      <c r="D344" s="45" t="n"/>
      <c r="E344" s="45" t="n"/>
      <c r="F344" s="45" t="n">
        <v>0.894629797914233</v>
      </c>
      <c r="G344" s="45" t="n"/>
      <c r="H344" s="45" t="n">
        <v>0</v>
      </c>
      <c r="I344" s="45" t="n">
        <v>0.766550522648084</v>
      </c>
      <c r="J344" s="45" t="n"/>
      <c r="K344" s="45" t="n">
        <v>0.950497620077888</v>
      </c>
      <c r="L344" s="45" t="n"/>
      <c r="M344" s="45" t="n"/>
      <c r="N344" s="45" t="n"/>
      <c r="O344" s="45" t="n"/>
      <c r="P344" s="45" t="n">
        <v>0.969995542731133</v>
      </c>
      <c r="Q344" s="45" t="n"/>
      <c r="R344" s="45" t="n">
        <v>0</v>
      </c>
      <c r="S344" s="45" t="n">
        <v>0.956521739130435</v>
      </c>
      <c r="T344" s="45" t="n"/>
      <c r="U344" s="45" t="n">
        <v>0.987614414039206</v>
      </c>
      <c r="V344" s="45" t="n"/>
      <c r="W344" s="45" t="n"/>
      <c r="X344" s="45" t="n"/>
      <c r="Y344" s="45" t="n"/>
      <c r="Z344" s="45" t="n">
        <v>0.920091679832662</v>
      </c>
      <c r="AA344" s="45" t="n"/>
      <c r="AB344" s="45" t="n"/>
      <c r="AC344" s="45" t="n">
        <v>0.794223826714801</v>
      </c>
      <c r="AD344" s="45" t="n"/>
      <c r="AE344" s="45" t="n">
        <v>0.961964338397994</v>
      </c>
      <c r="AF344" s="75">
        <f>IFERROR(AVERAGE(L344:U344),"")</f>
        <v/>
      </c>
      <c r="AG344" s="75">
        <f>IFERROR(AVERAGE(V344:AE344),"")</f>
        <v/>
      </c>
      <c r="AH344" s="75">
        <f>IFERROR(AVERAGE(B344:K344),"")</f>
        <v/>
      </c>
      <c r="AI344" s="45" t="n">
        <v>0.954608917236328</v>
      </c>
      <c r="AJ344" s="47" t="n">
        <v>0.00787734985351563</v>
      </c>
    </row>
    <row r="345" ht="15" customHeight="1" s="30">
      <c r="A345" s="73" t="inlineStr">
        <is>
          <t>8778.jpg</t>
        </is>
      </c>
      <c r="B345" s="45" t="n"/>
      <c r="C345" s="45" t="n"/>
      <c r="D345" s="45" t="n"/>
      <c r="E345" s="45" t="n"/>
      <c r="F345" s="45" t="n">
        <v>0.817409338944486</v>
      </c>
      <c r="G345" s="45" t="n">
        <v>0</v>
      </c>
      <c r="H345" s="45" t="n">
        <v>0.896066051481302</v>
      </c>
      <c r="I345" s="45" t="n">
        <v>0.483985765124555</v>
      </c>
      <c r="J345" s="45" t="n"/>
      <c r="K345" s="45" t="n">
        <v>0.953509948375007</v>
      </c>
      <c r="L345" s="45" t="n"/>
      <c r="M345" s="45" t="n"/>
      <c r="N345" s="45" t="n"/>
      <c r="O345" s="45" t="n"/>
      <c r="P345" s="45" t="n">
        <v>0.908694094999329</v>
      </c>
      <c r="Q345" s="45" t="n"/>
      <c r="R345" s="45" t="n">
        <v>0.9206586826347311</v>
      </c>
      <c r="S345" s="45" t="n">
        <v>0.686868686868687</v>
      </c>
      <c r="T345" s="45" t="n"/>
      <c r="U345" s="45" t="n">
        <v>0.980823108650153</v>
      </c>
      <c r="V345" s="45" t="n"/>
      <c r="W345" s="45" t="n"/>
      <c r="X345" s="45" t="n"/>
      <c r="Y345" s="45" t="n"/>
      <c r="Z345" s="45" t="n">
        <v>0.890553703053703</v>
      </c>
      <c r="AA345" s="45" t="n">
        <v>0</v>
      </c>
      <c r="AB345" s="45" t="n">
        <v>0.9710526315789469</v>
      </c>
      <c r="AC345" s="45" t="n">
        <v>0.621004566210046</v>
      </c>
      <c r="AD345" s="45" t="n"/>
      <c r="AE345" s="45" t="n">
        <v>0.971623803617813</v>
      </c>
      <c r="AF345" s="75">
        <f>IFERROR(AVERAGE(L345:U345),"")</f>
        <v/>
      </c>
      <c r="AG345" s="75">
        <f>IFERROR(AVERAGE(V345:AE345),"")</f>
        <v/>
      </c>
      <c r="AH345" s="75">
        <f>IFERROR(AVERAGE(B345:K345),"")</f>
        <v/>
      </c>
      <c r="AI345" s="45" t="n">
        <v>0.954353332519531</v>
      </c>
      <c r="AJ345" s="47" t="n">
        <v>0.0137596130371094</v>
      </c>
    </row>
    <row r="346" ht="15" customHeight="1" s="30">
      <c r="A346" s="73" t="inlineStr">
        <is>
          <t>8781.jpg</t>
        </is>
      </c>
      <c r="B346" s="45" t="n"/>
      <c r="C346" s="45" t="n"/>
      <c r="D346" s="45" t="n"/>
      <c r="E346" s="45" t="n"/>
      <c r="F346" s="45" t="n">
        <v>0.844279661016949</v>
      </c>
      <c r="G346" s="45" t="n">
        <v>0.916067761806982</v>
      </c>
      <c r="H346" s="45" t="n">
        <v>0</v>
      </c>
      <c r="I346" s="45" t="n">
        <v>0.732919254658385</v>
      </c>
      <c r="J346" s="45" t="n"/>
      <c r="K346" s="45" t="n">
        <v>0.957139026489973</v>
      </c>
      <c r="L346" s="45" t="n"/>
      <c r="M346" s="45" t="n"/>
      <c r="N346" s="45" t="n"/>
      <c r="O346" s="45" t="n"/>
      <c r="P346" s="45" t="n">
        <v>0.942292534624479</v>
      </c>
      <c r="Q346" s="45" t="n">
        <v>0.945931619401007</v>
      </c>
      <c r="R346" s="45" t="n">
        <v>0</v>
      </c>
      <c r="S346" s="45" t="n">
        <v>0.975206611570248</v>
      </c>
      <c r="T346" s="45" t="n"/>
      <c r="U346" s="45" t="n">
        <v>0.9857032813173719</v>
      </c>
      <c r="V346" s="45" t="n"/>
      <c r="W346" s="45" t="n"/>
      <c r="X346" s="45" t="n"/>
      <c r="Y346" s="45" t="n"/>
      <c r="Z346" s="45" t="n">
        <v>0.890313314538007</v>
      </c>
      <c r="AA346" s="45" t="n">
        <v>0.966684723726977</v>
      </c>
      <c r="AB346" s="45" t="n"/>
      <c r="AC346" s="45" t="n">
        <v>0.746835443037975</v>
      </c>
      <c r="AD346" s="45" t="n"/>
      <c r="AE346" s="45" t="n">
        <v>0.970613491079096</v>
      </c>
      <c r="AF346" s="75">
        <f>IFERROR(AVERAGE(L346:U346),"")</f>
        <v/>
      </c>
      <c r="AG346" s="75">
        <f>IFERROR(AVERAGE(V346:AE346),"")</f>
        <v/>
      </c>
      <c r="AH346" s="75">
        <f>IFERROR(AVERAGE(B346:K346),"")</f>
        <v/>
      </c>
      <c r="AI346" s="45" t="n">
        <v>0.958740234375</v>
      </c>
      <c r="AJ346" s="47" t="n">
        <v>0.014739990234375</v>
      </c>
    </row>
    <row r="347" ht="15" customHeight="1" s="30">
      <c r="A347" s="73" t="inlineStr">
        <is>
          <t>8784.jpg</t>
        </is>
      </c>
      <c r="B347" s="45" t="n">
        <v>0</v>
      </c>
      <c r="C347" s="45" t="n"/>
      <c r="D347" s="45" t="n"/>
      <c r="E347" s="45" t="n"/>
      <c r="F347" s="45" t="n"/>
      <c r="G347" s="45" t="n">
        <v>0</v>
      </c>
      <c r="H347" s="45" t="n">
        <v>0</v>
      </c>
      <c r="I347" s="45" t="n"/>
      <c r="J347" s="45" t="n"/>
      <c r="K347" s="45" t="n">
        <v>0.958112469565445</v>
      </c>
      <c r="L347" s="45" t="n"/>
      <c r="M347" s="45" t="n"/>
      <c r="N347" s="45" t="n"/>
      <c r="O347" s="45" t="n"/>
      <c r="P347" s="45" t="n"/>
      <c r="Q347" s="45" t="n">
        <v>0</v>
      </c>
      <c r="R347" s="45" t="n">
        <v>0</v>
      </c>
      <c r="S347" s="45" t="n"/>
      <c r="T347" s="45" t="n"/>
      <c r="U347" s="45" t="n">
        <v>0.993092675527304</v>
      </c>
      <c r="V347" s="45" t="n">
        <v>0</v>
      </c>
      <c r="W347" s="45" t="n"/>
      <c r="X347" s="45" t="n"/>
      <c r="Y347" s="45" t="n"/>
      <c r="Z347" s="45" t="n"/>
      <c r="AA347" s="45" t="n"/>
      <c r="AB347" s="45" t="n"/>
      <c r="AC347" s="45" t="n"/>
      <c r="AD347" s="45" t="n"/>
      <c r="AE347" s="45" t="n">
        <v>0.9645401888091339</v>
      </c>
      <c r="AF347" s="75">
        <f>IFERROR(AVERAGE(L347:U347),"")</f>
        <v/>
      </c>
      <c r="AG347" s="75">
        <f>IFERROR(AVERAGE(V347:AE347),"")</f>
        <v/>
      </c>
      <c r="AH347" s="75">
        <f>IFERROR(AVERAGE(B347:K347),"")</f>
        <v/>
      </c>
      <c r="AI347" s="45" t="n">
        <v>0.839134216308594</v>
      </c>
      <c r="AJ347" s="47" t="n">
        <v>0.00084686279296875</v>
      </c>
    </row>
    <row r="348" ht="15" customHeight="1" s="30">
      <c r="A348" s="73" t="inlineStr">
        <is>
          <t>8789.jpg</t>
        </is>
      </c>
      <c r="B348" s="45" t="n">
        <v>0</v>
      </c>
      <c r="C348" s="45" t="n"/>
      <c r="D348" s="45" t="n">
        <v>0.931377133504793</v>
      </c>
      <c r="E348" s="45" t="n"/>
      <c r="F348" s="45" t="n"/>
      <c r="G348" s="45" t="n">
        <v>0</v>
      </c>
      <c r="H348" s="45" t="n">
        <v>0.847788263826646</v>
      </c>
      <c r="I348" s="45" t="n">
        <v>0.332129963898917</v>
      </c>
      <c r="J348" s="45" t="n"/>
      <c r="K348" s="45" t="n">
        <v>0.901580593356437</v>
      </c>
      <c r="L348" s="45" t="n"/>
      <c r="M348" s="45" t="n"/>
      <c r="N348" s="45" t="n">
        <v>0.965931134820563</v>
      </c>
      <c r="O348" s="45" t="n"/>
      <c r="P348" s="45" t="n"/>
      <c r="Q348" s="45" t="n">
        <v>0</v>
      </c>
      <c r="R348" s="45" t="n">
        <v>0.927228693345635</v>
      </c>
      <c r="S348" s="45" t="n">
        <v>0.541176470588235</v>
      </c>
      <c r="T348" s="45" t="n"/>
      <c r="U348" s="45" t="n">
        <v>0.92725628944486</v>
      </c>
      <c r="V348" s="45" t="n">
        <v>0</v>
      </c>
      <c r="W348" s="45" t="n"/>
      <c r="X348" s="45" t="n">
        <v>0.963012208388735</v>
      </c>
      <c r="Y348" s="45" t="n"/>
      <c r="Z348" s="45" t="n"/>
      <c r="AA348" s="45" t="n"/>
      <c r="AB348" s="45" t="n">
        <v>0.908218017509178</v>
      </c>
      <c r="AC348" s="45" t="n">
        <v>0.462311557788945</v>
      </c>
      <c r="AD348" s="45" t="n"/>
      <c r="AE348" s="45" t="n">
        <v>0.97020247039348</v>
      </c>
      <c r="AF348" s="75">
        <f>IFERROR(AVERAGE(L348:U348),"")</f>
        <v/>
      </c>
      <c r="AG348" s="75">
        <f>IFERROR(AVERAGE(V348:AE348),"")</f>
        <v/>
      </c>
      <c r="AH348" s="75">
        <f>IFERROR(AVERAGE(B348:K348),"")</f>
        <v/>
      </c>
      <c r="AI348" s="45" t="n">
        <v>0.498981475830078</v>
      </c>
      <c r="AJ348" s="47" t="n">
        <v>0.0111122131347656</v>
      </c>
    </row>
    <row r="349" ht="15" customHeight="1" s="30">
      <c r="A349" s="73" t="inlineStr">
        <is>
          <t>8810.jpg</t>
        </is>
      </c>
      <c r="B349" s="45" t="n"/>
      <c r="C349" s="45" t="n"/>
      <c r="D349" s="45" t="n">
        <v>0.790128664838642</v>
      </c>
      <c r="E349" s="45" t="n"/>
      <c r="F349" s="45" t="n"/>
      <c r="G349" s="45" t="n"/>
      <c r="H349" s="45" t="n">
        <v>0.667116145271485</v>
      </c>
      <c r="I349" s="45" t="n"/>
      <c r="J349" s="45" t="n">
        <v>0.827150084317032</v>
      </c>
      <c r="K349" s="45" t="n">
        <v>0.979013383644358</v>
      </c>
      <c r="L349" s="45" t="n"/>
      <c r="M349" s="45" t="n"/>
      <c r="N349" s="45" t="n">
        <v>0.98139900445376</v>
      </c>
      <c r="O349" s="45" t="n"/>
      <c r="P349" s="45" t="n"/>
      <c r="Q349" s="45" t="n"/>
      <c r="R349" s="45" t="n">
        <v>0.6989733446359609</v>
      </c>
      <c r="S349" s="45" t="n"/>
      <c r="T349" s="45" t="n">
        <v>0.9819819819819821</v>
      </c>
      <c r="U349" s="45" t="n">
        <v>0.994373781905396</v>
      </c>
      <c r="V349" s="45" t="n"/>
      <c r="W349" s="45" t="n"/>
      <c r="X349" s="45" t="n">
        <v>0.802141327623126</v>
      </c>
      <c r="Y349" s="45" t="n"/>
      <c r="Z349" s="45" t="n"/>
      <c r="AA349" s="45" t="n"/>
      <c r="AB349" s="45" t="n">
        <v>0.9360494450050451</v>
      </c>
      <c r="AC349" s="45" t="n"/>
      <c r="AD349" s="45" t="n">
        <v>0.839897260273973</v>
      </c>
      <c r="AE349" s="45" t="n">
        <v>0.984466647789329</v>
      </c>
      <c r="AF349" s="75">
        <f>IFERROR(AVERAGE(L349:U349),"")</f>
        <v/>
      </c>
      <c r="AG349" s="75">
        <f>IFERROR(AVERAGE(V349:AE349),"")</f>
        <v/>
      </c>
      <c r="AH349" s="75">
        <f>IFERROR(AVERAGE(B349:K349),"")</f>
        <v/>
      </c>
      <c r="AI349" s="45" t="n">
        <v>0.978466033935547</v>
      </c>
      <c r="AJ349" s="47" t="n">
        <v>0.00368118286132813</v>
      </c>
    </row>
    <row r="350" ht="15" customHeight="1" s="30">
      <c r="A350" s="73" t="inlineStr">
        <is>
          <t>8812.jpg</t>
        </is>
      </c>
      <c r="B350" s="45" t="n"/>
      <c r="C350" s="45" t="n"/>
      <c r="D350" s="45" t="n">
        <v>0.8236714975845409</v>
      </c>
      <c r="E350" s="45" t="n"/>
      <c r="F350" s="45" t="n">
        <v>0</v>
      </c>
      <c r="G350" s="45" t="n"/>
      <c r="H350" s="45" t="n">
        <v>0.630462724935733</v>
      </c>
      <c r="I350" s="45" t="n"/>
      <c r="J350" s="45" t="n">
        <v>0</v>
      </c>
      <c r="K350" s="45" t="n">
        <v>0.966773250650001</v>
      </c>
      <c r="L350" s="45" t="n"/>
      <c r="M350" s="45" t="n"/>
      <c r="N350" s="45" t="n">
        <v>0.900754716981132</v>
      </c>
      <c r="O350" s="45" t="n"/>
      <c r="P350" s="45" t="n">
        <v>0</v>
      </c>
      <c r="Q350" s="45" t="n"/>
      <c r="R350" s="45" t="n">
        <v>0.717105263157895</v>
      </c>
      <c r="S350" s="45" t="n"/>
      <c r="T350" s="45" t="n">
        <v>0</v>
      </c>
      <c r="U350" s="45" t="n">
        <v>0.993214377556015</v>
      </c>
      <c r="V350" s="45" t="n"/>
      <c r="W350" s="45" t="n"/>
      <c r="X350" s="45" t="n">
        <v>0.905882352941177</v>
      </c>
      <c r="Y350" s="45" t="n"/>
      <c r="Z350" s="45" t="n"/>
      <c r="AA350" s="45" t="n"/>
      <c r="AB350" s="45" t="n">
        <v>0.83917878528657</v>
      </c>
      <c r="AC350" s="45" t="n"/>
      <c r="AD350" s="45" t="n"/>
      <c r="AE350" s="45" t="n">
        <v>0.973201222485938</v>
      </c>
      <c r="AF350" s="75">
        <f>IFERROR(AVERAGE(L350:U350),"")</f>
        <v/>
      </c>
      <c r="AG350" s="75">
        <f>IFERROR(AVERAGE(V350:AE350),"")</f>
        <v/>
      </c>
      <c r="AH350" s="75">
        <f>IFERROR(AVERAGE(B350:K350),"")</f>
        <v/>
      </c>
      <c r="AI350" s="45" t="n">
        <v>0.966987609863281</v>
      </c>
      <c r="AJ350" s="47" t="n">
        <v>0.00315093994140625</v>
      </c>
    </row>
    <row r="351" ht="15" customHeight="1" s="30">
      <c r="A351" s="73" t="inlineStr">
        <is>
          <t>8814.jpg</t>
        </is>
      </c>
      <c r="B351" s="45" t="n"/>
      <c r="C351" s="45" t="n"/>
      <c r="D351" s="45" t="n">
        <v>0.7739496453347881</v>
      </c>
      <c r="E351" s="45" t="n"/>
      <c r="F351" s="45" t="n"/>
      <c r="G351" s="45" t="n"/>
      <c r="H351" s="45" t="n">
        <v>0.667270952447358</v>
      </c>
      <c r="I351" s="45" t="n"/>
      <c r="J351" s="45" t="n">
        <v>0.805453431372549</v>
      </c>
      <c r="K351" s="45" t="n">
        <v>0.976235515702412</v>
      </c>
      <c r="L351" s="45" t="n"/>
      <c r="M351" s="45" t="n"/>
      <c r="N351" s="45" t="n">
        <v>0.943462561763588</v>
      </c>
      <c r="O351" s="45" t="n"/>
      <c r="P351" s="45" t="n"/>
      <c r="Q351" s="45" t="n"/>
      <c r="R351" s="45" t="n">
        <v>0.691074523396881</v>
      </c>
      <c r="S351" s="45" t="n"/>
      <c r="T351" s="45" t="n">
        <v>0.920518207282913</v>
      </c>
      <c r="U351" s="45" t="n">
        <v>0.990079521624484</v>
      </c>
      <c r="V351" s="45" t="n"/>
      <c r="W351" s="45" t="n"/>
      <c r="X351" s="45" t="n">
        <v>0.811590649010953</v>
      </c>
      <c r="Y351" s="45" t="n"/>
      <c r="Z351" s="45" t="n"/>
      <c r="AA351" s="45" t="n"/>
      <c r="AB351" s="45" t="n">
        <v>0.950914149443561</v>
      </c>
      <c r="AC351" s="45" t="n"/>
      <c r="AD351" s="45" t="n">
        <v>0.865656898254857</v>
      </c>
      <c r="AE351" s="45" t="n">
        <v>0.98587915200483</v>
      </c>
      <c r="AF351" s="75">
        <f>IFERROR(AVERAGE(L351:U351),"")</f>
        <v/>
      </c>
      <c r="AG351" s="75">
        <f>IFERROR(AVERAGE(V351:AE351),"")</f>
        <v/>
      </c>
      <c r="AH351" s="75">
        <f>IFERROR(AVERAGE(B351:K351),"")</f>
        <v/>
      </c>
      <c r="AI351" s="45" t="n">
        <v>0.975681304931641</v>
      </c>
      <c r="AJ351" s="47" t="n">
        <v>0.00391006469726563</v>
      </c>
    </row>
    <row r="352" ht="15" customHeight="1" s="30">
      <c r="A352" s="73" t="inlineStr">
        <is>
          <t>8815.jpg</t>
        </is>
      </c>
      <c r="B352" s="45" t="n"/>
      <c r="C352" s="45" t="n"/>
      <c r="D352" s="45" t="n">
        <v>0.7430287814937691</v>
      </c>
      <c r="E352" s="45" t="n"/>
      <c r="F352" s="45" t="n"/>
      <c r="G352" s="45" t="n"/>
      <c r="H352" s="45" t="n">
        <v>0.650473317382711</v>
      </c>
      <c r="I352" s="45" t="n">
        <v>0.336677814938685</v>
      </c>
      <c r="J352" s="45" t="n">
        <v>0.603851444291609</v>
      </c>
      <c r="K352" s="45" t="n">
        <v>0.973181250153145</v>
      </c>
      <c r="L352" s="45" t="n"/>
      <c r="M352" s="45" t="n"/>
      <c r="N352" s="45" t="n">
        <v>0.913872959858844</v>
      </c>
      <c r="O352" s="45" t="n"/>
      <c r="P352" s="45" t="n"/>
      <c r="Q352" s="45" t="n"/>
      <c r="R352" s="45" t="n">
        <v>0.730149462867819</v>
      </c>
      <c r="S352" s="45" t="n">
        <v>0.413698630136986</v>
      </c>
      <c r="T352" s="45" t="n">
        <v>0.837786259541985</v>
      </c>
      <c r="U352" s="45" t="n">
        <v>0.9884234103446849</v>
      </c>
      <c r="V352" s="45" t="n"/>
      <c r="W352" s="45" t="n"/>
      <c r="X352" s="45" t="n">
        <v>0.798978017740069</v>
      </c>
      <c r="Y352" s="45" t="n"/>
      <c r="Z352" s="45" t="n"/>
      <c r="AA352" s="45" t="n"/>
      <c r="AB352" s="45" t="n">
        <v>0.856340728567516</v>
      </c>
      <c r="AC352" s="45" t="n">
        <v>0.643923240938166</v>
      </c>
      <c r="AD352" s="45" t="n">
        <v>0.68380062305296</v>
      </c>
      <c r="AE352" s="45" t="n">
        <v>0.984401528451926</v>
      </c>
      <c r="AF352" s="75">
        <f>IFERROR(AVERAGE(L352:U352),"")</f>
        <v/>
      </c>
      <c r="AG352" s="75">
        <f>IFERROR(AVERAGE(V352:AE352),"")</f>
        <v/>
      </c>
      <c r="AH352" s="75">
        <f>IFERROR(AVERAGE(B352:K352),"")</f>
        <v/>
      </c>
      <c r="AI352" s="45" t="n">
        <v>0.970680236816406</v>
      </c>
      <c r="AJ352" s="47" t="n">
        <v>0.0042724609375</v>
      </c>
    </row>
    <row r="353" ht="15" customHeight="1" s="30">
      <c r="A353" s="73" t="inlineStr">
        <is>
          <t>8860.jpg</t>
        </is>
      </c>
      <c r="B353" s="45" t="n">
        <v>0</v>
      </c>
      <c r="C353" s="45" t="n"/>
      <c r="D353" s="45" t="n"/>
      <c r="E353" s="45" t="n"/>
      <c r="F353" s="45" t="n"/>
      <c r="G353" s="45" t="n">
        <v>0</v>
      </c>
      <c r="H353" s="45" t="n"/>
      <c r="I353" s="45" t="n"/>
      <c r="J353" s="45" t="n"/>
      <c r="K353" s="45" t="n">
        <v>0.9933218249621</v>
      </c>
      <c r="L353" s="45" t="n"/>
      <c r="M353" s="45" t="n"/>
      <c r="N353" s="45" t="n"/>
      <c r="O353" s="45" t="n"/>
      <c r="P353" s="45" t="n"/>
      <c r="Q353" s="45" t="n">
        <v>0</v>
      </c>
      <c r="R353" s="45" t="n"/>
      <c r="S353" s="45" t="n"/>
      <c r="T353" s="45" t="n"/>
      <c r="U353" s="45" t="n">
        <v>0.994515873499482</v>
      </c>
      <c r="V353" s="45" t="n">
        <v>0</v>
      </c>
      <c r="W353" s="45" t="n"/>
      <c r="X353" s="45" t="n"/>
      <c r="Y353" s="45" t="n"/>
      <c r="Z353" s="45" t="n"/>
      <c r="AA353" s="45" t="n"/>
      <c r="AB353" s="45" t="n"/>
      <c r="AC353" s="45" t="n"/>
      <c r="AD353" s="45" t="n"/>
      <c r="AE353" s="45" t="n">
        <v>0.998792754300465</v>
      </c>
      <c r="AF353" s="75">
        <f>IFERROR(AVERAGE(L353:U353),"")</f>
        <v/>
      </c>
      <c r="AG353" s="75">
        <f>IFERROR(AVERAGE(V353:AE353),"")</f>
        <v/>
      </c>
      <c r="AH353" s="75">
        <f>IFERROR(AVERAGE(B353:K353),"")</f>
        <v/>
      </c>
      <c r="AI353" s="45" t="n">
        <v>0.684856414794922</v>
      </c>
      <c r="AJ353" s="47" t="n">
        <v>0.00290298461914063</v>
      </c>
    </row>
    <row r="354" ht="15" customHeight="1" s="30">
      <c r="A354" s="73" t="inlineStr">
        <is>
          <t>8898.jpg</t>
        </is>
      </c>
      <c r="B354" s="45" t="n"/>
      <c r="C354" s="45" t="n"/>
      <c r="D354" s="45" t="n"/>
      <c r="E354" s="45" t="n"/>
      <c r="F354" s="45" t="n">
        <v>0.91615862184686</v>
      </c>
      <c r="G354" s="45" t="n">
        <v>0.964321044648157</v>
      </c>
      <c r="H354" s="45" t="n">
        <v>0</v>
      </c>
      <c r="I354" s="45" t="n"/>
      <c r="J354" s="45" t="n"/>
      <c r="K354" s="45" t="n">
        <v>0.9556631366616239</v>
      </c>
      <c r="L354" s="45" t="n"/>
      <c r="M354" s="45" t="n"/>
      <c r="N354" s="45" t="n"/>
      <c r="O354" s="45" t="n"/>
      <c r="P354" s="45" t="n">
        <v>0.955269143290372</v>
      </c>
      <c r="Q354" s="45" t="n">
        <v>0.96988591138233</v>
      </c>
      <c r="R354" s="45" t="n"/>
      <c r="S354" s="45" t="n"/>
      <c r="T354" s="45" t="n"/>
      <c r="U354" s="45" t="n">
        <v>0.998124973665361</v>
      </c>
      <c r="V354" s="45" t="n"/>
      <c r="W354" s="45" t="n"/>
      <c r="X354" s="45" t="n"/>
      <c r="Y354" s="45" t="n"/>
      <c r="Z354" s="45" t="n">
        <v>0.957223001402525</v>
      </c>
      <c r="AA354" s="45" t="n">
        <v>0.994085253926168</v>
      </c>
      <c r="AB354" s="45" t="n">
        <v>0</v>
      </c>
      <c r="AC354" s="45" t="n"/>
      <c r="AD354" s="45" t="n"/>
      <c r="AE354" s="45" t="n">
        <v>0.957381885785879</v>
      </c>
      <c r="AF354" s="75">
        <f>IFERROR(AVERAGE(L354:U354),"")</f>
        <v/>
      </c>
      <c r="AG354" s="75">
        <f>IFERROR(AVERAGE(V354:AE354),"")</f>
        <v/>
      </c>
      <c r="AH354" s="75">
        <f>IFERROR(AVERAGE(B354:K354),"")</f>
        <v/>
      </c>
      <c r="AI354" s="45" t="n">
        <v>0.959442138671875</v>
      </c>
      <c r="AJ354" s="47" t="n">
        <v>0.0298843383789063</v>
      </c>
    </row>
    <row r="355" ht="15" customHeight="1" s="30">
      <c r="A355" s="73" t="inlineStr">
        <is>
          <t>8902.jpg</t>
        </is>
      </c>
      <c r="B355" s="45" t="n"/>
      <c r="C355" s="45" t="n"/>
      <c r="D355" s="45" t="n"/>
      <c r="E355" s="45" t="n"/>
      <c r="F355" s="45" t="n">
        <v>0.925169894881519</v>
      </c>
      <c r="G355" s="45" t="n">
        <v>0.949688847914129</v>
      </c>
      <c r="H355" s="45" t="n">
        <v>0</v>
      </c>
      <c r="I355" s="45" t="n"/>
      <c r="J355" s="45" t="n"/>
      <c r="K355" s="45" t="n">
        <v>0.956499433092034</v>
      </c>
      <c r="L355" s="45" t="n"/>
      <c r="M355" s="45" t="n"/>
      <c r="N355" s="45" t="n"/>
      <c r="O355" s="45" t="n"/>
      <c r="P355" s="45" t="n">
        <v>0.9522923762116851</v>
      </c>
      <c r="Q355" s="45" t="n">
        <v>0.982658762605615</v>
      </c>
      <c r="R355" s="45" t="n"/>
      <c r="S355" s="45" t="n"/>
      <c r="T355" s="45" t="n"/>
      <c r="U355" s="45" t="n">
        <v>0.994479205005521</v>
      </c>
      <c r="V355" s="45" t="n"/>
      <c r="W355" s="45" t="n"/>
      <c r="X355" s="45" t="n"/>
      <c r="Y355" s="45" t="n"/>
      <c r="Z355" s="45" t="n">
        <v>0.970134514785951</v>
      </c>
      <c r="AA355" s="45" t="n">
        <v>0.965876364610542</v>
      </c>
      <c r="AB355" s="45" t="n">
        <v>0</v>
      </c>
      <c r="AC355" s="45" t="n"/>
      <c r="AD355" s="45" t="n"/>
      <c r="AE355" s="45" t="n">
        <v>0.961605512631394</v>
      </c>
      <c r="AF355" s="75">
        <f>IFERROR(AVERAGE(L355:U355),"")</f>
        <v/>
      </c>
      <c r="AG355" s="75">
        <f>IFERROR(AVERAGE(V355:AE355),"")</f>
        <v/>
      </c>
      <c r="AH355" s="75">
        <f>IFERROR(AVERAGE(B355:K355),"")</f>
        <v/>
      </c>
      <c r="AI355" s="45" t="n">
        <v>0.959892272949219</v>
      </c>
      <c r="AJ355" s="47" t="n">
        <v>0.0272712707519531</v>
      </c>
    </row>
    <row r="356" ht="15" customHeight="1" s="30">
      <c r="A356" s="73" t="inlineStr">
        <is>
          <t>8912.jpg</t>
        </is>
      </c>
      <c r="B356" s="45" t="n"/>
      <c r="C356" s="45" t="n"/>
      <c r="D356" s="45" t="n"/>
      <c r="E356" s="45" t="n"/>
      <c r="F356" s="45" t="n">
        <v>0.917533390167661</v>
      </c>
      <c r="G356" s="45" t="n">
        <v>0.958192457737321</v>
      </c>
      <c r="H356" s="45" t="n">
        <v>0</v>
      </c>
      <c r="I356" s="45" t="n">
        <v>0.683333333333333</v>
      </c>
      <c r="J356" s="45" t="n"/>
      <c r="K356" s="45" t="n">
        <v>0.959562479284057</v>
      </c>
      <c r="L356" s="45" t="n"/>
      <c r="M356" s="45" t="n"/>
      <c r="N356" s="45" t="n"/>
      <c r="O356" s="45" t="n"/>
      <c r="P356" s="45" t="n">
        <v>0.976737150981638</v>
      </c>
      <c r="Q356" s="45" t="n">
        <v>0.964316094837176</v>
      </c>
      <c r="R356" s="45" t="n">
        <v>0</v>
      </c>
      <c r="S356" s="45" t="n">
        <v>0.702054794520548</v>
      </c>
      <c r="T356" s="45" t="n"/>
      <c r="U356" s="45" t="n">
        <v>0.992943491706494</v>
      </c>
      <c r="V356" s="45" t="n"/>
      <c r="W356" s="45" t="n"/>
      <c r="X356" s="45" t="n"/>
      <c r="Y356" s="45" t="n"/>
      <c r="Z356" s="45" t="n">
        <v>0.938032015339473</v>
      </c>
      <c r="AA356" s="45" t="n">
        <v>0.993416322128348</v>
      </c>
      <c r="AB356" s="45" t="n">
        <v>0</v>
      </c>
      <c r="AC356" s="45" t="n">
        <v>0.962441314553991</v>
      </c>
      <c r="AD356" s="45" t="n"/>
      <c r="AE356" s="45" t="n">
        <v>0.966150933899399</v>
      </c>
      <c r="AF356" s="75">
        <f>IFERROR(AVERAGE(L356:U356),"")</f>
        <v/>
      </c>
      <c r="AG356" s="75">
        <f>IFERROR(AVERAGE(V356:AE356),"")</f>
        <v/>
      </c>
      <c r="AH356" s="75">
        <f>IFERROR(AVERAGE(B356:K356),"")</f>
        <v/>
      </c>
      <c r="AI356" s="45" t="n">
        <v>0.966259002685547</v>
      </c>
      <c r="AJ356" s="47" t="n">
        <v>0.0151634216308594</v>
      </c>
    </row>
    <row r="357" ht="15" customHeight="1" s="30">
      <c r="A357" s="73" t="inlineStr">
        <is>
          <t>8919.jpg</t>
        </is>
      </c>
      <c r="B357" s="45" t="n"/>
      <c r="C357" s="45" t="n"/>
      <c r="D357" s="45" t="n"/>
      <c r="E357" s="45" t="n"/>
      <c r="F357" s="45" t="n">
        <v>0.877918720206835</v>
      </c>
      <c r="G357" s="45" t="n">
        <v>0.964347218989993</v>
      </c>
      <c r="H357" s="45" t="n">
        <v>0.820854132002219</v>
      </c>
      <c r="I357" s="45" t="n"/>
      <c r="J357" s="45" t="n"/>
      <c r="K357" s="45" t="n">
        <v>0.950505836575876</v>
      </c>
      <c r="L357" s="45" t="n"/>
      <c r="M357" s="45" t="n"/>
      <c r="N357" s="45" t="n"/>
      <c r="O357" s="45" t="n"/>
      <c r="P357" s="45" t="n">
        <v>0.904419720888938</v>
      </c>
      <c r="Q357" s="45" t="n">
        <v>0.969015270210229</v>
      </c>
      <c r="R357" s="45" t="n">
        <v>0.824972129319955</v>
      </c>
      <c r="S357" s="45" t="n"/>
      <c r="T357" s="45" t="n"/>
      <c r="U357" s="45" t="n">
        <v>0.9943796882720209</v>
      </c>
      <c r="V357" s="45" t="n"/>
      <c r="W357" s="45" t="n"/>
      <c r="X357" s="45" t="n"/>
      <c r="Y357" s="45" t="n"/>
      <c r="Z357" s="45" t="n">
        <v>0.967701715846346</v>
      </c>
      <c r="AA357" s="45" t="n">
        <v>0.995029415295954</v>
      </c>
      <c r="AB357" s="45" t="n">
        <v>0.993955674949631</v>
      </c>
      <c r="AC357" s="45" t="n"/>
      <c r="AD357" s="45" t="n"/>
      <c r="AE357" s="45" t="n">
        <v>0.955639852366666</v>
      </c>
      <c r="AF357" s="75">
        <f>IFERROR(AVERAGE(L357:U357),"")</f>
        <v/>
      </c>
      <c r="AG357" s="75">
        <f>IFERROR(AVERAGE(V357:AE357),"")</f>
        <v/>
      </c>
      <c r="AH357" s="75">
        <f>IFERROR(AVERAGE(B357:K357),"")</f>
        <v/>
      </c>
      <c r="AI357" s="45" t="n">
        <v>0.963665008544922</v>
      </c>
      <c r="AJ357" s="47" t="n">
        <v>0.01312255859375</v>
      </c>
    </row>
    <row r="358" ht="15" customHeight="1" s="30">
      <c r="A358" s="73" t="inlineStr">
        <is>
          <t>8926.jpg</t>
        </is>
      </c>
      <c r="B358" s="45" t="n"/>
      <c r="C358" s="45" t="n"/>
      <c r="D358" s="45" t="n"/>
      <c r="E358" s="45" t="n"/>
      <c r="F358" s="45" t="n">
        <v>0.848130205214741</v>
      </c>
      <c r="G358" s="45" t="n">
        <v>0.9700423757619711</v>
      </c>
      <c r="H358" s="45" t="n">
        <v>0.495289855072464</v>
      </c>
      <c r="I358" s="45" t="n"/>
      <c r="J358" s="45" t="n"/>
      <c r="K358" s="45" t="n">
        <v>0.933730314273595</v>
      </c>
      <c r="L358" s="45" t="n"/>
      <c r="M358" s="45" t="n"/>
      <c r="N358" s="45" t="n"/>
      <c r="O358" s="45" t="n"/>
      <c r="P358" s="45" t="n">
        <v>0.85817360652126</v>
      </c>
      <c r="Q358" s="45" t="n">
        <v>0.971274930229392</v>
      </c>
      <c r="R358" s="45" t="n">
        <v>0.6607056549057519</v>
      </c>
      <c r="S358" s="45" t="n"/>
      <c r="T358" s="45" t="n"/>
      <c r="U358" s="45" t="n">
        <v>0.996515859144437</v>
      </c>
      <c r="V358" s="45" t="n"/>
      <c r="W358" s="45" t="n"/>
      <c r="X358" s="45" t="n"/>
      <c r="Y358" s="45" t="n"/>
      <c r="Z358" s="45" t="n">
        <v>0.986388959230185</v>
      </c>
      <c r="AA358" s="45" t="n">
        <v>0.998693511886709</v>
      </c>
      <c r="AB358" s="45" t="n">
        <v>0.664237123420797</v>
      </c>
      <c r="AC358" s="45" t="n"/>
      <c r="AD358" s="45" t="n"/>
      <c r="AE358" s="45" t="n">
        <v>0.936788575184102</v>
      </c>
      <c r="AF358" s="75">
        <f>IFERROR(AVERAGE(L358:U358),"")</f>
        <v/>
      </c>
      <c r="AG358" s="75">
        <f>IFERROR(AVERAGE(V358:AE358),"")</f>
        <v/>
      </c>
      <c r="AH358" s="75">
        <f>IFERROR(AVERAGE(B358:K358),"")</f>
        <v/>
      </c>
      <c r="AI358" s="45" t="n">
        <v>0.950748443603516</v>
      </c>
      <c r="AJ358" s="47" t="n">
        <v>0.0197792053222656</v>
      </c>
    </row>
    <row r="359" ht="15" customHeight="1" s="30">
      <c r="A359" s="73" t="inlineStr">
        <is>
          <t>8930.jpg</t>
        </is>
      </c>
      <c r="B359" s="45" t="n"/>
      <c r="C359" s="45" t="n"/>
      <c r="D359" s="45" t="n"/>
      <c r="E359" s="45" t="n"/>
      <c r="F359" s="45" t="n">
        <v>0.86170153880217</v>
      </c>
      <c r="G359" s="45" t="n">
        <v>0.978711254254323</v>
      </c>
      <c r="H359" s="45" t="n">
        <v>0.714808652246256</v>
      </c>
      <c r="I359" s="45" t="n">
        <v>0.869120654396728</v>
      </c>
      <c r="J359" s="45" t="n"/>
      <c r="K359" s="45" t="n">
        <v>0.958386666303549</v>
      </c>
      <c r="L359" s="45" t="n"/>
      <c r="M359" s="45" t="n"/>
      <c r="N359" s="45" t="n"/>
      <c r="O359" s="45" t="n"/>
      <c r="P359" s="45" t="n">
        <v>0.915708361518779</v>
      </c>
      <c r="Q359" s="45" t="n">
        <v>0.983676936498462</v>
      </c>
      <c r="R359" s="45" t="n">
        <v>0.771274685816876</v>
      </c>
      <c r="S359" s="45" t="n">
        <v>0.889121338912134</v>
      </c>
      <c r="T359" s="45" t="n"/>
      <c r="U359" s="45" t="n">
        <v>0.996663721225304</v>
      </c>
      <c r="V359" s="45" t="n"/>
      <c r="W359" s="45" t="n"/>
      <c r="X359" s="45" t="n"/>
      <c r="Y359" s="45" t="n"/>
      <c r="Z359" s="45" t="n">
        <v>0.9359406000120239</v>
      </c>
      <c r="AA359" s="45" t="n">
        <v>0.994868579920126</v>
      </c>
      <c r="AB359" s="45" t="n">
        <v>0.907094594594595</v>
      </c>
      <c r="AC359" s="45" t="n">
        <v>0.974770642201835</v>
      </c>
      <c r="AD359" s="45" t="n"/>
      <c r="AE359" s="45" t="n">
        <v>0.9614712085942539</v>
      </c>
      <c r="AF359" s="75">
        <f>IFERROR(AVERAGE(L359:U359),"")</f>
        <v/>
      </c>
      <c r="AG359" s="75">
        <f>IFERROR(AVERAGE(V359:AE359),"")</f>
        <v/>
      </c>
      <c r="AH359" s="75">
        <f>IFERROR(AVERAGE(B359:K359),"")</f>
        <v/>
      </c>
      <c r="AI359" s="45" t="n">
        <v>0.963249206542969</v>
      </c>
      <c r="AJ359" s="47" t="n">
        <v>0.0182266235351563</v>
      </c>
    </row>
    <row r="360" ht="15" customHeight="1" s="30">
      <c r="A360" s="73" t="inlineStr">
        <is>
          <t>8934.jpg</t>
        </is>
      </c>
      <c r="B360" s="45" t="n"/>
      <c r="C360" s="45" t="n"/>
      <c r="D360" s="45" t="n"/>
      <c r="E360" s="45" t="n"/>
      <c r="F360" s="45" t="n">
        <v>0.862424160101422</v>
      </c>
      <c r="G360" s="45" t="n">
        <v>0.976641196851839</v>
      </c>
      <c r="H360" s="45" t="n">
        <v>0</v>
      </c>
      <c r="I360" s="45" t="n">
        <v>0.801242236024845</v>
      </c>
      <c r="J360" s="45" t="n"/>
      <c r="K360" s="45" t="n">
        <v>0.9543702445728079</v>
      </c>
      <c r="L360" s="45" t="n"/>
      <c r="M360" s="45" t="n"/>
      <c r="N360" s="45" t="n"/>
      <c r="O360" s="45" t="n"/>
      <c r="P360" s="45" t="n">
        <v>0.968205154272353</v>
      </c>
      <c r="Q360" s="45" t="n">
        <v>0.979315263908702</v>
      </c>
      <c r="R360" s="45" t="n">
        <v>0</v>
      </c>
      <c r="S360" s="45" t="n">
        <v>0.938181818181818</v>
      </c>
      <c r="T360" s="45" t="n"/>
      <c r="U360" s="45" t="n">
        <v>0.984044514077692</v>
      </c>
      <c r="V360" s="45" t="n"/>
      <c r="W360" s="45" t="n"/>
      <c r="X360" s="45" t="n"/>
      <c r="Y360" s="45" t="n"/>
      <c r="Z360" s="45" t="n">
        <v>0.887560867640549</v>
      </c>
      <c r="AA360" s="45" t="n">
        <v>0.997211939459257</v>
      </c>
      <c r="AB360" s="45" t="n"/>
      <c r="AC360" s="45" t="n">
        <v>0.845901639344262</v>
      </c>
      <c r="AD360" s="45" t="n"/>
      <c r="AE360" s="45" t="n">
        <v>0.969370616673097</v>
      </c>
      <c r="AF360" s="75">
        <f>IFERROR(AVERAGE(L360:U360),"")</f>
        <v/>
      </c>
      <c r="AG360" s="75">
        <f>IFERROR(AVERAGE(V360:AE360),"")</f>
        <v/>
      </c>
      <c r="AH360" s="75">
        <f>IFERROR(AVERAGE(B360:K360),"")</f>
        <v/>
      </c>
      <c r="AI360" s="45" t="n">
        <v>0.960365295410156</v>
      </c>
      <c r="AJ360" s="47" t="n">
        <v>0.00820159912109375</v>
      </c>
    </row>
    <row r="361" ht="15" customHeight="1" s="30">
      <c r="A361" s="73" t="inlineStr">
        <is>
          <t>8937.jpg</t>
        </is>
      </c>
      <c r="B361" s="45" t="n"/>
      <c r="C361" s="45" t="n"/>
      <c r="D361" s="45" t="n"/>
      <c r="E361" s="45" t="n"/>
      <c r="F361" s="45" t="n">
        <v>0.922925587316283</v>
      </c>
      <c r="G361" s="45" t="n">
        <v>0.883734586024662</v>
      </c>
      <c r="H361" s="45" t="n">
        <v>0.553406593406593</v>
      </c>
      <c r="I361" s="45" t="n">
        <v>0.856573705179283</v>
      </c>
      <c r="J361" s="45" t="n"/>
      <c r="K361" s="45" t="n">
        <v>0.620429264118654</v>
      </c>
      <c r="L361" s="45" t="n"/>
      <c r="M361" s="45" t="n"/>
      <c r="N361" s="45" t="n"/>
      <c r="O361" s="45" t="n"/>
      <c r="P361" s="45" t="n">
        <v>0.967112124372438</v>
      </c>
      <c r="Q361" s="45" t="n">
        <v>0.906878650227125</v>
      </c>
      <c r="R361" s="45" t="n">
        <v>0.643331630045989</v>
      </c>
      <c r="S361" s="45" t="n">
        <v>0.970654627539503</v>
      </c>
      <c r="T361" s="45" t="n"/>
      <c r="U361" s="45" t="n">
        <v>0.971733303551485</v>
      </c>
      <c r="V361" s="45" t="n"/>
      <c r="W361" s="45" t="n"/>
      <c r="X361" s="45" t="n"/>
      <c r="Y361" s="45" t="n"/>
      <c r="Z361" s="45" t="n">
        <v>0.952830414107864</v>
      </c>
      <c r="AA361" s="45" t="n">
        <v>0.9719324391455541</v>
      </c>
      <c r="AB361" s="45" t="n">
        <v>0.798351299936589</v>
      </c>
      <c r="AC361" s="45" t="n">
        <v>0.879345603271984</v>
      </c>
      <c r="AD361" s="45" t="n"/>
      <c r="AE361" s="45" t="n">
        <v>0.631832342112716</v>
      </c>
      <c r="AF361" s="75">
        <f>IFERROR(AVERAGE(L361:U361),"")</f>
        <v/>
      </c>
      <c r="AG361" s="75">
        <f>IFERROR(AVERAGE(V361:AE361),"")</f>
        <v/>
      </c>
      <c r="AH361" s="75">
        <f>IFERROR(AVERAGE(B361:K361),"")</f>
        <v/>
      </c>
      <c r="AI361" s="45" t="n">
        <v>0.789005279541016</v>
      </c>
      <c r="AJ361" s="47" t="n">
        <v>0.162799835205078</v>
      </c>
    </row>
    <row r="362" ht="15" customHeight="1" s="30">
      <c r="A362" s="73" t="inlineStr">
        <is>
          <t>8942.jpg</t>
        </is>
      </c>
      <c r="B362" s="45" t="n"/>
      <c r="C362" s="45" t="n"/>
      <c r="D362" s="45" t="n"/>
      <c r="E362" s="45" t="n"/>
      <c r="F362" s="45" t="n">
        <v>0.916430652209095</v>
      </c>
      <c r="G362" s="45" t="n">
        <v>0.962894067834144</v>
      </c>
      <c r="H362" s="45" t="n"/>
      <c r="I362" s="45" t="n">
        <v>0.8912</v>
      </c>
      <c r="J362" s="45" t="n"/>
      <c r="K362" s="45" t="n">
        <v>0.9141390837610061</v>
      </c>
      <c r="L362" s="45" t="n"/>
      <c r="M362" s="45" t="n"/>
      <c r="N362" s="45" t="n"/>
      <c r="O362" s="45" t="n"/>
      <c r="P362" s="45" t="n">
        <v>0.970666380972788</v>
      </c>
      <c r="Q362" s="45" t="n">
        <v>0.986326228779341</v>
      </c>
      <c r="R362" s="45" t="n"/>
      <c r="S362" s="45" t="n">
        <v>0.913114754098361</v>
      </c>
      <c r="T362" s="45" t="n"/>
      <c r="U362" s="45" t="n">
        <v>0.959742558008483</v>
      </c>
      <c r="V362" s="45" t="n"/>
      <c r="W362" s="45" t="n"/>
      <c r="X362" s="45" t="n"/>
      <c r="Y362" s="45" t="n"/>
      <c r="Z362" s="45" t="n">
        <v>0.942533757776252</v>
      </c>
      <c r="AA362" s="45" t="n">
        <v>0.975921570035732</v>
      </c>
      <c r="AB362" s="45" t="n"/>
      <c r="AC362" s="45" t="n">
        <v>0.973776223776224</v>
      </c>
      <c r="AD362" s="45" t="n"/>
      <c r="AE362" s="45" t="n">
        <v>0.950588995622925</v>
      </c>
      <c r="AF362" s="75">
        <f>IFERROR(AVERAGE(L362:U362),"")</f>
        <v/>
      </c>
      <c r="AG362" s="75">
        <f>IFERROR(AVERAGE(V362:AE362),"")</f>
        <v/>
      </c>
      <c r="AH362" s="75">
        <f>IFERROR(AVERAGE(B362:K362),"")</f>
        <v/>
      </c>
      <c r="AI362" s="45" t="n">
        <v>0.959926605224609</v>
      </c>
      <c r="AJ362" s="47" t="n">
        <v>0.01336669921875</v>
      </c>
    </row>
    <row r="363" ht="15" customHeight="1" s="30">
      <c r="A363" s="73" t="inlineStr">
        <is>
          <t>8945.jpg</t>
        </is>
      </c>
      <c r="B363" s="45" t="n"/>
      <c r="C363" s="45" t="n"/>
      <c r="D363" s="45" t="n">
        <v>0.882662331452616</v>
      </c>
      <c r="E363" s="45" t="n"/>
      <c r="F363" s="45" t="n">
        <v>0.906492020352698</v>
      </c>
      <c r="G363" s="45" t="n">
        <v>0.962416132124161</v>
      </c>
      <c r="H363" s="45" t="n">
        <v>0.766541499417325</v>
      </c>
      <c r="I363" s="45" t="n">
        <v>0.846643109540636</v>
      </c>
      <c r="J363" s="45" t="n"/>
      <c r="K363" s="45" t="n">
        <v>0.93826264981832</v>
      </c>
      <c r="L363" s="45" t="n"/>
      <c r="M363" s="45" t="n"/>
      <c r="N363" s="45" t="n">
        <v>0.986321863646078</v>
      </c>
      <c r="O363" s="45" t="n"/>
      <c r="P363" s="45" t="n">
        <v>0.9610893255627529</v>
      </c>
      <c r="Q363" s="45" t="n">
        <v>0.974104960728345</v>
      </c>
      <c r="R363" s="45" t="n">
        <v>0.844748858447489</v>
      </c>
      <c r="S363" s="45" t="n">
        <v>0.946287519747235</v>
      </c>
      <c r="T363" s="45" t="n"/>
      <c r="U363" s="45" t="n">
        <v>0.974072588307329</v>
      </c>
      <c r="V363" s="45" t="n"/>
      <c r="W363" s="45" t="n"/>
      <c r="X363" s="45" t="n">
        <v>0.893600542162843</v>
      </c>
      <c r="Y363" s="45" t="n"/>
      <c r="Z363" s="45" t="n">
        <v>0.941027979890117</v>
      </c>
      <c r="AA363" s="45" t="n">
        <v>0.987685381355932</v>
      </c>
      <c r="AB363" s="45" t="n">
        <v>0.892238131122834</v>
      </c>
      <c r="AC363" s="45" t="n">
        <v>0.889383815887157</v>
      </c>
      <c r="AD363" s="45" t="n"/>
      <c r="AE363" s="45" t="n">
        <v>0.962295241538504</v>
      </c>
      <c r="AF363" s="75">
        <f>IFERROR(AVERAGE(L363:U363),"")</f>
        <v/>
      </c>
      <c r="AG363" s="75">
        <f>IFERROR(AVERAGE(V363:AE363),"")</f>
        <v/>
      </c>
      <c r="AH363" s="75">
        <f>IFERROR(AVERAGE(B363:K363),"")</f>
        <v/>
      </c>
      <c r="AI363" s="45" t="n">
        <v>0.958736419677734</v>
      </c>
      <c r="AJ363" s="47" t="n">
        <v>0.0101661682128906</v>
      </c>
    </row>
    <row r="364" ht="15" customHeight="1" s="30">
      <c r="A364" s="73" t="inlineStr">
        <is>
          <t>8948.jpg</t>
        </is>
      </c>
      <c r="B364" s="45" t="n"/>
      <c r="C364" s="45" t="n"/>
      <c r="D364" s="45" t="n">
        <v>0.9226550598476611</v>
      </c>
      <c r="E364" s="45" t="n"/>
      <c r="F364" s="45" t="n">
        <v>0.8177177914110429</v>
      </c>
      <c r="G364" s="45" t="n">
        <v>0.836274509803922</v>
      </c>
      <c r="H364" s="45" t="n">
        <v>0.87312682948141</v>
      </c>
      <c r="I364" s="45" t="n">
        <v>0.591642924976258</v>
      </c>
      <c r="J364" s="45" t="n"/>
      <c r="K364" s="45" t="n">
        <v>0.9010205866915501</v>
      </c>
      <c r="L364" s="45" t="n"/>
      <c r="M364" s="45" t="n"/>
      <c r="N364" s="45" t="n">
        <v>0.969627664440582</v>
      </c>
      <c r="O364" s="45" t="n"/>
      <c r="P364" s="45" t="n">
        <v>0.915288688677691</v>
      </c>
      <c r="Q364" s="45" t="n">
        <v>0.902204865348629</v>
      </c>
      <c r="R364" s="45" t="n">
        <v>0.912890553626896</v>
      </c>
      <c r="S364" s="45" t="n">
        <v>0.732941176470588</v>
      </c>
      <c r="T364" s="45" t="n"/>
      <c r="U364" s="45" t="n">
        <v>0.9799006767427551</v>
      </c>
      <c r="V364" s="45" t="n"/>
      <c r="W364" s="45" t="n"/>
      <c r="X364" s="45" t="n">
        <v>0.950114293397876</v>
      </c>
      <c r="Y364" s="45" t="n"/>
      <c r="Z364" s="45" t="n">
        <v>0.884670525142038</v>
      </c>
      <c r="AA364" s="45" t="n">
        <v>0.919638414330735</v>
      </c>
      <c r="AB364" s="45" t="n">
        <v>0.952483080735869</v>
      </c>
      <c r="AC364" s="45" t="n">
        <v>0.754237288135593</v>
      </c>
      <c r="AD364" s="45" t="n"/>
      <c r="AE364" s="45" t="n">
        <v>0.917986227057475</v>
      </c>
      <c r="AF364" s="75">
        <f>IFERROR(AVERAGE(L364:U364),"")</f>
        <v/>
      </c>
      <c r="AG364" s="75">
        <f>IFERROR(AVERAGE(V364:AE364),"")</f>
        <v/>
      </c>
      <c r="AH364" s="75">
        <f>IFERROR(AVERAGE(B364:K364),"")</f>
        <v/>
      </c>
      <c r="AI364" s="45" t="n">
        <v>0.918254852294922</v>
      </c>
      <c r="AJ364" s="47" t="n">
        <v>0.042633056640625</v>
      </c>
    </row>
    <row r="365" ht="15" customHeight="1" s="30">
      <c r="A365" s="73" t="inlineStr">
        <is>
          <t>8949.jpg</t>
        </is>
      </c>
      <c r="B365" s="45" t="n"/>
      <c r="C365" s="45" t="n"/>
      <c r="D365" s="45" t="n">
        <v>0.799940917744371</v>
      </c>
      <c r="E365" s="45" t="n"/>
      <c r="F365" s="45" t="n">
        <v>0.711160736943613</v>
      </c>
      <c r="G365" s="45" t="n">
        <v>0.95024044339392</v>
      </c>
      <c r="H365" s="45" t="n">
        <v>0.847239789465095</v>
      </c>
      <c r="I365" s="45" t="n">
        <v>0.474820143884892</v>
      </c>
      <c r="J365" s="45" t="n"/>
      <c r="K365" s="45" t="n">
        <v>0.925702926941692</v>
      </c>
      <c r="L365" s="45" t="n"/>
      <c r="M365" s="45" t="n"/>
      <c r="N365" s="45" t="n">
        <v>0.943259666369935</v>
      </c>
      <c r="O365" s="45" t="n"/>
      <c r="P365" s="45" t="n">
        <v>0.800319853781129</v>
      </c>
      <c r="Q365" s="45" t="n">
        <v>0.950589098617962</v>
      </c>
      <c r="R365" s="45" t="n">
        <v>0.88701409653994</v>
      </c>
      <c r="S365" s="45" t="n">
        <v>0.528704939919893</v>
      </c>
      <c r="T365" s="45" t="n"/>
      <c r="U365" s="45" t="n">
        <v>0.985922839487233</v>
      </c>
      <c r="V365" s="45" t="n"/>
      <c r="W365" s="45" t="n"/>
      <c r="X365" s="45" t="n">
        <v>0.840379310344828</v>
      </c>
      <c r="Y365" s="45" t="n"/>
      <c r="Z365" s="45" t="n">
        <v>0.8645646942679091</v>
      </c>
      <c r="AA365" s="45" t="n">
        <v>0.999614164451685</v>
      </c>
      <c r="AB365" s="45" t="n">
        <v>0.949734723746798</v>
      </c>
      <c r="AC365" s="45" t="n">
        <v>0.823284823284823</v>
      </c>
      <c r="AD365" s="45" t="n"/>
      <c r="AE365" s="45" t="n">
        <v>0.938102133523291</v>
      </c>
      <c r="AF365" s="75">
        <f>IFERROR(AVERAGE(L365:U365),"")</f>
        <v/>
      </c>
      <c r="AG365" s="75">
        <f>IFERROR(AVERAGE(V365:AE365),"")</f>
        <v/>
      </c>
      <c r="AH365" s="75">
        <f>IFERROR(AVERAGE(B365:K365),"")</f>
        <v/>
      </c>
      <c r="AI365" s="45" t="n">
        <v>0.928977966308594</v>
      </c>
      <c r="AJ365" s="47" t="n">
        <v>0.02728271484375</v>
      </c>
    </row>
    <row r="366" ht="15" customHeight="1" s="30">
      <c r="A366" s="73" t="inlineStr">
        <is>
          <t>8959.jpg</t>
        </is>
      </c>
      <c r="B366" s="45" t="n"/>
      <c r="C366" s="45" t="n"/>
      <c r="D366" s="45" t="n"/>
      <c r="E366" s="45" t="n"/>
      <c r="F366" s="45" t="n">
        <v>0.930165352849644</v>
      </c>
      <c r="G366" s="45" t="n">
        <v>0.952570811529197</v>
      </c>
      <c r="H366" s="45" t="n"/>
      <c r="I366" s="45" t="n"/>
      <c r="J366" s="45" t="n"/>
      <c r="K366" s="45" t="n">
        <v>0.920554679124576</v>
      </c>
      <c r="L366" s="45" t="n"/>
      <c r="M366" s="45" t="n"/>
      <c r="N366" s="45" t="n"/>
      <c r="O366" s="45" t="n"/>
      <c r="P366" s="45" t="n">
        <v>0.974280443465334</v>
      </c>
      <c r="Q366" s="45" t="n">
        <v>0.9807262659411849</v>
      </c>
      <c r="R366" s="45" t="n"/>
      <c r="S366" s="45" t="n"/>
      <c r="T366" s="45" t="n"/>
      <c r="U366" s="45" t="n">
        <v>0.962254352638916</v>
      </c>
      <c r="V366" s="45" t="n"/>
      <c r="W366" s="45" t="n"/>
      <c r="X366" s="45" t="n"/>
      <c r="Y366" s="45" t="n"/>
      <c r="Z366" s="45" t="n">
        <v>0.953580506617583</v>
      </c>
      <c r="AA366" s="45" t="n">
        <v>0.970743527071496</v>
      </c>
      <c r="AB366" s="45" t="n"/>
      <c r="AC366" s="45" t="n"/>
      <c r="AD366" s="45" t="n"/>
      <c r="AE366" s="45" t="n">
        <v>0.955041142960485</v>
      </c>
      <c r="AF366" s="75">
        <f>IFERROR(AVERAGE(L366:U366),"")</f>
        <v/>
      </c>
      <c r="AG366" s="75">
        <f>IFERROR(AVERAGE(V366:AE366),"")</f>
        <v/>
      </c>
      <c r="AH366" s="75">
        <f>IFERROR(AVERAGE(B366:K366),"")</f>
        <v/>
      </c>
      <c r="AI366" s="45" t="n">
        <v>0.960384368896484</v>
      </c>
      <c r="AJ366" s="47" t="n">
        <v>0.0114555358886719</v>
      </c>
    </row>
    <row r="367" ht="15" customHeight="1" s="30">
      <c r="A367" s="73" t="inlineStr">
        <is>
          <t>8961.jpg</t>
        </is>
      </c>
      <c r="B367" s="45" t="n"/>
      <c r="C367" s="45" t="n"/>
      <c r="D367" s="45" t="n"/>
      <c r="E367" s="45" t="n"/>
      <c r="F367" s="45" t="n">
        <v>0.90606015037594</v>
      </c>
      <c r="G367" s="45" t="n">
        <v>0.973347017162367</v>
      </c>
      <c r="H367" s="45" t="n">
        <v>0.756879136189481</v>
      </c>
      <c r="I367" s="45" t="n"/>
      <c r="J367" s="45" t="n"/>
      <c r="K367" s="45" t="n">
        <v>0.906331722006498</v>
      </c>
      <c r="L367" s="45" t="n"/>
      <c r="M367" s="45" t="n"/>
      <c r="N367" s="45" t="n"/>
      <c r="O367" s="45" t="n"/>
      <c r="P367" s="45" t="n">
        <v>0.95421576080071</v>
      </c>
      <c r="Q367" s="45" t="n">
        <v>0.9973969179508539</v>
      </c>
      <c r="R367" s="45" t="n">
        <v>0.802141011443337</v>
      </c>
      <c r="S367" s="45" t="n"/>
      <c r="T367" s="45" t="n"/>
      <c r="U367" s="45" t="n">
        <v>0.969124360508839</v>
      </c>
      <c r="V367" s="45" t="n"/>
      <c r="W367" s="45" t="n"/>
      <c r="X367" s="45" t="n"/>
      <c r="Y367" s="45" t="n"/>
      <c r="Z367" s="45" t="n">
        <v>0.947240170416136</v>
      </c>
      <c r="AA367" s="45" t="n">
        <v>0.975825922190642</v>
      </c>
      <c r="AB367" s="45" t="n">
        <v>0.930620985010707</v>
      </c>
      <c r="AC367" s="45" t="n"/>
      <c r="AD367" s="45" t="n"/>
      <c r="AE367" s="45" t="n">
        <v>0.933280292134602</v>
      </c>
      <c r="AF367" s="75">
        <f>IFERROR(AVERAGE(L367:U367),"")</f>
        <v/>
      </c>
      <c r="AG367" s="75">
        <f>IFERROR(AVERAGE(V367:AE367),"")</f>
        <v/>
      </c>
      <c r="AH367" s="75">
        <f>IFERROR(AVERAGE(B367:K367),"")</f>
        <v/>
      </c>
      <c r="AI367" s="45" t="n">
        <v>0.95257568359375</v>
      </c>
      <c r="AJ367" s="47" t="n">
        <v>0.02227783203125</v>
      </c>
    </row>
    <row r="368" ht="15" customHeight="1" s="30">
      <c r="A368" s="73" t="inlineStr">
        <is>
          <t>8972.jpg</t>
        </is>
      </c>
      <c r="B368" s="45" t="n"/>
      <c r="C368" s="45" t="n"/>
      <c r="D368" s="45" t="n">
        <v>0</v>
      </c>
      <c r="E368" s="45" t="n"/>
      <c r="F368" s="45" t="n">
        <v>0.785127372949025</v>
      </c>
      <c r="G368" s="45" t="n">
        <v>0.411994797437256</v>
      </c>
      <c r="H368" s="45" t="n">
        <v>0.56375508192682</v>
      </c>
      <c r="I368" s="45" t="n">
        <v>0.746200607902736</v>
      </c>
      <c r="J368" s="45" t="n"/>
      <c r="K368" s="45" t="n">
        <v>0.597160794447481</v>
      </c>
      <c r="L368" s="45" t="n"/>
      <c r="M368" s="45" t="n"/>
      <c r="N368" s="45" t="n">
        <v>0</v>
      </c>
      <c r="O368" s="45" t="n"/>
      <c r="P368" s="45" t="n">
        <v>0.8708359522313009</v>
      </c>
      <c r="Q368" s="45" t="n">
        <v>0.957459194411482</v>
      </c>
      <c r="R368" s="45" t="n">
        <v>0.613076098606645</v>
      </c>
      <c r="S368" s="45" t="n">
        <v>0.865961199294533</v>
      </c>
      <c r="T368" s="45" t="n"/>
      <c r="U368" s="45" t="n">
        <v>0.639482973728869</v>
      </c>
      <c r="V368" s="45" t="n"/>
      <c r="W368" s="45" t="n"/>
      <c r="X368" s="45" t="n"/>
      <c r="Y368" s="45" t="n"/>
      <c r="Z368" s="45" t="n">
        <v>0.8886070783044721</v>
      </c>
      <c r="AA368" s="45" t="n">
        <v>0.419677118602483</v>
      </c>
      <c r="AB368" s="45" t="n">
        <v>0.875119525721935</v>
      </c>
      <c r="AC368" s="45" t="n">
        <v>0.843642611683849</v>
      </c>
      <c r="AD368" s="45" t="n"/>
      <c r="AE368" s="45" t="n">
        <v>0.900229739628421</v>
      </c>
      <c r="AF368" s="75">
        <f>IFERROR(AVERAGE(L368:U368),"")</f>
        <v/>
      </c>
      <c r="AG368" s="75">
        <f>IFERROR(AVERAGE(V368:AE368),"")</f>
        <v/>
      </c>
      <c r="AH368" s="75">
        <f>IFERROR(AVERAGE(B368:K368),"")</f>
        <v/>
      </c>
      <c r="AI368" s="45" t="n">
        <v>0.711292266845703</v>
      </c>
      <c r="AJ368" s="47" t="n">
        <v>0.0170402526855469</v>
      </c>
    </row>
    <row r="369" ht="15" customHeight="1" s="30">
      <c r="A369" s="73" t="inlineStr">
        <is>
          <t>8981.jpg</t>
        </is>
      </c>
      <c r="B369" s="45" t="n"/>
      <c r="C369" s="45" t="n"/>
      <c r="D369" s="45" t="n"/>
      <c r="E369" s="45" t="n"/>
      <c r="F369" s="45" t="n">
        <v>0.925872893490473</v>
      </c>
      <c r="G369" s="45" t="n">
        <v>0.79614088820827</v>
      </c>
      <c r="H369" s="45" t="n">
        <v>0.664782974630275</v>
      </c>
      <c r="I369" s="45" t="n"/>
      <c r="J369" s="45" t="n"/>
      <c r="K369" s="45" t="n">
        <v>0.893834284038331</v>
      </c>
      <c r="L369" s="45" t="n"/>
      <c r="M369" s="45" t="n"/>
      <c r="N369" s="45" t="n"/>
      <c r="O369" s="45" t="n"/>
      <c r="P369" s="45" t="n">
        <v>0.960246744345442</v>
      </c>
      <c r="Q369" s="45" t="n">
        <v>0.854292991537261</v>
      </c>
      <c r="R369" s="45" t="n">
        <v>0.825840179238238</v>
      </c>
      <c r="S369" s="45" t="n"/>
      <c r="T369" s="45" t="n"/>
      <c r="U369" s="45" t="n">
        <v>0.977527575033548</v>
      </c>
      <c r="V369" s="45" t="n"/>
      <c r="W369" s="45" t="n"/>
      <c r="X369" s="45" t="n"/>
      <c r="Y369" s="45" t="n"/>
      <c r="Z369" s="45" t="n">
        <v>0.962776314282442</v>
      </c>
      <c r="AA369" s="45" t="n">
        <v>0.921234029734375</v>
      </c>
      <c r="AB369" s="45" t="n">
        <v>0.773178576422878</v>
      </c>
      <c r="AC369" s="45" t="n"/>
      <c r="AD369" s="45" t="n"/>
      <c r="AE369" s="45" t="n">
        <v>0.912586472414383</v>
      </c>
      <c r="AF369" s="75">
        <f>IFERROR(AVERAGE(L369:U369),"")</f>
        <v/>
      </c>
      <c r="AG369" s="75">
        <f>IFERROR(AVERAGE(V369:AE369),"")</f>
        <v/>
      </c>
      <c r="AH369" s="75">
        <f>IFERROR(AVERAGE(B369:K369),"")</f>
        <v/>
      </c>
      <c r="AI369" s="45" t="n">
        <v>0.917331695556641</v>
      </c>
      <c r="AJ369" s="47" t="n">
        <v>0.0259895324707031</v>
      </c>
    </row>
    <row r="370" ht="15" customHeight="1" s="30">
      <c r="A370" s="73" t="inlineStr">
        <is>
          <t>8983.jpg</t>
        </is>
      </c>
      <c r="B370" s="45" t="n"/>
      <c r="C370" s="45" t="n"/>
      <c r="D370" s="45" t="n">
        <v>0.6737657308809289</v>
      </c>
      <c r="E370" s="45" t="n"/>
      <c r="F370" s="45" t="n">
        <v>0.87936626083258</v>
      </c>
      <c r="G370" s="45" t="n">
        <v>0.5636899115356619</v>
      </c>
      <c r="H370" s="45" t="n">
        <v>0.729639889196676</v>
      </c>
      <c r="I370" s="45" t="n">
        <v>0.8136200716845881</v>
      </c>
      <c r="J370" s="45" t="n"/>
      <c r="K370" s="45" t="n">
        <v>0.723882531143991</v>
      </c>
      <c r="L370" s="45" t="n"/>
      <c r="M370" s="45" t="n"/>
      <c r="N370" s="45" t="n">
        <v>0.713846153846154</v>
      </c>
      <c r="O370" s="45" t="n"/>
      <c r="P370" s="45" t="n">
        <v>0.897595919031855</v>
      </c>
      <c r="Q370" s="45" t="n">
        <v>0.60023726185722</v>
      </c>
      <c r="R370" s="45" t="n">
        <v>0.925509486999297</v>
      </c>
      <c r="S370" s="45" t="n">
        <v>0.991266375545852</v>
      </c>
      <c r="T370" s="45" t="n"/>
      <c r="U370" s="45" t="n">
        <v>0.9585427423106549</v>
      </c>
      <c r="V370" s="45" t="n"/>
      <c r="W370" s="45" t="n"/>
      <c r="X370" s="45" t="n">
        <v>0.923076923076923</v>
      </c>
      <c r="Y370" s="45" t="n"/>
      <c r="Z370" s="45" t="n">
        <v>0.977425836189576</v>
      </c>
      <c r="AA370" s="45" t="n">
        <v>0.902513113045935</v>
      </c>
      <c r="AB370" s="45" t="n">
        <v>0.775161859917599</v>
      </c>
      <c r="AC370" s="45" t="n">
        <v>0.819494584837545</v>
      </c>
      <c r="AD370" s="45" t="n"/>
      <c r="AE370" s="45" t="n">
        <v>0.747278424191257</v>
      </c>
      <c r="AF370" s="75">
        <f>IFERROR(AVERAGE(L370:U370),"")</f>
        <v/>
      </c>
      <c r="AG370" s="75">
        <f>IFERROR(AVERAGE(V370:AE370),"")</f>
        <v/>
      </c>
      <c r="AH370" s="75">
        <f>IFERROR(AVERAGE(B370:K370),"")</f>
        <v/>
      </c>
      <c r="AI370" s="45" t="n">
        <v>0.811790466308594</v>
      </c>
      <c r="AJ370" s="47" t="n">
        <v>0.0207023620605469</v>
      </c>
    </row>
    <row r="371" ht="15" customHeight="1" s="30">
      <c r="A371" s="73" t="inlineStr">
        <is>
          <t>8989.jpg</t>
        </is>
      </c>
      <c r="B371" s="45" t="n"/>
      <c r="C371" s="45" t="n"/>
      <c r="D371" s="45" t="n"/>
      <c r="E371" s="45" t="n"/>
      <c r="F371" s="45" t="n">
        <v>0.88572609534307</v>
      </c>
      <c r="G371" s="45" t="n">
        <v>0.952184875893497</v>
      </c>
      <c r="H371" s="45" t="n">
        <v>0.386400986031224</v>
      </c>
      <c r="I371" s="45" t="n"/>
      <c r="J371" s="45" t="n"/>
      <c r="K371" s="45" t="n">
        <v>0.929578522683377</v>
      </c>
      <c r="L371" s="45" t="n"/>
      <c r="M371" s="45" t="n"/>
      <c r="N371" s="45" t="n"/>
      <c r="O371" s="45" t="n"/>
      <c r="P371" s="45" t="n">
        <v>0.927781786693607</v>
      </c>
      <c r="Q371" s="45" t="n">
        <v>0.972499173085101</v>
      </c>
      <c r="R371" s="45" t="n">
        <v>0.692817679558011</v>
      </c>
      <c r="S371" s="45" t="n"/>
      <c r="T371" s="45" t="n"/>
      <c r="U371" s="45" t="n">
        <v>0.97669122496491</v>
      </c>
      <c r="V371" s="45" t="n"/>
      <c r="W371" s="45" t="n"/>
      <c r="X371" s="45" t="n"/>
      <c r="Y371" s="45" t="n"/>
      <c r="Z371" s="45" t="n">
        <v>0.951314076003315</v>
      </c>
      <c r="AA371" s="45" t="n">
        <v>0.978533222393914</v>
      </c>
      <c r="AB371" s="45" t="n">
        <v>0.466286564204264</v>
      </c>
      <c r="AC371" s="45" t="n"/>
      <c r="AD371" s="45" t="n"/>
      <c r="AE371" s="45" t="n">
        <v>0.950668561426996</v>
      </c>
      <c r="AF371" s="75">
        <f>IFERROR(AVERAGE(L371:U371),"")</f>
        <v/>
      </c>
      <c r="AG371" s="75">
        <f>IFERROR(AVERAGE(V371:AE371),"")</f>
        <v/>
      </c>
      <c r="AH371" s="75">
        <f>IFERROR(AVERAGE(B371:K371),"")</f>
        <v/>
      </c>
      <c r="AI371" s="45" t="n">
        <v>0.9477691650390631</v>
      </c>
      <c r="AJ371" s="47" t="n">
        <v>0.0192909240722656</v>
      </c>
    </row>
    <row r="372" ht="15" customHeight="1" s="30">
      <c r="A372" s="73" t="inlineStr">
        <is>
          <t>8991.jpg</t>
        </is>
      </c>
      <c r="B372" s="45" t="n">
        <v>0.94920728126835</v>
      </c>
      <c r="C372" s="45" t="n"/>
      <c r="D372" s="45" t="n"/>
      <c r="E372" s="45" t="n"/>
      <c r="F372" s="45" t="n">
        <v>0.785691421254802</v>
      </c>
      <c r="G372" s="45" t="n"/>
      <c r="H372" s="45" t="n">
        <v>0.596844638559587</v>
      </c>
      <c r="I372" s="45" t="n"/>
      <c r="J372" s="45" t="n"/>
      <c r="K372" s="45" t="n">
        <v>0.913742417428123</v>
      </c>
      <c r="L372" s="45" t="n">
        <v>0.965074626865672</v>
      </c>
      <c r="M372" s="45" t="n"/>
      <c r="N372" s="45" t="n"/>
      <c r="O372" s="45" t="n"/>
      <c r="P372" s="45" t="n">
        <v>0.836571233810498</v>
      </c>
      <c r="Q372" s="45" t="n"/>
      <c r="R372" s="45" t="n">
        <v>0.7269568993594619</v>
      </c>
      <c r="S372" s="45" t="n"/>
      <c r="T372" s="45" t="n"/>
      <c r="U372" s="45" t="n">
        <v>0.980132489292606</v>
      </c>
      <c r="V372" s="45" t="n">
        <v>0.98297354819094</v>
      </c>
      <c r="W372" s="45" t="n"/>
      <c r="X372" s="45" t="n"/>
      <c r="Y372" s="45" t="n"/>
      <c r="Z372" s="45" t="n">
        <v>0.928152769899792</v>
      </c>
      <c r="AA372" s="45" t="n"/>
      <c r="AB372" s="45" t="n">
        <v>0.7693014705882349</v>
      </c>
      <c r="AC372" s="45" t="n"/>
      <c r="AD372" s="45" t="n"/>
      <c r="AE372" s="45" t="n">
        <v>0.9309859233636401</v>
      </c>
      <c r="AF372" s="75">
        <f>IFERROR(AVERAGE(L372:U372),"")</f>
        <v/>
      </c>
      <c r="AG372" s="75">
        <f>IFERROR(AVERAGE(V372:AE372),"")</f>
        <v/>
      </c>
      <c r="AH372" s="75">
        <f>IFERROR(AVERAGE(B372:K372),"")</f>
        <v/>
      </c>
      <c r="AI372" s="45" t="n">
        <v>0.933753967285156</v>
      </c>
      <c r="AJ372" s="47" t="n">
        <v>0.0160179138183594</v>
      </c>
    </row>
    <row r="373" ht="15" customHeight="1" s="30">
      <c r="A373" s="73" t="inlineStr">
        <is>
          <t>8993.jpg</t>
        </is>
      </c>
      <c r="B373" s="45" t="n">
        <v>0.943209771821189</v>
      </c>
      <c r="C373" s="45" t="n"/>
      <c r="D373" s="45" t="n"/>
      <c r="E373" s="45" t="n"/>
      <c r="F373" s="45" t="n">
        <v>0.811928799818727</v>
      </c>
      <c r="G373" s="45" t="n"/>
      <c r="H373" s="45" t="n">
        <v>0.631901840490798</v>
      </c>
      <c r="I373" s="45" t="n"/>
      <c r="J373" s="45" t="n"/>
      <c r="K373" s="45" t="n">
        <v>0.927257239249707</v>
      </c>
      <c r="L373" s="45" t="n">
        <v>0.985181739650475</v>
      </c>
      <c r="M373" s="45" t="n"/>
      <c r="N373" s="45" t="n"/>
      <c r="O373" s="45" t="n"/>
      <c r="P373" s="45" t="n">
        <v>0.87343589188018</v>
      </c>
      <c r="Q373" s="45" t="n"/>
      <c r="R373" s="45" t="n">
        <v>0.724208995029701</v>
      </c>
      <c r="S373" s="45" t="n"/>
      <c r="T373" s="45" t="n"/>
      <c r="U373" s="45" t="n">
        <v>0.970638617404466</v>
      </c>
      <c r="V373" s="45" t="n">
        <v>0.956783616925162</v>
      </c>
      <c r="W373" s="45" t="n"/>
      <c r="X373" s="45" t="n"/>
      <c r="Y373" s="45" t="n"/>
      <c r="Z373" s="45" t="n">
        <v>0.920190606631285</v>
      </c>
      <c r="AA373" s="45" t="n"/>
      <c r="AB373" s="45" t="n">
        <v>0.832149324418443</v>
      </c>
      <c r="AC373" s="45" t="n"/>
      <c r="AD373" s="45" t="n"/>
      <c r="AE373" s="45" t="n">
        <v>0.954016559804419</v>
      </c>
      <c r="AF373" s="75">
        <f>IFERROR(AVERAGE(L373:U373),"")</f>
        <v/>
      </c>
      <c r="AG373" s="75">
        <f>IFERROR(AVERAGE(V373:AE373),"")</f>
        <v/>
      </c>
      <c r="AH373" s="75">
        <f>IFERROR(AVERAGE(B373:K373),"")</f>
        <v/>
      </c>
      <c r="AI373" s="45" t="n">
        <v>0.946647644042969</v>
      </c>
      <c r="AJ373" s="47" t="n">
        <v>0.0052032470703125</v>
      </c>
    </row>
    <row r="374" ht="15" customHeight="1" s="30">
      <c r="A374" s="73" t="inlineStr">
        <is>
          <t>8999.jpg</t>
        </is>
      </c>
      <c r="B374" s="45" t="n">
        <v>0.75636928134417</v>
      </c>
      <c r="C374" s="45" t="n"/>
      <c r="D374" s="45" t="n"/>
      <c r="E374" s="45" t="n"/>
      <c r="F374" s="45" t="n">
        <v>0.496557266925771</v>
      </c>
      <c r="G374" s="45" t="n">
        <v>0</v>
      </c>
      <c r="H374" s="45" t="n">
        <v>0.527775557509392</v>
      </c>
      <c r="I374" s="45" t="n">
        <v>0</v>
      </c>
      <c r="J374" s="45" t="n"/>
      <c r="K374" s="45" t="n">
        <v>0.729019978523248</v>
      </c>
      <c r="L374" s="45" t="n">
        <v>0.986329753030556</v>
      </c>
      <c r="M374" s="45" t="n"/>
      <c r="N374" s="45" t="n"/>
      <c r="O374" s="45" t="n"/>
      <c r="P374" s="45" t="n">
        <v>0.798222102238763</v>
      </c>
      <c r="Q374" s="45" t="n">
        <v>0</v>
      </c>
      <c r="R374" s="45" t="n">
        <v>0.849042047061849</v>
      </c>
      <c r="S374" s="45" t="n">
        <v>0</v>
      </c>
      <c r="T374" s="45" t="n"/>
      <c r="U374" s="45" t="n">
        <v>0.781002438587548</v>
      </c>
      <c r="V374" s="45" t="n">
        <v>0.764382348055592</v>
      </c>
      <c r="W374" s="45" t="n"/>
      <c r="X374" s="45" t="n"/>
      <c r="Y374" s="45" t="n"/>
      <c r="Z374" s="45" t="n">
        <v>0.567832647462277</v>
      </c>
      <c r="AA374" s="45" t="n"/>
      <c r="AB374" s="45" t="n">
        <v>0.582429214077798</v>
      </c>
      <c r="AC374" s="45" t="n"/>
      <c r="AD374" s="45" t="n"/>
      <c r="AE374" s="45" t="n">
        <v>0.916339330456008</v>
      </c>
      <c r="AF374" s="75">
        <f>IFERROR(AVERAGE(L374:U374),"")</f>
        <v/>
      </c>
      <c r="AG374" s="75">
        <f>IFERROR(AVERAGE(V374:AE374),"")</f>
        <v/>
      </c>
      <c r="AH374" s="75">
        <f>IFERROR(AVERAGE(B374:K374),"")</f>
        <v/>
      </c>
      <c r="AI374" s="45" t="n">
        <v>0.7735748291015631</v>
      </c>
      <c r="AJ374" s="47" t="n">
        <v>0.0543785095214844</v>
      </c>
    </row>
    <row r="375" ht="15" customHeight="1" s="30">
      <c r="A375" s="73" t="inlineStr">
        <is>
          <t>9001.jpg</t>
        </is>
      </c>
      <c r="B375" s="45" t="n">
        <v>0</v>
      </c>
      <c r="C375" s="45" t="n"/>
      <c r="D375" s="45" t="n"/>
      <c r="E375" s="45" t="n"/>
      <c r="F375" s="45" t="n">
        <v>0.837600489339392</v>
      </c>
      <c r="G375" s="45" t="n">
        <v>0</v>
      </c>
      <c r="H375" s="45" t="n">
        <v>0</v>
      </c>
      <c r="I375" s="45" t="n">
        <v>0.834983498349835</v>
      </c>
      <c r="J375" s="45" t="n"/>
      <c r="K375" s="45" t="n">
        <v>0.812424480602513</v>
      </c>
      <c r="L375" s="45" t="n"/>
      <c r="M375" s="45" t="n"/>
      <c r="N375" s="45" t="n"/>
      <c r="O375" s="45" t="n"/>
      <c r="P375" s="45" t="n">
        <v>0.8776456944041749</v>
      </c>
      <c r="Q375" s="45" t="n">
        <v>0</v>
      </c>
      <c r="R375" s="45" t="n"/>
      <c r="S375" s="45" t="n">
        <v>0.9656488549618319</v>
      </c>
      <c r="T375" s="45" t="n"/>
      <c r="U375" s="45" t="n">
        <v>0.829308744723528</v>
      </c>
      <c r="V375" s="45" t="n">
        <v>0</v>
      </c>
      <c r="W375" s="45" t="n"/>
      <c r="X375" s="45" t="n"/>
      <c r="Y375" s="45" t="n"/>
      <c r="Z375" s="45" t="n">
        <v>0.9483395442403461</v>
      </c>
      <c r="AA375" s="45" t="n"/>
      <c r="AB375" s="45" t="n">
        <v>0</v>
      </c>
      <c r="AC375" s="45" t="n">
        <v>0.860544217687075</v>
      </c>
      <c r="AD375" s="45" t="n"/>
      <c r="AE375" s="45" t="n">
        <v>0.975552550395132</v>
      </c>
      <c r="AF375" s="75">
        <f>IFERROR(AVERAGE(L375:U375),"")</f>
        <v/>
      </c>
      <c r="AG375" s="75">
        <f>IFERROR(AVERAGE(V375:AE375),"")</f>
        <v/>
      </c>
      <c r="AH375" s="75">
        <f>IFERROR(AVERAGE(B375:K375),"")</f>
        <v/>
      </c>
      <c r="AI375" s="45" t="n">
        <v>0.748722076416016</v>
      </c>
      <c r="AJ375" s="47" t="n">
        <v>0.00537109375</v>
      </c>
    </row>
    <row r="376" ht="15" customHeight="1" s="30">
      <c r="A376" s="73" t="inlineStr">
        <is>
          <t>9002.jpg</t>
        </is>
      </c>
      <c r="B376" s="45" t="n">
        <v>0</v>
      </c>
      <c r="C376" s="45" t="n"/>
      <c r="D376" s="45" t="n"/>
      <c r="E376" s="45" t="n"/>
      <c r="F376" s="45" t="n">
        <v>0.932883933655383</v>
      </c>
      <c r="G376" s="45" t="n">
        <v>0</v>
      </c>
      <c r="H376" s="45" t="n"/>
      <c r="I376" s="45" t="n">
        <v>0.74293059125964</v>
      </c>
      <c r="J376" s="45" t="n"/>
      <c r="K376" s="45" t="n">
        <v>0.825872358668306</v>
      </c>
      <c r="L376" s="45" t="n"/>
      <c r="M376" s="45" t="n"/>
      <c r="N376" s="45" t="n"/>
      <c r="O376" s="45" t="n"/>
      <c r="P376" s="45" t="n">
        <v>0.968424063304414</v>
      </c>
      <c r="Q376" s="45" t="n">
        <v>0</v>
      </c>
      <c r="R376" s="45" t="n"/>
      <c r="S376" s="45" t="n">
        <v>0.8919753086419751</v>
      </c>
      <c r="T376" s="45" t="n"/>
      <c r="U376" s="45" t="n">
        <v>0.841290819346201</v>
      </c>
      <c r="V376" s="45" t="n">
        <v>0</v>
      </c>
      <c r="W376" s="45" t="n"/>
      <c r="X376" s="45" t="n"/>
      <c r="Y376" s="45" t="n"/>
      <c r="Z376" s="45" t="n">
        <v>0.962149771724099</v>
      </c>
      <c r="AA376" s="45" t="n"/>
      <c r="AB376" s="45" t="n"/>
      <c r="AC376" s="45" t="n">
        <v>0.81638418079096</v>
      </c>
      <c r="AD376" s="45" t="n"/>
      <c r="AE376" s="45" t="n">
        <v>0.978290502345347</v>
      </c>
      <c r="AF376" s="75">
        <f>IFERROR(AVERAGE(L376:U376),"")</f>
        <v/>
      </c>
      <c r="AG376" s="75">
        <f>IFERROR(AVERAGE(V376:AE376),"")</f>
        <v/>
      </c>
      <c r="AH376" s="75">
        <f>IFERROR(AVERAGE(B376:K376),"")</f>
        <v/>
      </c>
      <c r="AI376" s="45" t="n">
        <v>0.753353118896484</v>
      </c>
      <c r="AJ376" s="47" t="n">
        <v>0.0103836059570313</v>
      </c>
    </row>
    <row r="377" ht="15" customHeight="1" s="30">
      <c r="A377" s="73" t="inlineStr">
        <is>
          <t>9004.jpg</t>
        </is>
      </c>
      <c r="B377" s="45" t="n">
        <v>0.8594639451424581</v>
      </c>
      <c r="C377" s="45" t="n"/>
      <c r="D377" s="45" t="n"/>
      <c r="E377" s="45" t="n"/>
      <c r="F377" s="45" t="n">
        <v>0.886009074522966</v>
      </c>
      <c r="G377" s="45" t="n">
        <v>0</v>
      </c>
      <c r="H377" s="45" t="n"/>
      <c r="I377" s="45" t="n">
        <v>0.8125</v>
      </c>
      <c r="J377" s="45" t="n"/>
      <c r="K377" s="45" t="n">
        <v>0.943772397844466</v>
      </c>
      <c r="L377" s="45" t="n">
        <v>0.987207143932173</v>
      </c>
      <c r="M377" s="45" t="n"/>
      <c r="N377" s="45" t="n"/>
      <c r="O377" s="45" t="n"/>
      <c r="P377" s="45" t="n">
        <v>0.9398694534186059</v>
      </c>
      <c r="Q377" s="45" t="n">
        <v>0</v>
      </c>
      <c r="R377" s="45" t="n"/>
      <c r="S377" s="45" t="n">
        <v>1</v>
      </c>
      <c r="T377" s="45" t="n"/>
      <c r="U377" s="45" t="n">
        <v>0.954776557291132</v>
      </c>
      <c r="V377" s="45" t="n">
        <v>0.869144018138453</v>
      </c>
      <c r="W377" s="45" t="n"/>
      <c r="X377" s="45" t="n"/>
      <c r="Y377" s="45" t="n"/>
      <c r="Z377" s="45" t="n">
        <v>0.93925018119523</v>
      </c>
      <c r="AA377" s="45" t="n"/>
      <c r="AB377" s="45" t="n"/>
      <c r="AC377" s="45" t="n">
        <v>0.8125</v>
      </c>
      <c r="AD377" s="45" t="n"/>
      <c r="AE377" s="45" t="n">
        <v>0.987935304608401</v>
      </c>
      <c r="AF377" s="75">
        <f>IFERROR(AVERAGE(L377:U377),"")</f>
        <v/>
      </c>
      <c r="AG377" s="75">
        <f>IFERROR(AVERAGE(V377:AE377),"")</f>
        <v/>
      </c>
      <c r="AH377" s="75">
        <f>IFERROR(AVERAGE(B377:K377),"")</f>
        <v/>
      </c>
      <c r="AI377" s="45" t="n">
        <v>0.954219818115234</v>
      </c>
      <c r="AJ377" s="47" t="n">
        <v>0.00692367553710938</v>
      </c>
    </row>
    <row r="378" ht="15" customHeight="1" s="30">
      <c r="A378" s="73" t="inlineStr">
        <is>
          <t>9006.jpg</t>
        </is>
      </c>
      <c r="B378" s="45" t="n">
        <v>0.911219157971175</v>
      </c>
      <c r="C378" s="45" t="n"/>
      <c r="D378" s="45" t="n"/>
      <c r="E378" s="45" t="n"/>
      <c r="F378" s="45" t="n">
        <v>0.9162271805273829</v>
      </c>
      <c r="G378" s="45" t="n"/>
      <c r="H378" s="45" t="n"/>
      <c r="I378" s="45" t="n"/>
      <c r="J378" s="45" t="n"/>
      <c r="K378" s="45" t="n">
        <v>0.961947729994328</v>
      </c>
      <c r="L378" s="45" t="n">
        <v>0.946418324015019</v>
      </c>
      <c r="M378" s="45" t="n"/>
      <c r="N378" s="45" t="n"/>
      <c r="O378" s="45" t="n"/>
      <c r="P378" s="45" t="n">
        <v>0.922275913700402</v>
      </c>
      <c r="Q378" s="45" t="n"/>
      <c r="R378" s="45" t="n"/>
      <c r="S378" s="45" t="n"/>
      <c r="T378" s="45" t="n"/>
      <c r="U378" s="45" t="n">
        <v>0.989310214443904</v>
      </c>
      <c r="V378" s="45" t="n">
        <v>0.960784966460827</v>
      </c>
      <c r="W378" s="45" t="n"/>
      <c r="X378" s="45" t="n"/>
      <c r="Y378" s="45" t="n"/>
      <c r="Z378" s="45" t="n">
        <v>0.992892731535756</v>
      </c>
      <c r="AA378" s="45" t="n"/>
      <c r="AB378" s="45" t="n"/>
      <c r="AC378" s="45" t="n"/>
      <c r="AD378" s="45" t="n"/>
      <c r="AE378" s="45" t="n">
        <v>0.972051354177171</v>
      </c>
      <c r="AF378" s="75">
        <f>IFERROR(AVERAGE(L378:U378),"")</f>
        <v/>
      </c>
      <c r="AG378" s="75">
        <f>IFERROR(AVERAGE(V378:AE378),"")</f>
        <v/>
      </c>
      <c r="AH378" s="75">
        <f>IFERROR(AVERAGE(B378:K378),"")</f>
        <v/>
      </c>
      <c r="AI378" s="45" t="n">
        <v>0.970554351806641</v>
      </c>
      <c r="AJ378" s="47" t="n">
        <v>0.00507354736328125</v>
      </c>
    </row>
    <row r="379" ht="15" customHeight="1" s="30">
      <c r="A379" s="73" t="inlineStr">
        <is>
          <t>9009.jpg</t>
        </is>
      </c>
      <c r="B379" s="45" t="n">
        <v>0.767392734702358</v>
      </c>
      <c r="C379" s="45" t="n"/>
      <c r="D379" s="45" t="n"/>
      <c r="E379" s="45" t="n"/>
      <c r="F379" s="45" t="n">
        <v>0.867882632831087</v>
      </c>
      <c r="G379" s="45" t="n"/>
      <c r="H379" s="45" t="n"/>
      <c r="I379" s="45" t="n"/>
      <c r="J379" s="45" t="n"/>
      <c r="K379" s="45" t="n">
        <v>0.914812919143798</v>
      </c>
      <c r="L379" s="45" t="n">
        <v>0.784841508765716</v>
      </c>
      <c r="M379" s="45" t="n"/>
      <c r="N379" s="45" t="n"/>
      <c r="O379" s="45" t="n"/>
      <c r="P379" s="45" t="n">
        <v>0.896534775129024</v>
      </c>
      <c r="Q379" s="45" t="n"/>
      <c r="R379" s="45" t="n"/>
      <c r="S379" s="45" t="n"/>
      <c r="T379" s="45" t="n"/>
      <c r="U379" s="45" t="n">
        <v>0.997158034275251</v>
      </c>
      <c r="V379" s="45" t="n">
        <v>0.9718445750372769</v>
      </c>
      <c r="W379" s="45" t="n"/>
      <c r="X379" s="45" t="n"/>
      <c r="Y379" s="45" t="n"/>
      <c r="Z379" s="45" t="n">
        <v>0.964484004582709</v>
      </c>
      <c r="AA379" s="45" t="n"/>
      <c r="AB379" s="45" t="n"/>
      <c r="AC379" s="45" t="n"/>
      <c r="AD379" s="45" t="n"/>
      <c r="AE379" s="45" t="n">
        <v>0.917204324656243</v>
      </c>
      <c r="AF379" s="75">
        <f>IFERROR(AVERAGE(L379:U379),"")</f>
        <v/>
      </c>
      <c r="AG379" s="75">
        <f>IFERROR(AVERAGE(V379:AE379),"")</f>
        <v/>
      </c>
      <c r="AH379" s="75">
        <f>IFERROR(AVERAGE(B379:K379),"")</f>
        <v/>
      </c>
      <c r="AI379" s="45" t="n">
        <v>0.924003601074219</v>
      </c>
      <c r="AJ379" s="47" t="n">
        <v>0.0457305908203125</v>
      </c>
    </row>
    <row r="380" ht="15" customHeight="1" s="30">
      <c r="A380" s="73" t="inlineStr">
        <is>
          <t>9012.jpg</t>
        </is>
      </c>
      <c r="B380" s="45" t="n">
        <v>0.778103356419819</v>
      </c>
      <c r="C380" s="45" t="n"/>
      <c r="D380" s="45" t="n"/>
      <c r="E380" s="45" t="n"/>
      <c r="F380" s="45" t="n">
        <v>0.881841173495195</v>
      </c>
      <c r="G380" s="45" t="n"/>
      <c r="H380" s="45" t="n">
        <v>0</v>
      </c>
      <c r="I380" s="45" t="n"/>
      <c r="J380" s="45" t="n"/>
      <c r="K380" s="45" t="n">
        <v>0.920561265763528</v>
      </c>
      <c r="L380" s="45" t="n">
        <v>0.906392221762516</v>
      </c>
      <c r="M380" s="45" t="n"/>
      <c r="N380" s="45" t="n"/>
      <c r="O380" s="45" t="n"/>
      <c r="P380" s="45" t="n">
        <v>0.905944710039493</v>
      </c>
      <c r="Q380" s="45" t="n"/>
      <c r="R380" s="45" t="n"/>
      <c r="S380" s="45" t="n"/>
      <c r="T380" s="45" t="n"/>
      <c r="U380" s="45" t="n">
        <v>0.993445746825907</v>
      </c>
      <c r="V380" s="45" t="n">
        <v>0.846094428888674</v>
      </c>
      <c r="W380" s="45" t="n"/>
      <c r="X380" s="45" t="n"/>
      <c r="Y380" s="45" t="n"/>
      <c r="Z380" s="45" t="n">
        <v>0.970712694877506</v>
      </c>
      <c r="AA380" s="45" t="n"/>
      <c r="AB380" s="45" t="n">
        <v>0</v>
      </c>
      <c r="AC380" s="45" t="n"/>
      <c r="AD380" s="45" t="n"/>
      <c r="AE380" s="45" t="n">
        <v>0.926186364349989</v>
      </c>
      <c r="AF380" s="75">
        <f>IFERROR(AVERAGE(L380:U380),"")</f>
        <v/>
      </c>
      <c r="AG380" s="75">
        <f>IFERROR(AVERAGE(V380:AE380),"")</f>
        <v/>
      </c>
      <c r="AH380" s="75">
        <f>IFERROR(AVERAGE(B380:K380),"")</f>
        <v/>
      </c>
      <c r="AI380" s="45" t="n">
        <v>0.921844482421875</v>
      </c>
      <c r="AJ380" s="47" t="n">
        <v>0.0656089782714844</v>
      </c>
    </row>
    <row r="381" ht="15" customHeight="1" s="30">
      <c r="A381" s="73" t="inlineStr">
        <is>
          <t>9013.jpg</t>
        </is>
      </c>
      <c r="B381" s="45" t="n">
        <v>0.052192133693883</v>
      </c>
      <c r="C381" s="45" t="n"/>
      <c r="D381" s="45" t="n">
        <v>0.917438692098093</v>
      </c>
      <c r="E381" s="45" t="n"/>
      <c r="F381" s="45" t="n">
        <v>0.829701449553614</v>
      </c>
      <c r="G381" s="45" t="n"/>
      <c r="H381" s="45" t="n">
        <v>0.573192635832959</v>
      </c>
      <c r="I381" s="45" t="n"/>
      <c r="J381" s="45" t="n"/>
      <c r="K381" s="45" t="n">
        <v>0.365442234447736</v>
      </c>
      <c r="L381" s="45" t="n">
        <v>0.0528961365363259</v>
      </c>
      <c r="M381" s="45" t="n"/>
      <c r="N381" s="45" t="n">
        <v>0.968085106382979</v>
      </c>
      <c r="O381" s="45" t="n"/>
      <c r="P381" s="45" t="n">
        <v>0.864040787763671</v>
      </c>
      <c r="Q381" s="45" t="n"/>
      <c r="R381" s="45" t="n">
        <v>0.721798134011874</v>
      </c>
      <c r="S381" s="45" t="n"/>
      <c r="T381" s="45" t="n"/>
      <c r="U381" s="45" t="n">
        <v>0.9946554861894999</v>
      </c>
      <c r="V381" s="45" t="n">
        <v>0.796810800234788</v>
      </c>
      <c r="W381" s="45" t="n"/>
      <c r="X381" s="45" t="n">
        <v>0.946052261871312</v>
      </c>
      <c r="Y381" s="45" t="n"/>
      <c r="Z381" s="45" t="n">
        <v>0.954289499834382</v>
      </c>
      <c r="AA381" s="45" t="n"/>
      <c r="AB381" s="45" t="n">
        <v>0.735734870317003</v>
      </c>
      <c r="AC381" s="45" t="n"/>
      <c r="AD381" s="45" t="n"/>
      <c r="AE381" s="45" t="n">
        <v>0.366161230685731</v>
      </c>
      <c r="AF381" s="75">
        <f>IFERROR(AVERAGE(L381:U381),"")</f>
        <v/>
      </c>
      <c r="AG381" s="75">
        <f>IFERROR(AVERAGE(V381:AE381),"")</f>
        <v/>
      </c>
      <c r="AH381" s="75">
        <f>IFERROR(AVERAGE(B381:K381),"")</f>
        <v/>
      </c>
      <c r="AI381" s="45" t="n">
        <v>0.416038513183594</v>
      </c>
      <c r="AJ381" s="47" t="n">
        <v>0.0165061950683594</v>
      </c>
    </row>
    <row r="382" ht="15" customHeight="1" s="30">
      <c r="A382" s="73" t="inlineStr">
        <is>
          <t>9018.jpg</t>
        </is>
      </c>
      <c r="B382" s="45" t="n">
        <v>0.349451375796988</v>
      </c>
      <c r="C382" s="45" t="n"/>
      <c r="D382" s="45" t="n">
        <v>0.92366818137871</v>
      </c>
      <c r="E382" s="45" t="n"/>
      <c r="F382" s="45" t="n">
        <v>0.851669286722976</v>
      </c>
      <c r="G382" s="45" t="n">
        <v>0.781976243759683</v>
      </c>
      <c r="H382" s="45" t="n">
        <v>0.804260218767991</v>
      </c>
      <c r="I382" s="45" t="n">
        <v>0.536882129277567</v>
      </c>
      <c r="J382" s="45" t="n"/>
      <c r="K382" s="45" t="n">
        <v>0</v>
      </c>
      <c r="L382" s="45" t="n">
        <v>0.947233187396828</v>
      </c>
      <c r="M382" s="45" t="n"/>
      <c r="N382" s="45" t="n">
        <v>0.933232392302432</v>
      </c>
      <c r="O382" s="45" t="n"/>
      <c r="P382" s="45" t="n">
        <v>0.934920588493375</v>
      </c>
      <c r="Q382" s="45" t="n">
        <v>0.804480651731161</v>
      </c>
      <c r="R382" s="45" t="n">
        <v>0.836840134780981</v>
      </c>
      <c r="S382" s="45" t="n">
        <v>0.894803548795944</v>
      </c>
      <c r="T382" s="45" t="n"/>
      <c r="U382" s="45" t="n">
        <v>0</v>
      </c>
      <c r="V382" s="45" t="n">
        <v>0.356389068913372</v>
      </c>
      <c r="W382" s="45" t="n"/>
      <c r="X382" s="45" t="n">
        <v>0.9890263471194159</v>
      </c>
      <c r="Y382" s="45" t="n"/>
      <c r="Z382" s="45" t="n">
        <v>0.905341868237693</v>
      </c>
      <c r="AA382" s="45" t="n">
        <v>0.965462274176408</v>
      </c>
      <c r="AB382" s="45" t="n">
        <v>0.953827771613894</v>
      </c>
      <c r="AC382" s="45" t="n">
        <v>0.573051948051948</v>
      </c>
      <c r="AD382" s="45" t="n"/>
      <c r="AE382" s="45" t="n"/>
      <c r="AF382" s="75">
        <f>IFERROR(AVERAGE(L382:U382),"")</f>
        <v/>
      </c>
      <c r="AG382" s="75">
        <f>IFERROR(AVERAGE(V382:AE382),"")</f>
        <v/>
      </c>
      <c r="AH382" s="75">
        <f>IFERROR(AVERAGE(B382:K382),"")</f>
        <v/>
      </c>
      <c r="AI382" s="45" t="n">
        <v>0.526531219482422</v>
      </c>
      <c r="AJ382" s="47" t="n">
        <v>0.0483512878417969</v>
      </c>
    </row>
    <row r="383" ht="15" customHeight="1" s="30">
      <c r="A383" s="73" t="inlineStr">
        <is>
          <t>9032.jpg</t>
        </is>
      </c>
      <c r="B383" s="45" t="n">
        <v>0.700090964966196</v>
      </c>
      <c r="C383" s="45" t="n"/>
      <c r="D383" s="45" t="n"/>
      <c r="E383" s="45" t="n"/>
      <c r="F383" s="45" t="n">
        <v>0.8701908957415569</v>
      </c>
      <c r="G383" s="45" t="n">
        <v>0.567177554328488</v>
      </c>
      <c r="H383" s="45" t="n"/>
      <c r="I383" s="45" t="n">
        <v>0.734848484848485</v>
      </c>
      <c r="J383" s="45" t="n"/>
      <c r="K383" s="45" t="n">
        <v>0</v>
      </c>
      <c r="L383" s="45" t="n">
        <v>0.814802309677641</v>
      </c>
      <c r="M383" s="45" t="n"/>
      <c r="N383" s="45" t="n"/>
      <c r="O383" s="45" t="n"/>
      <c r="P383" s="45" t="n">
        <v>0.906837240619453</v>
      </c>
      <c r="Q383" s="45" t="n">
        <v>0.988765593769385</v>
      </c>
      <c r="R383" s="45" t="n"/>
      <c r="S383" s="45" t="n">
        <v>0.8738738738738741</v>
      </c>
      <c r="T383" s="45" t="n"/>
      <c r="U383" s="45" t="n">
        <v>0</v>
      </c>
      <c r="V383" s="45" t="n">
        <v>0.83257413179115</v>
      </c>
      <c r="W383" s="45" t="n"/>
      <c r="X383" s="45" t="n"/>
      <c r="Y383" s="45" t="n"/>
      <c r="Z383" s="45" t="n">
        <v>0.955621492614333</v>
      </c>
      <c r="AA383" s="45" t="n">
        <v>0.570856324278438</v>
      </c>
      <c r="AB383" s="45" t="n"/>
      <c r="AC383" s="45" t="n">
        <v>0.822033898305085</v>
      </c>
      <c r="AD383" s="45" t="n"/>
      <c r="AE383" s="45" t="n"/>
      <c r="AF383" s="75">
        <f>IFERROR(AVERAGE(L383:U383),"")</f>
        <v/>
      </c>
      <c r="AG383" s="75">
        <f>IFERROR(AVERAGE(V383:AE383),"")</f>
        <v/>
      </c>
      <c r="AH383" s="75">
        <f>IFERROR(AVERAGE(B383:K383),"")</f>
        <v/>
      </c>
      <c r="AI383" s="45" t="n">
        <v>0.7645721435546881</v>
      </c>
      <c r="AJ383" s="47" t="n">
        <v>0.00213241577148438</v>
      </c>
    </row>
    <row r="384" ht="15" customHeight="1" s="30">
      <c r="A384" s="73" t="inlineStr">
        <is>
          <t>9035.jpg</t>
        </is>
      </c>
      <c r="B384" s="45" t="n"/>
      <c r="C384" s="45" t="n"/>
      <c r="D384" s="45" t="n">
        <v>0.772680937818553</v>
      </c>
      <c r="E384" s="45" t="n"/>
      <c r="F384" s="45" t="n">
        <v>0.746050706972209</v>
      </c>
      <c r="G384" s="45" t="n"/>
      <c r="H384" s="45" t="n">
        <v>0.9162180032114861</v>
      </c>
      <c r="I384" s="45" t="n">
        <v>0.877766340710242</v>
      </c>
      <c r="J384" s="45" t="n"/>
      <c r="K384" s="45" t="n">
        <v>0.723252626770215</v>
      </c>
      <c r="L384" s="45" t="n"/>
      <c r="M384" s="45" t="n"/>
      <c r="N384" s="45" t="n">
        <v>0.950033422459893</v>
      </c>
      <c r="O384" s="45" t="n"/>
      <c r="P384" s="45" t="n">
        <v>0.905405272137356</v>
      </c>
      <c r="Q384" s="45" t="n"/>
      <c r="R384" s="45" t="n">
        <v>0.971554487179487</v>
      </c>
      <c r="S384" s="45" t="n">
        <v>0.9378608743469889</v>
      </c>
      <c r="T384" s="45" t="n"/>
      <c r="U384" s="45" t="n">
        <v>0.810152492068366</v>
      </c>
      <c r="V384" s="45" t="n"/>
      <c r="W384" s="45" t="n"/>
      <c r="X384" s="45" t="n">
        <v>0.805411914712758</v>
      </c>
      <c r="Y384" s="45" t="n"/>
      <c r="Z384" s="45" t="n">
        <v>0.809117989212818</v>
      </c>
      <c r="AA384" s="45" t="n"/>
      <c r="AB384" s="45" t="n">
        <v>0.94147335727458</v>
      </c>
      <c r="AC384" s="45" t="n">
        <v>0.9319672131147539</v>
      </c>
      <c r="AD384" s="45" t="n"/>
      <c r="AE384" s="45" t="n">
        <v>0.8708470847084711</v>
      </c>
      <c r="AF384" s="75">
        <f>IFERROR(AVERAGE(L384:U384),"")</f>
        <v/>
      </c>
      <c r="AG384" s="75">
        <f>IFERROR(AVERAGE(V384:AE384),"")</f>
        <v/>
      </c>
      <c r="AH384" s="75">
        <f>IFERROR(AVERAGE(B384:K384),"")</f>
        <v/>
      </c>
      <c r="AI384" s="45" t="n">
        <v>0.849784851074219</v>
      </c>
      <c r="AJ384" s="47" t="n">
        <v>0.0293922424316406</v>
      </c>
    </row>
    <row r="385" ht="15" customHeight="1" s="30">
      <c r="A385" s="73" t="inlineStr">
        <is>
          <t>9037.jpg</t>
        </is>
      </c>
      <c r="B385" s="45" t="n">
        <v>0</v>
      </c>
      <c r="C385" s="45" t="n"/>
      <c r="D385" s="45" t="n">
        <v>0.907773964402586</v>
      </c>
      <c r="E385" s="45" t="n"/>
      <c r="F385" s="45" t="n">
        <v>0.6873222329065241</v>
      </c>
      <c r="G385" s="45" t="n"/>
      <c r="H385" s="45" t="n">
        <v>0.835594139989148</v>
      </c>
      <c r="I385" s="45" t="n">
        <v>0.831110572259942</v>
      </c>
      <c r="J385" s="45" t="n"/>
      <c r="K385" s="45" t="n">
        <v>0.770247362048089</v>
      </c>
      <c r="L385" s="45" t="n"/>
      <c r="M385" s="45" t="n"/>
      <c r="N385" s="45" t="n">
        <v>0.965615316041941</v>
      </c>
      <c r="O385" s="45" t="n"/>
      <c r="P385" s="45" t="n">
        <v>0.727062476577975</v>
      </c>
      <c r="Q385" s="45" t="n"/>
      <c r="R385" s="45" t="n">
        <v>0.844993141289438</v>
      </c>
      <c r="S385" s="45" t="n">
        <v>0.8742507333248311</v>
      </c>
      <c r="T385" s="45" t="n"/>
      <c r="U385" s="45" t="n">
        <v>0.952171867649365</v>
      </c>
      <c r="V385" s="45" t="n">
        <v>0</v>
      </c>
      <c r="W385" s="45" t="n"/>
      <c r="X385" s="45" t="n">
        <v>0.938097987462884</v>
      </c>
      <c r="Y385" s="45" t="n"/>
      <c r="Z385" s="45" t="n">
        <v>0.926334170031649</v>
      </c>
      <c r="AA385" s="45" t="n"/>
      <c r="AB385" s="45" t="n">
        <v>0.986863184876642</v>
      </c>
      <c r="AC385" s="45" t="n">
        <v>0.943954833379234</v>
      </c>
      <c r="AD385" s="45" t="n"/>
      <c r="AE385" s="45" t="n">
        <v>0.801247600767754</v>
      </c>
      <c r="AF385" s="75">
        <f>IFERROR(AVERAGE(L385:U385),"")</f>
        <v/>
      </c>
      <c r="AG385" s="75">
        <f>IFERROR(AVERAGE(V385:AE385),"")</f>
        <v/>
      </c>
      <c r="AH385" s="75">
        <f>IFERROR(AVERAGE(B385:K385),"")</f>
        <v/>
      </c>
      <c r="AI385" s="45" t="n">
        <v>0.795764923095703</v>
      </c>
      <c r="AJ385" s="47" t="n">
        <v>0.0691680908203125</v>
      </c>
    </row>
    <row r="386" ht="15" customHeight="1" s="30">
      <c r="A386" s="73" t="inlineStr">
        <is>
          <t>9042.jpg</t>
        </is>
      </c>
      <c r="B386" s="45" t="n"/>
      <c r="C386" s="45" t="n"/>
      <c r="D386" s="45" t="n">
        <v>0.9210300205691671</v>
      </c>
      <c r="E386" s="45" t="n"/>
      <c r="F386" s="45" t="n">
        <v>0.824149859669734</v>
      </c>
      <c r="G386" s="45" t="n"/>
      <c r="H386" s="45" t="n">
        <v>0.834794646977388</v>
      </c>
      <c r="I386" s="45" t="n">
        <v>0.512693317770645</v>
      </c>
      <c r="J386" s="45" t="n">
        <v>0.846393034825871</v>
      </c>
      <c r="K386" s="45" t="n">
        <v>0.829487239015028</v>
      </c>
      <c r="L386" s="45" t="n"/>
      <c r="M386" s="45" t="n"/>
      <c r="N386" s="45" t="n">
        <v>0.939432031443646</v>
      </c>
      <c r="O386" s="45" t="n"/>
      <c r="P386" s="45" t="n">
        <v>0.9867462723891089</v>
      </c>
      <c r="Q386" s="45" t="n"/>
      <c r="R386" s="45" t="n">
        <v>0.878520882475371</v>
      </c>
      <c r="S386" s="45" t="n">
        <v>0.547522592708009</v>
      </c>
      <c r="T386" s="45" t="n">
        <v>0.860303413400759</v>
      </c>
      <c r="U386" s="45" t="n">
        <v>0.9406251645400781</v>
      </c>
      <c r="V386" s="45" t="n"/>
      <c r="W386" s="45" t="n"/>
      <c r="X386" s="45" t="n">
        <v>0.979174932413106</v>
      </c>
      <c r="Y386" s="45" t="n"/>
      <c r="Z386" s="45" t="n">
        <v>0.833375133651016</v>
      </c>
      <c r="AA386" s="45" t="n"/>
      <c r="AB386" s="45" t="n">
        <v>0.943732299895663</v>
      </c>
      <c r="AC386" s="45" t="n">
        <v>0.889620253164557</v>
      </c>
      <c r="AD386" s="45" t="n">
        <v>0.981254506128335</v>
      </c>
      <c r="AE386" s="45" t="n">
        <v>0.87531848174038</v>
      </c>
      <c r="AF386" s="75">
        <f>IFERROR(AVERAGE(L386:U386),"")</f>
        <v/>
      </c>
      <c r="AG386" s="75">
        <f>IFERROR(AVERAGE(V386:AE386),"")</f>
        <v/>
      </c>
      <c r="AH386" s="75">
        <f>IFERROR(AVERAGE(B386:K386),"")</f>
        <v/>
      </c>
      <c r="AI386" s="45" t="n">
        <v>0.910305023193359</v>
      </c>
      <c r="AJ386" s="47" t="n">
        <v>0.034393310546875</v>
      </c>
    </row>
    <row r="387" ht="15" customHeight="1" s="30">
      <c r="A387" s="73" t="inlineStr">
        <is>
          <t>9044.jpg</t>
        </is>
      </c>
      <c r="B387" s="45" t="n"/>
      <c r="C387" s="45" t="n"/>
      <c r="D387" s="45" t="n">
        <v>0.655153308173997</v>
      </c>
      <c r="E387" s="45" t="n"/>
      <c r="F387" s="45" t="n">
        <v>0.639931392167273</v>
      </c>
      <c r="G387" s="45" t="n"/>
      <c r="H387" s="45" t="n">
        <v>0.86950811843362</v>
      </c>
      <c r="I387" s="45" t="n">
        <v>0.44050396640224</v>
      </c>
      <c r="J387" s="45" t="n">
        <v>0.774687854710556</v>
      </c>
      <c r="K387" s="45" t="n">
        <v>0.768164406882714</v>
      </c>
      <c r="L387" s="45" t="n"/>
      <c r="M387" s="45" t="n"/>
      <c r="N387" s="45" t="n">
        <v>0.888961388975574</v>
      </c>
      <c r="O387" s="45" t="n"/>
      <c r="P387" s="45" t="n">
        <v>0.7133265050643</v>
      </c>
      <c r="Q387" s="45" t="n"/>
      <c r="R387" s="45" t="n">
        <v>0.882003875343129</v>
      </c>
      <c r="S387" s="45" t="n">
        <v>0.454282964388835</v>
      </c>
      <c r="T387" s="45" t="n">
        <v>0.780445969125214</v>
      </c>
      <c r="U387" s="45" t="n">
        <v>0.922998246639392</v>
      </c>
      <c r="V387" s="45" t="n"/>
      <c r="W387" s="45" t="n"/>
      <c r="X387" s="45" t="n">
        <v>0.713545639822838</v>
      </c>
      <c r="Y387" s="45" t="n"/>
      <c r="Z387" s="45" t="n">
        <v>0.861486022155639</v>
      </c>
      <c r="AA387" s="45" t="n"/>
      <c r="AB387" s="45" t="n">
        <v>0.983967574870525</v>
      </c>
      <c r="AC387" s="45" t="n">
        <v>0.935579781962339</v>
      </c>
      <c r="AD387" s="45" t="n">
        <v>0.9905660377358489</v>
      </c>
      <c r="AE387" s="45" t="n">
        <v>0.820762684337036</v>
      </c>
      <c r="AF387" s="75">
        <f>IFERROR(AVERAGE(L387:U387),"")</f>
        <v/>
      </c>
      <c r="AG387" s="75">
        <f>IFERROR(AVERAGE(V387:AE387),"")</f>
        <v/>
      </c>
      <c r="AH387" s="75">
        <f>IFERROR(AVERAGE(B387:K387),"")</f>
        <v/>
      </c>
      <c r="AI387" s="45" t="n">
        <v>0.811302185058594</v>
      </c>
      <c r="AJ387" s="47" t="n">
        <v>0.0256996154785156</v>
      </c>
    </row>
    <row r="388" ht="15" customHeight="1" s="30">
      <c r="A388" s="73" t="inlineStr">
        <is>
          <t>9045.jpg</t>
        </is>
      </c>
      <c r="B388" s="45" t="n"/>
      <c r="C388" s="45" t="n"/>
      <c r="D388" s="45" t="n">
        <v>0.8775187830196191</v>
      </c>
      <c r="E388" s="45" t="n"/>
      <c r="F388" s="45" t="n">
        <v>0.8293981183142159</v>
      </c>
      <c r="G388" s="45" t="n"/>
      <c r="H388" s="45" t="n">
        <v>0.828343060137021</v>
      </c>
      <c r="I388" s="45" t="n">
        <v>0.488462903798367</v>
      </c>
      <c r="J388" s="45" t="n">
        <v>0.85101822079314</v>
      </c>
      <c r="K388" s="45" t="n">
        <v>0.721315466116431</v>
      </c>
      <c r="L388" s="45" t="n"/>
      <c r="M388" s="45" t="n"/>
      <c r="N388" s="45" t="n">
        <v>0.934876682882679</v>
      </c>
      <c r="O388" s="45" t="n"/>
      <c r="P388" s="45" t="n">
        <v>0.953971359957307</v>
      </c>
      <c r="Q388" s="45" t="n"/>
      <c r="R388" s="45" t="n">
        <v>0.899683064627256</v>
      </c>
      <c r="S388" s="45" t="n">
        <v>0.533333333333333</v>
      </c>
      <c r="T388" s="45" t="n">
        <v>0.873487348734873</v>
      </c>
      <c r="U388" s="45" t="n">
        <v>0.891961239643359</v>
      </c>
      <c r="V388" s="45" t="n"/>
      <c r="W388" s="45" t="n"/>
      <c r="X388" s="45" t="n">
        <v>0.934651981506878</v>
      </c>
      <c r="Y388" s="45" t="n"/>
      <c r="Z388" s="45" t="n">
        <v>0.863972611935289</v>
      </c>
      <c r="AA388" s="45" t="n"/>
      <c r="AB388" s="45" t="n">
        <v>0.912636287391669</v>
      </c>
      <c r="AC388" s="45" t="n">
        <v>0.853068815871048</v>
      </c>
      <c r="AD388" s="45" t="n">
        <v>0.970660146699267</v>
      </c>
      <c r="AE388" s="45" t="n">
        <v>0.790369495357492</v>
      </c>
      <c r="AF388" s="75">
        <f>IFERROR(AVERAGE(L388:U388),"")</f>
        <v/>
      </c>
      <c r="AG388" s="75">
        <f>IFERROR(AVERAGE(V388:AE388),"")</f>
        <v/>
      </c>
      <c r="AH388" s="75">
        <f>IFERROR(AVERAGE(B388:K388),"")</f>
        <v/>
      </c>
      <c r="AI388" s="45" t="n">
        <v>0.8678436279296881</v>
      </c>
      <c r="AJ388" s="47" t="n">
        <v>0.0550765991210938</v>
      </c>
    </row>
    <row r="389" ht="15" customHeight="1" s="30">
      <c r="A389" s="73" t="inlineStr">
        <is>
          <t>9054.jpg</t>
        </is>
      </c>
      <c r="B389" s="45" t="n"/>
      <c r="C389" s="45" t="n"/>
      <c r="D389" s="45" t="n">
        <v>0.94375571820677</v>
      </c>
      <c r="E389" s="45" t="n"/>
      <c r="F389" s="45" t="n">
        <v>0.872410986161778</v>
      </c>
      <c r="G389" s="45" t="n"/>
      <c r="H389" s="45" t="n">
        <v>0.902572495269268</v>
      </c>
      <c r="I389" s="45" t="n">
        <v>0.584664536741214</v>
      </c>
      <c r="J389" s="45" t="n">
        <v>0.789816957710919</v>
      </c>
      <c r="K389" s="45" t="n">
        <v>0.866838286917856</v>
      </c>
      <c r="L389" s="45" t="n"/>
      <c r="M389" s="45" t="n"/>
      <c r="N389" s="45" t="n">
        <v>0.964718260462941</v>
      </c>
      <c r="O389" s="45" t="n"/>
      <c r="P389" s="45" t="n">
        <v>0.940428989275268</v>
      </c>
      <c r="Q389" s="45" t="n"/>
      <c r="R389" s="45" t="n">
        <v>0.9365514020675459</v>
      </c>
      <c r="S389" s="45" t="n">
        <v>0.8356164383561639</v>
      </c>
      <c r="T389" s="45" t="n">
        <v>0.978368517070628</v>
      </c>
      <c r="U389" s="45" t="n">
        <v>0.967963413909841</v>
      </c>
      <c r="V389" s="45" t="n"/>
      <c r="W389" s="45" t="n"/>
      <c r="X389" s="45" t="n">
        <v>0.977494018146929</v>
      </c>
      <c r="Y389" s="45" t="n"/>
      <c r="Z389" s="45" t="n">
        <v>0.923442685728874</v>
      </c>
      <c r="AA389" s="45" t="n"/>
      <c r="AB389" s="45" t="n">
        <v>0.9613561833375101</v>
      </c>
      <c r="AC389" s="45" t="n">
        <v>0.660649819494585</v>
      </c>
      <c r="AD389" s="45" t="n">
        <v>0.803854389721627</v>
      </c>
      <c r="AE389" s="45" t="n">
        <v>0.8924421469953669</v>
      </c>
      <c r="AF389" s="75">
        <f>IFERROR(AVERAGE(L389:U389),"")</f>
        <v/>
      </c>
      <c r="AG389" s="75">
        <f>IFERROR(AVERAGE(V389:AE389),"")</f>
        <v/>
      </c>
      <c r="AH389" s="75">
        <f>IFERROR(AVERAGE(B389:K389),"")</f>
        <v/>
      </c>
      <c r="AI389" s="45" t="n">
        <v>0.931659698486328</v>
      </c>
      <c r="AJ389" s="47" t="n">
        <v>0.0217704772949219</v>
      </c>
    </row>
    <row r="390" ht="15" customHeight="1" s="30">
      <c r="A390" s="73" t="inlineStr">
        <is>
          <t>9055.jpg</t>
        </is>
      </c>
      <c r="B390" s="45" t="n"/>
      <c r="C390" s="45" t="n"/>
      <c r="D390" s="45" t="n">
        <v>0.951839403287444</v>
      </c>
      <c r="E390" s="45" t="n"/>
      <c r="F390" s="45" t="n">
        <v>0.88394451833555</v>
      </c>
      <c r="G390" s="45" t="n"/>
      <c r="H390" s="45" t="n">
        <v>0.895969135091558</v>
      </c>
      <c r="I390" s="45" t="n">
        <v>0.307692307692308</v>
      </c>
      <c r="J390" s="45" t="n"/>
      <c r="K390" s="45" t="n">
        <v>0.9057586197963891</v>
      </c>
      <c r="L390" s="45" t="n"/>
      <c r="M390" s="45" t="n"/>
      <c r="N390" s="45" t="n">
        <v>0.981763784014817</v>
      </c>
      <c r="O390" s="45" t="n"/>
      <c r="P390" s="45" t="n">
        <v>0.9221407333994051</v>
      </c>
      <c r="Q390" s="45" t="n"/>
      <c r="R390" s="45" t="n">
        <v>0.941612907130149</v>
      </c>
      <c r="S390" s="45" t="n">
        <v>0.715953307392996</v>
      </c>
      <c r="T390" s="45" t="n"/>
      <c r="U390" s="45" t="n">
        <v>0.970243821222436</v>
      </c>
      <c r="V390" s="45" t="n"/>
      <c r="W390" s="45" t="n"/>
      <c r="X390" s="45" t="n">
        <v>0.9689711741270211</v>
      </c>
      <c r="Y390" s="45" t="n"/>
      <c r="Z390" s="45" t="n">
        <v>0.955237977906452</v>
      </c>
      <c r="AA390" s="45" t="n"/>
      <c r="AB390" s="45" t="n">
        <v>0.948674487232642</v>
      </c>
      <c r="AC390" s="45" t="n">
        <v>0.350476190476191</v>
      </c>
      <c r="AD390" s="45" t="n"/>
      <c r="AE390" s="45" t="n">
        <v>0.931638127042774</v>
      </c>
      <c r="AF390" s="75">
        <f>IFERROR(AVERAGE(L390:U390),"")</f>
        <v/>
      </c>
      <c r="AG390" s="75">
        <f>IFERROR(AVERAGE(V390:AE390),"")</f>
        <v/>
      </c>
      <c r="AH390" s="75">
        <f>IFERROR(AVERAGE(B390:K390),"")</f>
        <v/>
      </c>
      <c r="AI390" s="45" t="n">
        <v>0.944072723388672</v>
      </c>
      <c r="AJ390" s="47" t="n">
        <v>0.0145530700683594</v>
      </c>
    </row>
    <row r="391" ht="15" customHeight="1" s="30">
      <c r="A391" s="73" t="inlineStr">
        <is>
          <t>9056.jpg</t>
        </is>
      </c>
      <c r="B391" s="45" t="n"/>
      <c r="C391" s="45" t="n"/>
      <c r="D391" s="45" t="n">
        <v>0.885467804203803</v>
      </c>
      <c r="E391" s="45" t="n"/>
      <c r="F391" s="45" t="n">
        <v>0.756019518438525</v>
      </c>
      <c r="G391" s="45" t="n"/>
      <c r="H391" s="45" t="n">
        <v>0.926379863453155</v>
      </c>
      <c r="I391" s="45" t="n">
        <v>0</v>
      </c>
      <c r="J391" s="45" t="n"/>
      <c r="K391" s="45" t="n">
        <v>0.9154029326983329</v>
      </c>
      <c r="L391" s="45" t="n"/>
      <c r="M391" s="45" t="n"/>
      <c r="N391" s="45" t="n">
        <v>0.980343526556028</v>
      </c>
      <c r="O391" s="45" t="n"/>
      <c r="P391" s="45" t="n">
        <v>0.796007748673461</v>
      </c>
      <c r="Q391" s="45" t="n"/>
      <c r="R391" s="45" t="n">
        <v>0.955853288875417</v>
      </c>
      <c r="S391" s="45" t="n"/>
      <c r="T391" s="45" t="n"/>
      <c r="U391" s="45" t="n">
        <v>0.9949327085490109</v>
      </c>
      <c r="V391" s="45" t="n"/>
      <c r="W391" s="45" t="n"/>
      <c r="X391" s="45" t="n">
        <v>0.90147269330616</v>
      </c>
      <c r="Y391" s="45" t="n"/>
      <c r="Z391" s="45" t="n">
        <v>0.93769223137216</v>
      </c>
      <c r="AA391" s="45" t="n"/>
      <c r="AB391" s="45" t="n">
        <v>0.967787080458641</v>
      </c>
      <c r="AC391" s="45" t="n">
        <v>0</v>
      </c>
      <c r="AD391" s="45" t="n"/>
      <c r="AE391" s="45" t="n">
        <v>0.919690750207762</v>
      </c>
      <c r="AF391" s="75">
        <f>IFERROR(AVERAGE(L391:U391),"")</f>
        <v/>
      </c>
      <c r="AG391" s="75">
        <f>IFERROR(AVERAGE(V391:AE391),"")</f>
        <v/>
      </c>
      <c r="AH391" s="75">
        <f>IFERROR(AVERAGE(B391:K391),"")</f>
        <v/>
      </c>
      <c r="AI391" s="45" t="n">
        <v>0.9325103759765631</v>
      </c>
      <c r="AJ391" s="47" t="n">
        <v>0.0301513671875</v>
      </c>
    </row>
    <row r="392" ht="15" customHeight="1" s="30">
      <c r="A392" s="73" t="inlineStr">
        <is>
          <t>9058.jpg</t>
        </is>
      </c>
      <c r="B392" s="45" t="n"/>
      <c r="C392" s="45" t="n"/>
      <c r="D392" s="45" t="n">
        <v>0.938497814019748</v>
      </c>
      <c r="E392" s="45" t="n"/>
      <c r="F392" s="45" t="n">
        <v>0.836424829820078</v>
      </c>
      <c r="G392" s="45" t="n"/>
      <c r="H392" s="45" t="n">
        <v>0.88283714511041</v>
      </c>
      <c r="I392" s="45" t="n">
        <v>0.921610169491525</v>
      </c>
      <c r="J392" s="45" t="n"/>
      <c r="K392" s="45" t="n">
        <v>0.884631951213983</v>
      </c>
      <c r="L392" s="45" t="n"/>
      <c r="M392" s="45" t="n"/>
      <c r="N392" s="45" t="n">
        <v>0.973379187364667</v>
      </c>
      <c r="O392" s="45" t="n"/>
      <c r="P392" s="45" t="n">
        <v>0.91278893154014</v>
      </c>
      <c r="Q392" s="45" t="n"/>
      <c r="R392" s="45" t="n">
        <v>0.923421952602726</v>
      </c>
      <c r="S392" s="45" t="n">
        <v>0.9819413092550791</v>
      </c>
      <c r="T392" s="45" t="n"/>
      <c r="U392" s="45" t="n">
        <v>0.9742915400940449</v>
      </c>
      <c r="V392" s="45" t="n"/>
      <c r="W392" s="45" t="n"/>
      <c r="X392" s="45" t="n">
        <v>0.963220650886082</v>
      </c>
      <c r="Y392" s="45" t="n"/>
      <c r="Z392" s="45" t="n">
        <v>0.909073406859375</v>
      </c>
      <c r="AA392" s="45" t="n"/>
      <c r="AB392" s="45" t="n">
        <v>0.952577648560488</v>
      </c>
      <c r="AC392" s="45" t="n">
        <v>0.9375</v>
      </c>
      <c r="AD392" s="45" t="n"/>
      <c r="AE392" s="45" t="n">
        <v>0.905775123023119</v>
      </c>
      <c r="AF392" s="75">
        <f>IFERROR(AVERAGE(L392:U392),"")</f>
        <v/>
      </c>
      <c r="AG392" s="75">
        <f>IFERROR(AVERAGE(V392:AE392),"")</f>
        <v/>
      </c>
      <c r="AH392" s="75">
        <f>IFERROR(AVERAGE(B392:K392),"")</f>
        <v/>
      </c>
      <c r="AI392" s="45" t="n">
        <v>0.925052642822266</v>
      </c>
      <c r="AJ392" s="47" t="n">
        <v>0.0301017761230469</v>
      </c>
    </row>
    <row r="393" ht="15" customHeight="1" s="30">
      <c r="A393" s="73" t="inlineStr">
        <is>
          <t>9060.jpg</t>
        </is>
      </c>
      <c r="B393" s="45" t="n"/>
      <c r="C393" s="45" t="n"/>
      <c r="D393" s="45" t="n">
        <v>0.947026388341867</v>
      </c>
      <c r="E393" s="45" t="n"/>
      <c r="F393" s="45" t="n">
        <v>0.870228848676676</v>
      </c>
      <c r="G393" s="45" t="n"/>
      <c r="H393" s="45" t="n">
        <v>0.8260762100926879</v>
      </c>
      <c r="I393" s="45" t="n">
        <v>0.866228070175439</v>
      </c>
      <c r="J393" s="45" t="n"/>
      <c r="K393" s="45" t="n">
        <v>0.859838788322058</v>
      </c>
      <c r="L393" s="45" t="n"/>
      <c r="M393" s="45" t="n"/>
      <c r="N393" s="45" t="n">
        <v>0.985114373506316</v>
      </c>
      <c r="O393" s="45" t="n"/>
      <c r="P393" s="45" t="n">
        <v>0.959940277937292</v>
      </c>
      <c r="Q393" s="45" t="n"/>
      <c r="R393" s="45" t="n">
        <v>0.861586715074438</v>
      </c>
      <c r="S393" s="45" t="n">
        <v>0.914351851851852</v>
      </c>
      <c r="T393" s="45" t="n"/>
      <c r="U393" s="45" t="n">
        <v>0.9744008150297</v>
      </c>
      <c r="V393" s="45" t="n"/>
      <c r="W393" s="45" t="n"/>
      <c r="X393" s="45" t="n">
        <v>0.960775173148642</v>
      </c>
      <c r="Y393" s="45" t="n"/>
      <c r="Z393" s="45" t="n">
        <v>0.903022969381361</v>
      </c>
      <c r="AA393" s="45" t="n"/>
      <c r="AB393" s="45" t="n">
        <v>0.952478210273826</v>
      </c>
      <c r="AC393" s="45" t="n">
        <v>0.9427207637231499</v>
      </c>
      <c r="AD393" s="45" t="n"/>
      <c r="AE393" s="45" t="n">
        <v>0.879710969592567</v>
      </c>
      <c r="AF393" s="75">
        <f>IFERROR(AVERAGE(L393:U393),"")</f>
        <v/>
      </c>
      <c r="AG393" s="75">
        <f>IFERROR(AVERAGE(V393:AE393),"")</f>
        <v/>
      </c>
      <c r="AH393" s="75">
        <f>IFERROR(AVERAGE(B393:K393),"")</f>
        <v/>
      </c>
      <c r="AI393" s="45" t="n">
        <v>0.9095458984375</v>
      </c>
      <c r="AJ393" s="47" t="n">
        <v>0.0452766418457031</v>
      </c>
    </row>
    <row r="394" ht="15" customHeight="1" s="30">
      <c r="A394" s="73" t="inlineStr">
        <is>
          <t>9067.jpg</t>
        </is>
      </c>
      <c r="B394" s="45" t="n"/>
      <c r="C394" s="45" t="n"/>
      <c r="D394" s="45" t="n">
        <v>0.945032160780341</v>
      </c>
      <c r="E394" s="45" t="n"/>
      <c r="F394" s="45" t="n">
        <v>0.859639306159342</v>
      </c>
      <c r="G394" s="45" t="n"/>
      <c r="H394" s="45" t="n">
        <v>0.836821913451408</v>
      </c>
      <c r="I394" s="45" t="n">
        <v>0.856</v>
      </c>
      <c r="J394" s="45" t="n">
        <v>0.497619047619048</v>
      </c>
      <c r="K394" s="45" t="n">
        <v>0.8998489698972481</v>
      </c>
      <c r="L394" s="45" t="n"/>
      <c r="M394" s="45" t="n"/>
      <c r="N394" s="45" t="n">
        <v>0.979152426520848</v>
      </c>
      <c r="O394" s="45" t="n"/>
      <c r="P394" s="45" t="n">
        <v>0.892443808928013</v>
      </c>
      <c r="Q394" s="45" t="n"/>
      <c r="R394" s="45" t="n">
        <v>0.878560844794123</v>
      </c>
      <c r="S394" s="45" t="n">
        <v>0.932752179327522</v>
      </c>
      <c r="T394" s="45" t="n">
        <v>0.880927291886196</v>
      </c>
      <c r="U394" s="45" t="n">
        <v>0.985279360009046</v>
      </c>
      <c r="V394" s="45" t="n"/>
      <c r="W394" s="45" t="n"/>
      <c r="X394" s="45" t="n">
        <v>0.964437711894972</v>
      </c>
      <c r="Y394" s="45" t="n"/>
      <c r="Z394" s="45" t="n">
        <v>0.9589935657351391</v>
      </c>
      <c r="AA394" s="45" t="n"/>
      <c r="AB394" s="45" t="n">
        <v>0.946277647905053</v>
      </c>
      <c r="AC394" s="45" t="n">
        <v>0.912302070645554</v>
      </c>
      <c r="AD394" s="45" t="n">
        <v>0.533503509891512</v>
      </c>
      <c r="AE394" s="45" t="n">
        <v>0.912111636670527</v>
      </c>
      <c r="AF394" s="75">
        <f>IFERROR(AVERAGE(L394:U394),"")</f>
        <v/>
      </c>
      <c r="AG394" s="75">
        <f>IFERROR(AVERAGE(V394:AE394),"")</f>
        <v/>
      </c>
      <c r="AH394" s="75">
        <f>IFERROR(AVERAGE(B394:K394),"")</f>
        <v/>
      </c>
      <c r="AI394" s="45" t="n">
        <v>0.92767333984375</v>
      </c>
      <c r="AJ394" s="47" t="n">
        <v>0.0291061401367188</v>
      </c>
    </row>
    <row r="395" ht="15" customHeight="1" s="30">
      <c r="A395" s="73" t="inlineStr">
        <is>
          <t>9068.jpg</t>
        </is>
      </c>
      <c r="B395" s="45" t="n"/>
      <c r="C395" s="45" t="n"/>
      <c r="D395" s="45" t="n">
        <v>0.953316175014849</v>
      </c>
      <c r="E395" s="45" t="n"/>
      <c r="F395" s="45" t="n">
        <v>0.897531439217513</v>
      </c>
      <c r="G395" s="45" t="n"/>
      <c r="H395" s="45" t="n">
        <v>0.6907182987417</v>
      </c>
      <c r="I395" s="45" t="n">
        <v>0.740740740740741</v>
      </c>
      <c r="J395" s="45" t="n">
        <v>0.5795954265611259</v>
      </c>
      <c r="K395" s="45" t="n">
        <v>0.88212468153952</v>
      </c>
      <c r="L395" s="45" t="n"/>
      <c r="M395" s="45" t="n"/>
      <c r="N395" s="45" t="n">
        <v>0.9866808737346831</v>
      </c>
      <c r="O395" s="45" t="n"/>
      <c r="P395" s="45" t="n">
        <v>0.950718123012828</v>
      </c>
      <c r="Q395" s="45" t="n"/>
      <c r="R395" s="45" t="n">
        <v>0.714453809763946</v>
      </c>
      <c r="S395" s="45" t="n">
        <v>0.818553888130969</v>
      </c>
      <c r="T395" s="45" t="n">
        <v>0.891745602165088</v>
      </c>
      <c r="U395" s="45" t="n">
        <v>0.985362239563498</v>
      </c>
      <c r="V395" s="45" t="n"/>
      <c r="W395" s="45" t="n"/>
      <c r="X395" s="45" t="n">
        <v>0.965744083433614</v>
      </c>
      <c r="Y395" s="45" t="n"/>
      <c r="Z395" s="45" t="n">
        <v>0.941326530612245</v>
      </c>
      <c r="AA395" s="45" t="n"/>
      <c r="AB395" s="45" t="n">
        <v>0.954109611005997</v>
      </c>
      <c r="AC395" s="45" t="n">
        <v>0.886262924667651</v>
      </c>
      <c r="AD395" s="45" t="n">
        <v>0.623462630085147</v>
      </c>
      <c r="AE395" s="45" t="n">
        <v>0.8938376599312849</v>
      </c>
      <c r="AF395" s="75">
        <f>IFERROR(AVERAGE(L395:U395),"")</f>
        <v/>
      </c>
      <c r="AG395" s="75">
        <f>IFERROR(AVERAGE(V395:AE395),"")</f>
        <v/>
      </c>
      <c r="AH395" s="75">
        <f>IFERROR(AVERAGE(B395:K395),"")</f>
        <v/>
      </c>
      <c r="AI395" s="45" t="n">
        <v>0.915802001953125</v>
      </c>
      <c r="AJ395" s="47" t="n">
        <v>0.0232391357421875</v>
      </c>
    </row>
    <row r="396" ht="15" customHeight="1" s="30">
      <c r="A396" s="73" t="inlineStr">
        <is>
          <t>9082.jpg</t>
        </is>
      </c>
      <c r="B396" s="45" t="n">
        <v>0</v>
      </c>
      <c r="C396" s="45" t="n"/>
      <c r="D396" s="45" t="n">
        <v>0.838950526829949</v>
      </c>
      <c r="E396" s="45" t="n"/>
      <c r="F396" s="45" t="n">
        <v>0.872090892431739</v>
      </c>
      <c r="G396" s="45" t="n">
        <v>0.9338589193544869</v>
      </c>
      <c r="H396" s="45" t="n">
        <v>0.9042704985371059</v>
      </c>
      <c r="I396" s="45" t="n">
        <v>0</v>
      </c>
      <c r="J396" s="45" t="n"/>
      <c r="K396" s="45" t="n">
        <v>0.879801020863596</v>
      </c>
      <c r="L396" s="45" t="n">
        <v>0</v>
      </c>
      <c r="M396" s="45" t="n"/>
      <c r="N396" s="45" t="n">
        <v>0.901815181518152</v>
      </c>
      <c r="O396" s="45" t="n"/>
      <c r="P396" s="45" t="n">
        <v>0.8989421987155271</v>
      </c>
      <c r="Q396" s="45" t="n">
        <v>0.989843028624192</v>
      </c>
      <c r="R396" s="45" t="n">
        <v>0.943487871998075</v>
      </c>
      <c r="S396" s="45" t="n">
        <v>0</v>
      </c>
      <c r="T396" s="45" t="n"/>
      <c r="U396" s="45" t="n">
        <v>0.971739714977144</v>
      </c>
      <c r="V396" s="45" t="n"/>
      <c r="W396" s="45" t="n"/>
      <c r="X396" s="45" t="n">
        <v>0.9232836737828291</v>
      </c>
      <c r="Y396" s="45" t="n"/>
      <c r="Z396" s="45" t="n">
        <v>0.9668833807395369</v>
      </c>
      <c r="AA396" s="45" t="n">
        <v>0.942894210260132</v>
      </c>
      <c r="AB396" s="45" t="n">
        <v>0.956053333333333</v>
      </c>
      <c r="AC396" s="45" t="n"/>
      <c r="AD396" s="45" t="n"/>
      <c r="AE396" s="45" t="n">
        <v>0.902903161331157</v>
      </c>
      <c r="AF396" s="75">
        <f>IFERROR(AVERAGE(L396:U396),"")</f>
        <v/>
      </c>
      <c r="AG396" s="75">
        <f>IFERROR(AVERAGE(V396:AE396),"")</f>
        <v/>
      </c>
      <c r="AH396" s="75">
        <f>IFERROR(AVERAGE(B396:K396),"")</f>
        <v/>
      </c>
      <c r="AI396" s="45" t="n">
        <v>0.926372528076172</v>
      </c>
      <c r="AJ396" s="47" t="n">
        <v>0.0299949645996094</v>
      </c>
    </row>
    <row r="397" ht="15" customHeight="1" s="30">
      <c r="A397" s="73" t="inlineStr">
        <is>
          <t>9092.jpg</t>
        </is>
      </c>
      <c r="B397" s="45" t="n">
        <v>0</v>
      </c>
      <c r="C397" s="45" t="n"/>
      <c r="D397" s="45" t="n">
        <v>0.927169208111069</v>
      </c>
      <c r="E397" s="45" t="n"/>
      <c r="F397" s="45" t="n">
        <v>0.762994408780286</v>
      </c>
      <c r="G397" s="45" t="n"/>
      <c r="H397" s="45" t="n">
        <v>0.8343802445456731</v>
      </c>
      <c r="I397" s="45" t="n">
        <v>0.781763826606876</v>
      </c>
      <c r="J397" s="45" t="n">
        <v>0.851784080512351</v>
      </c>
      <c r="K397" s="45" t="n">
        <v>0</v>
      </c>
      <c r="L397" s="45" t="n"/>
      <c r="M397" s="45" t="n"/>
      <c r="N397" s="45" t="n">
        <v>0.962953290553649</v>
      </c>
      <c r="O397" s="45" t="n"/>
      <c r="P397" s="45" t="n">
        <v>0.853387376954256</v>
      </c>
      <c r="Q397" s="45" t="n"/>
      <c r="R397" s="45" t="n">
        <v>0.910827758759671</v>
      </c>
      <c r="S397" s="45" t="n">
        <v>0.9526411657559199</v>
      </c>
      <c r="T397" s="45" t="n">
        <v>0.870907390084191</v>
      </c>
      <c r="U397" s="45" t="n">
        <v>0</v>
      </c>
      <c r="V397" s="45" t="n">
        <v>0</v>
      </c>
      <c r="W397" s="45" t="n"/>
      <c r="X397" s="45" t="n">
        <v>0.961464677506472</v>
      </c>
      <c r="Y397" s="45" t="n"/>
      <c r="Z397" s="45" t="n">
        <v>0.8780981887511921</v>
      </c>
      <c r="AA397" s="45" t="n"/>
      <c r="AB397" s="45" t="n">
        <v>0.908601982100525</v>
      </c>
      <c r="AC397" s="45" t="n">
        <v>0.813374805598756</v>
      </c>
      <c r="AD397" s="45" t="n">
        <v>0.974869109947644</v>
      </c>
      <c r="AE397" s="45" t="n"/>
      <c r="AF397" s="75">
        <f>IFERROR(AVERAGE(L397:U397),"")</f>
        <v/>
      </c>
      <c r="AG397" s="75">
        <f>IFERROR(AVERAGE(V397:AE397),"")</f>
        <v/>
      </c>
      <c r="AH397" s="75">
        <f>IFERROR(AVERAGE(B397:K397),"")</f>
        <v/>
      </c>
      <c r="AI397" s="45" t="n">
        <v>0.6012420654296881</v>
      </c>
      <c r="AJ397" s="47" t="n">
        <v>0.0249900817871094</v>
      </c>
    </row>
    <row r="398" ht="15" customHeight="1" s="30">
      <c r="A398" s="73" t="inlineStr">
        <is>
          <t>9096.jpg</t>
        </is>
      </c>
      <c r="B398" s="45" t="n">
        <v>0</v>
      </c>
      <c r="C398" s="45" t="n"/>
      <c r="D398" s="45" t="n">
        <v>0.921814603977792</v>
      </c>
      <c r="E398" s="45" t="n"/>
      <c r="F398" s="45" t="n">
        <v>0.839513418342848</v>
      </c>
      <c r="G398" s="45" t="n"/>
      <c r="H398" s="45" t="n">
        <v>0.842018099012243</v>
      </c>
      <c r="I398" s="45" t="n">
        <v>0.859782333586434</v>
      </c>
      <c r="J398" s="45" t="n">
        <v>0.887872954764196</v>
      </c>
      <c r="K398" s="45" t="n">
        <v>0</v>
      </c>
      <c r="L398" s="45" t="n"/>
      <c r="M398" s="45" t="n"/>
      <c r="N398" s="45" t="n">
        <v>0.953927272727273</v>
      </c>
      <c r="O398" s="45" t="n"/>
      <c r="P398" s="45" t="n">
        <v>0.867595434578838</v>
      </c>
      <c r="Q398" s="45" t="n"/>
      <c r="R398" s="45" t="n">
        <v>0.891689424498284</v>
      </c>
      <c r="S398" s="45" t="n">
        <v>0.9195993502977799</v>
      </c>
      <c r="T398" s="45" t="n">
        <v>0.945184426229508</v>
      </c>
      <c r="U398" s="45" t="n">
        <v>0</v>
      </c>
      <c r="V398" s="45" t="n">
        <v>0</v>
      </c>
      <c r="W398" s="45" t="n"/>
      <c r="X398" s="45" t="n">
        <v>0.964767754036262</v>
      </c>
      <c r="Y398" s="45" t="n"/>
      <c r="Z398" s="45" t="n">
        <v>0.962876083630801</v>
      </c>
      <c r="AA398" s="45" t="n"/>
      <c r="AB398" s="45" t="n">
        <v>0.937948846341367</v>
      </c>
      <c r="AC398" s="45" t="n">
        <v>0.929666119321292</v>
      </c>
      <c r="AD398" s="45" t="n">
        <v>0.936073059360731</v>
      </c>
      <c r="AE398" s="45" t="n"/>
      <c r="AF398" s="75">
        <f>IFERROR(AVERAGE(L398:U398),"")</f>
        <v/>
      </c>
      <c r="AG398" s="75">
        <f>IFERROR(AVERAGE(V398:AE398),"")</f>
        <v/>
      </c>
      <c r="AH398" s="75">
        <f>IFERROR(AVERAGE(B398:K398),"")</f>
        <v/>
      </c>
      <c r="AI398" s="45" t="n">
        <v>0.671741485595703</v>
      </c>
      <c r="AJ398" s="47" t="n">
        <v>0.0415115356445313</v>
      </c>
    </row>
    <row r="399" ht="15" customHeight="1" s="30">
      <c r="A399" s="73" t="inlineStr">
        <is>
          <t>9107.jpg</t>
        </is>
      </c>
      <c r="B399" s="45" t="n"/>
      <c r="C399" s="45" t="n"/>
      <c r="D399" s="45" t="n">
        <v>0.857857209000833</v>
      </c>
      <c r="E399" s="45" t="n"/>
      <c r="F399" s="45" t="n">
        <v>0.673335166597919</v>
      </c>
      <c r="G399" s="45" t="n"/>
      <c r="H399" s="45" t="n">
        <v>0.892983906257597</v>
      </c>
      <c r="I399" s="45" t="n">
        <v>0.786426592797784</v>
      </c>
      <c r="J399" s="45" t="n"/>
      <c r="K399" s="45" t="n">
        <v>0.340021236119099</v>
      </c>
      <c r="L399" s="45" t="n"/>
      <c r="M399" s="45" t="n"/>
      <c r="N399" s="45" t="n">
        <v>0.935297012834589</v>
      </c>
      <c r="O399" s="45" t="n"/>
      <c r="P399" s="45" t="n">
        <v>0.849686243891154</v>
      </c>
      <c r="Q399" s="45" t="n"/>
      <c r="R399" s="45" t="n">
        <v>0.933127394295353</v>
      </c>
      <c r="S399" s="45" t="n">
        <v>0.827214452214452</v>
      </c>
      <c r="T399" s="45" t="n"/>
      <c r="U399" s="45" t="n">
        <v>0.882934114538457</v>
      </c>
      <c r="V399" s="45" t="n"/>
      <c r="W399" s="45" t="n"/>
      <c r="X399" s="45" t="n">
        <v>0.911979326893497</v>
      </c>
      <c r="Y399" s="45" t="n"/>
      <c r="Z399" s="45" t="n">
        <v>0.764386056191467</v>
      </c>
      <c r="AA399" s="45" t="n"/>
      <c r="AB399" s="45" t="n">
        <v>0.954038273734079</v>
      </c>
      <c r="AC399" s="45" t="n">
        <v>0.941000994365264</v>
      </c>
      <c r="AD399" s="45" t="n"/>
      <c r="AE399" s="45" t="n">
        <v>0.356073943661972</v>
      </c>
      <c r="AF399" s="75">
        <f>IFERROR(AVERAGE(L399:U399),"")</f>
        <v/>
      </c>
      <c r="AG399" s="75">
        <f>IFERROR(AVERAGE(V399:AE399),"")</f>
        <v/>
      </c>
      <c r="AH399" s="75">
        <f>IFERROR(AVERAGE(B399:K399),"")</f>
        <v/>
      </c>
      <c r="AI399" s="45" t="n">
        <v>0.814571380615234</v>
      </c>
      <c r="AJ399" s="47" t="n">
        <v>0.11090087890625</v>
      </c>
    </row>
    <row r="400" ht="15" customHeight="1" s="30">
      <c r="A400" s="73" t="inlineStr">
        <is>
          <t>9109.jpg</t>
        </is>
      </c>
      <c r="B400" s="45" t="n">
        <v>0</v>
      </c>
      <c r="C400" s="45" t="n"/>
      <c r="D400" s="45" t="n">
        <v>0.88058404761596</v>
      </c>
      <c r="E400" s="45" t="n"/>
      <c r="F400" s="45" t="n">
        <v>0.7679196924391291</v>
      </c>
      <c r="G400" s="45" t="n"/>
      <c r="H400" s="45" t="n">
        <v>0.857875457875458</v>
      </c>
      <c r="I400" s="45" t="n">
        <v>0.861015892801496</v>
      </c>
      <c r="J400" s="45" t="n"/>
      <c r="K400" s="45" t="n">
        <v>0.131672284272906</v>
      </c>
      <c r="L400" s="45" t="n">
        <v>0</v>
      </c>
      <c r="M400" s="45" t="n"/>
      <c r="N400" s="45" t="n">
        <v>0.94903221298302</v>
      </c>
      <c r="O400" s="45" t="n"/>
      <c r="P400" s="45" t="n">
        <v>0.853406123902208</v>
      </c>
      <c r="Q400" s="45" t="n"/>
      <c r="R400" s="45" t="n">
        <v>0.917887049286889</v>
      </c>
      <c r="S400" s="45" t="n">
        <v>0.89766081871345</v>
      </c>
      <c r="T400" s="45" t="n"/>
      <c r="U400" s="45" t="n">
        <v>0.624294965531648</v>
      </c>
      <c r="V400" s="45" t="n"/>
      <c r="W400" s="45" t="n"/>
      <c r="X400" s="45" t="n">
        <v>0.924295630869743</v>
      </c>
      <c r="Y400" s="45" t="n"/>
      <c r="Z400" s="45" t="n">
        <v>0.884607814191517</v>
      </c>
      <c r="AA400" s="45" t="n"/>
      <c r="AB400" s="45" t="n">
        <v>0.929185213857171</v>
      </c>
      <c r="AC400" s="45" t="n">
        <v>0.95473393227367</v>
      </c>
      <c r="AD400" s="45" t="n"/>
      <c r="AE400" s="45" t="n">
        <v>0.143004115226337</v>
      </c>
      <c r="AF400" s="75">
        <f>IFERROR(AVERAGE(L400:U400),"")</f>
        <v/>
      </c>
      <c r="AG400" s="75">
        <f>IFERROR(AVERAGE(V400:AE400),"")</f>
        <v/>
      </c>
      <c r="AH400" s="75">
        <f>IFERROR(AVERAGE(B400:K400),"")</f>
        <v/>
      </c>
      <c r="AI400" s="45" t="n">
        <v>0.79583740234375</v>
      </c>
      <c r="AJ400" s="47" t="n">
        <v>0.0663948059082031</v>
      </c>
    </row>
    <row r="401" ht="15" customHeight="1" s="30">
      <c r="A401" s="73" t="inlineStr">
        <is>
          <t>9112.jpg</t>
        </is>
      </c>
      <c r="B401" s="45" t="n"/>
      <c r="C401" s="45" t="n"/>
      <c r="D401" s="45" t="n">
        <v>0.5437788018433179</v>
      </c>
      <c r="E401" s="45" t="n"/>
      <c r="F401" s="45" t="n">
        <v>0.8548531404177</v>
      </c>
      <c r="G401" s="45" t="n">
        <v>0.880309086064482</v>
      </c>
      <c r="H401" s="45" t="n">
        <v>0.9481817340612571</v>
      </c>
      <c r="I401" s="45" t="n">
        <v>0.5277108433734941</v>
      </c>
      <c r="J401" s="45" t="n"/>
      <c r="K401" s="45" t="n">
        <v>0.940566116045489</v>
      </c>
      <c r="L401" s="45" t="n"/>
      <c r="M401" s="45" t="n"/>
      <c r="N401" s="45" t="n">
        <v>0.593860090588827</v>
      </c>
      <c r="O401" s="45" t="n"/>
      <c r="P401" s="45" t="n">
        <v>0.910231633958464</v>
      </c>
      <c r="Q401" s="45" t="n">
        <v>0.884693658954584</v>
      </c>
      <c r="R401" s="45" t="n">
        <v>0.990833317217506</v>
      </c>
      <c r="S401" s="45" t="n">
        <v>0.711038961038961</v>
      </c>
      <c r="T401" s="45" t="n"/>
      <c r="U401" s="45" t="n">
        <v>0.985614206472938</v>
      </c>
      <c r="V401" s="45" t="n"/>
      <c r="W401" s="45" t="n"/>
      <c r="X401" s="45" t="n">
        <v>0.865737344093911</v>
      </c>
      <c r="Y401" s="45" t="n"/>
      <c r="Z401" s="45" t="n">
        <v>0.933558527120963</v>
      </c>
      <c r="AA401" s="45" t="n">
        <v>0.994401637370576</v>
      </c>
      <c r="AB401" s="45" t="n">
        <v>0.956572879520547</v>
      </c>
      <c r="AC401" s="45" t="n">
        <v>0.671779141104295</v>
      </c>
      <c r="AD401" s="45" t="n"/>
      <c r="AE401" s="45" t="n">
        <v>0.953658204983782</v>
      </c>
      <c r="AF401" s="75">
        <f>IFERROR(AVERAGE(L401:U401),"")</f>
        <v/>
      </c>
      <c r="AG401" s="75">
        <f>IFERROR(AVERAGE(V401:AE401),"")</f>
        <v/>
      </c>
      <c r="AH401" s="75">
        <f>IFERROR(AVERAGE(B401:K401),"")</f>
        <v/>
      </c>
      <c r="AI401" s="45" t="n">
        <v>0.953281402587891</v>
      </c>
      <c r="AJ401" s="47" t="n">
        <v>0.0124969482421875</v>
      </c>
    </row>
    <row r="402" ht="15" customHeight="1" s="30">
      <c r="A402" s="73" t="inlineStr">
        <is>
          <t>9113.jpg</t>
        </is>
      </c>
      <c r="B402" s="45" t="n"/>
      <c r="C402" s="45" t="n"/>
      <c r="D402" s="45" t="n">
        <v>0.912608405603736</v>
      </c>
      <c r="E402" s="45" t="n"/>
      <c r="F402" s="45" t="n">
        <v>0.845676448310406</v>
      </c>
      <c r="G402" s="45" t="n">
        <v>0.953994324533494</v>
      </c>
      <c r="H402" s="45" t="n">
        <v>0.9475500345065559</v>
      </c>
      <c r="I402" s="45" t="n">
        <v>0</v>
      </c>
      <c r="J402" s="45" t="n"/>
      <c r="K402" s="45" t="n">
        <v>0.939618210487469</v>
      </c>
      <c r="L402" s="45" t="n"/>
      <c r="M402" s="45" t="n"/>
      <c r="N402" s="45" t="n">
        <v>0.947368421052632</v>
      </c>
      <c r="O402" s="45" t="n"/>
      <c r="P402" s="45" t="n">
        <v>0.911223442066188</v>
      </c>
      <c r="Q402" s="45" t="n">
        <v>0.992574035966717</v>
      </c>
      <c r="R402" s="45" t="n">
        <v>0.992844909609895</v>
      </c>
      <c r="S402" s="45" t="n">
        <v>0</v>
      </c>
      <c r="T402" s="45" t="n"/>
      <c r="U402" s="45" t="n">
        <v>0.972411446506816</v>
      </c>
      <c r="V402" s="45" t="n"/>
      <c r="W402" s="45" t="n"/>
      <c r="X402" s="45" t="n">
        <v>0.961349262122277</v>
      </c>
      <c r="Y402" s="45" t="n"/>
      <c r="Z402" s="45" t="n">
        <v>0.921608307815204</v>
      </c>
      <c r="AA402" s="45" t="n">
        <v>0.960852243201109</v>
      </c>
      <c r="AB402" s="45" t="n">
        <v>0.954065025783564</v>
      </c>
      <c r="AC402" s="45" t="n">
        <v>0</v>
      </c>
      <c r="AD402" s="45" t="n"/>
      <c r="AE402" s="45" t="n">
        <v>0.9653527457225189</v>
      </c>
      <c r="AF402" s="75">
        <f>IFERROR(AVERAGE(L402:U402),"")</f>
        <v/>
      </c>
      <c r="AG402" s="75">
        <f>IFERROR(AVERAGE(V402:AE402),"")</f>
        <v/>
      </c>
      <c r="AH402" s="75">
        <f>IFERROR(AVERAGE(B402:K402),"")</f>
        <v/>
      </c>
      <c r="AI402" s="45" t="n">
        <v>0.955112457275391</v>
      </c>
      <c r="AJ402" s="47" t="n">
        <v>0.0132522583007813</v>
      </c>
    </row>
    <row r="403" ht="15" customHeight="1" s="30">
      <c r="A403" s="73" t="inlineStr">
        <is>
          <t>9114.jpg</t>
        </is>
      </c>
      <c r="B403" s="45" t="n"/>
      <c r="C403" s="45" t="n"/>
      <c r="D403" s="45" t="n">
        <v>0.87688098495212</v>
      </c>
      <c r="E403" s="45" t="n"/>
      <c r="F403" s="45" t="n">
        <v>0.767439753578547</v>
      </c>
      <c r="G403" s="45" t="n">
        <v>0.787094240837696</v>
      </c>
      <c r="H403" s="45" t="n">
        <v>0.944310014807324</v>
      </c>
      <c r="I403" s="45" t="n">
        <v>0.820728291316527</v>
      </c>
      <c r="J403" s="45" t="n"/>
      <c r="K403" s="45" t="n">
        <v>0.884973849595987</v>
      </c>
      <c r="L403" s="45" t="n"/>
      <c r="M403" s="45" t="n"/>
      <c r="N403" s="45" t="n">
        <v>0.9581464872944691</v>
      </c>
      <c r="O403" s="45" t="n"/>
      <c r="P403" s="45" t="n">
        <v>0.848117741289547</v>
      </c>
      <c r="Q403" s="45" t="n">
        <v>0.843039394364223</v>
      </c>
      <c r="R403" s="45" t="n">
        <v>0.986716479867165</v>
      </c>
      <c r="S403" s="45" t="n">
        <v>0.893292682926829</v>
      </c>
      <c r="T403" s="45" t="n"/>
      <c r="U403" s="45" t="n">
        <v>0.959176738618373</v>
      </c>
      <c r="V403" s="45" t="n"/>
      <c r="W403" s="45" t="n"/>
      <c r="X403" s="45" t="n">
        <v>0.9118065433854911</v>
      </c>
      <c r="Y403" s="45" t="n"/>
      <c r="Z403" s="45" t="n">
        <v>0.889717466652663</v>
      </c>
      <c r="AA403" s="45" t="n">
        <v>0.922244034108337</v>
      </c>
      <c r="AB403" s="45" t="n">
        <v>0.9564692541244471</v>
      </c>
      <c r="AC403" s="45" t="n">
        <v>0.909937888198758</v>
      </c>
      <c r="AD403" s="45" t="n"/>
      <c r="AE403" s="45" t="n">
        <v>0.919611124274375</v>
      </c>
      <c r="AF403" s="75">
        <f>IFERROR(AVERAGE(L403:U403),"")</f>
        <v/>
      </c>
      <c r="AG403" s="75">
        <f>IFERROR(AVERAGE(V403:AE403),"")</f>
        <v/>
      </c>
      <c r="AH403" s="75">
        <f>IFERROR(AVERAGE(B403:K403),"")</f>
        <v/>
      </c>
      <c r="AI403" s="45" t="n">
        <v>0.923229217529297</v>
      </c>
      <c r="AJ403" s="47" t="n">
        <v>0.00907135009765625</v>
      </c>
    </row>
    <row r="404" ht="15" customHeight="1" s="30">
      <c r="A404" s="73" t="inlineStr">
        <is>
          <t>9231.jpg</t>
        </is>
      </c>
      <c r="B404" s="45" t="n">
        <v>0</v>
      </c>
      <c r="C404" s="45" t="n"/>
      <c r="D404" s="45" t="n">
        <v>0.776264049292504</v>
      </c>
      <c r="E404" s="45" t="n"/>
      <c r="F404" s="45" t="n">
        <v>0.596308883368639</v>
      </c>
      <c r="G404" s="45" t="n">
        <v>0</v>
      </c>
      <c r="H404" s="45" t="n">
        <v>0.506336335112669</v>
      </c>
      <c r="I404" s="45" t="n">
        <v>0</v>
      </c>
      <c r="J404" s="45" t="n"/>
      <c r="K404" s="45" t="n">
        <v>0.443799505469176</v>
      </c>
      <c r="L404" s="45" t="n"/>
      <c r="M404" s="45" t="n"/>
      <c r="N404" s="45" t="n">
        <v>0.955486108464499</v>
      </c>
      <c r="O404" s="45" t="n"/>
      <c r="P404" s="45" t="n">
        <v>0.633067451906742</v>
      </c>
      <c r="Q404" s="45" t="n">
        <v>0</v>
      </c>
      <c r="R404" s="45" t="n">
        <v>0.891519586741283</v>
      </c>
      <c r="S404" s="45" t="n">
        <v>0</v>
      </c>
      <c r="T404" s="45" t="n"/>
      <c r="U404" s="45" t="n">
        <v>0.5227188587506481</v>
      </c>
      <c r="V404" s="45" t="n">
        <v>0</v>
      </c>
      <c r="W404" s="45" t="n"/>
      <c r="X404" s="45" t="n">
        <v>0.805390471907225</v>
      </c>
      <c r="Y404" s="45" t="n"/>
      <c r="Z404" s="45" t="n">
        <v>0.911267408822022</v>
      </c>
      <c r="AA404" s="45" t="n"/>
      <c r="AB404" s="45" t="n">
        <v>0.539580528898346</v>
      </c>
      <c r="AC404" s="45" t="n"/>
      <c r="AD404" s="45" t="n"/>
      <c r="AE404" s="45" t="n">
        <v>0.746159808342728</v>
      </c>
      <c r="AF404" s="75">
        <f>IFERROR(AVERAGE(L404:U404),"")</f>
        <v/>
      </c>
      <c r="AG404" s="75">
        <f>IFERROR(AVERAGE(V404:AE404),"")</f>
        <v/>
      </c>
      <c r="AH404" s="75">
        <f>IFERROR(AVERAGE(B404:K404),"")</f>
        <v/>
      </c>
      <c r="AI404" s="45" t="n">
        <v>0.373092651367188</v>
      </c>
      <c r="AJ404" s="47" t="n">
        <v>0.0548820495605469</v>
      </c>
    </row>
    <row r="405" ht="15" customHeight="1" s="30">
      <c r="A405" s="73" t="inlineStr">
        <is>
          <t>9344.jpg</t>
        </is>
      </c>
      <c r="B405" s="45" t="n"/>
      <c r="C405" s="45" t="n"/>
      <c r="D405" s="45" t="n">
        <v>0.7520376794427051</v>
      </c>
      <c r="E405" s="45" t="n"/>
      <c r="F405" s="45" t="n">
        <v>0.497661958110083</v>
      </c>
      <c r="G405" s="45" t="n">
        <v>0.331004966021955</v>
      </c>
      <c r="H405" s="45" t="n">
        <v>0.744201487920081</v>
      </c>
      <c r="I405" s="45" t="n">
        <v>0.20114122681883</v>
      </c>
      <c r="J405" s="45" t="n">
        <v>0.684381778741866</v>
      </c>
      <c r="K405" s="45" t="n">
        <v>0</v>
      </c>
      <c r="L405" s="45" t="n"/>
      <c r="M405" s="45" t="n"/>
      <c r="N405" s="45" t="n">
        <v>0.855223066807787</v>
      </c>
      <c r="O405" s="45" t="n"/>
      <c r="P405" s="45" t="n">
        <v>0.864894607635656</v>
      </c>
      <c r="Q405" s="45" t="n">
        <v>1</v>
      </c>
      <c r="R405" s="45" t="n">
        <v>0.854578221390449</v>
      </c>
      <c r="S405" s="45" t="n">
        <v>0.5340909090909089</v>
      </c>
      <c r="T405" s="45" t="n">
        <v>0.810012836970475</v>
      </c>
      <c r="U405" s="45" t="n">
        <v>0</v>
      </c>
      <c r="V405" s="45" t="n"/>
      <c r="W405" s="45" t="n"/>
      <c r="X405" s="45" t="n">
        <v>0.861745790647319</v>
      </c>
      <c r="Y405" s="45" t="n"/>
      <c r="Z405" s="45" t="n">
        <v>0.539611281292912</v>
      </c>
      <c r="AA405" s="45" t="n">
        <v>0.331004966021955</v>
      </c>
      <c r="AB405" s="45" t="n">
        <v>0.852112311015119</v>
      </c>
      <c r="AC405" s="45" t="n">
        <v>0.243944636678201</v>
      </c>
      <c r="AD405" s="45" t="n">
        <v>0.815245478036176</v>
      </c>
      <c r="AE405" s="45" t="n"/>
      <c r="AF405" s="75">
        <f>IFERROR(AVERAGE(L405:U405),"")</f>
        <v/>
      </c>
      <c r="AG405" s="75">
        <f>IFERROR(AVERAGE(V405:AE405),"")</f>
        <v/>
      </c>
      <c r="AH405" s="75">
        <f>IFERROR(AVERAGE(B405:K405),"")</f>
        <v/>
      </c>
      <c r="AI405" s="45" t="n">
        <v>0.525005340576172</v>
      </c>
      <c r="AJ405" s="47" t="n">
        <v>0.171279907226563</v>
      </c>
    </row>
    <row r="406" ht="15" customHeight="1" s="30">
      <c r="A406" s="73" t="inlineStr">
        <is>
          <t>9348.jpg</t>
        </is>
      </c>
      <c r="B406" s="45" t="n"/>
      <c r="C406" s="45" t="n"/>
      <c r="D406" s="45" t="n">
        <v>0.695248813724297</v>
      </c>
      <c r="E406" s="45" t="n"/>
      <c r="F406" s="45" t="n">
        <v>0.491750841750842</v>
      </c>
      <c r="G406" s="45" t="n">
        <v>0.364602832393075</v>
      </c>
      <c r="H406" s="45" t="n">
        <v>0.744005527704679</v>
      </c>
      <c r="I406" s="45" t="n">
        <v>0.407194244604317</v>
      </c>
      <c r="J406" s="45" t="n">
        <v>0.663615560640732</v>
      </c>
      <c r="K406" s="45" t="n">
        <v>0</v>
      </c>
      <c r="L406" s="45" t="n"/>
      <c r="M406" s="45" t="n"/>
      <c r="N406" s="45" t="n">
        <v>0.847340129749768</v>
      </c>
      <c r="O406" s="45" t="n"/>
      <c r="P406" s="45" t="n">
        <v>0.792189300969557</v>
      </c>
      <c r="Q406" s="45" t="n">
        <v>0.984213552647628</v>
      </c>
      <c r="R406" s="45" t="n">
        <v>0.831083522186094</v>
      </c>
      <c r="S406" s="45" t="n">
        <v>0.677033492822967</v>
      </c>
      <c r="T406" s="45" t="n">
        <v>0.835734870317003</v>
      </c>
      <c r="U406" s="45" t="n">
        <v>0</v>
      </c>
      <c r="V406" s="45" t="n"/>
      <c r="W406" s="45" t="n"/>
      <c r="X406" s="45" t="n">
        <v>0.794804923847277</v>
      </c>
      <c r="Y406" s="45" t="n"/>
      <c r="Z406" s="45" t="n">
        <v>0.564580816622373</v>
      </c>
      <c r="AA406" s="45" t="n">
        <v>0.366747610637856</v>
      </c>
      <c r="AB406" s="45" t="n">
        <v>0.876556681389105</v>
      </c>
      <c r="AC406" s="45" t="n">
        <v>0.5053571428571429</v>
      </c>
      <c r="AD406" s="45" t="n">
        <v>0.763157894736842</v>
      </c>
      <c r="AE406" s="45" t="n"/>
      <c r="AF406" s="75">
        <f>IFERROR(AVERAGE(L406:U406),"")</f>
        <v/>
      </c>
      <c r="AG406" s="75">
        <f>IFERROR(AVERAGE(V406:AE406),"")</f>
        <v/>
      </c>
      <c r="AH406" s="75">
        <f>IFERROR(AVERAGE(B406:K406),"")</f>
        <v/>
      </c>
      <c r="AI406" s="45" t="n">
        <v>0.542476654052734</v>
      </c>
      <c r="AJ406" s="47" t="n">
        <v>0.114589691162109</v>
      </c>
    </row>
    <row r="407" ht="15" customHeight="1" s="30">
      <c r="A407" s="73" t="inlineStr">
        <is>
          <t>9367.jpg</t>
        </is>
      </c>
      <c r="B407" s="45" t="n"/>
      <c r="C407" s="45" t="n"/>
      <c r="D407" s="45" t="n">
        <v>0.751143083582272</v>
      </c>
      <c r="E407" s="45" t="n"/>
      <c r="F407" s="45" t="n">
        <v>0.767749736466795</v>
      </c>
      <c r="G407" s="45" t="n">
        <v>0.811961357332986</v>
      </c>
      <c r="H407" s="45" t="n">
        <v>0.822854048199296</v>
      </c>
      <c r="I407" s="45" t="n">
        <v>0.411920529801325</v>
      </c>
      <c r="J407" s="45" t="n"/>
      <c r="K407" s="45" t="n">
        <v>0.777623298697498</v>
      </c>
      <c r="L407" s="45" t="n"/>
      <c r="M407" s="45" t="n"/>
      <c r="N407" s="45" t="n">
        <v>0.84721171697724</v>
      </c>
      <c r="O407" s="45" t="n"/>
      <c r="P407" s="45" t="n">
        <v>0.944647898069734</v>
      </c>
      <c r="Q407" s="45" t="n">
        <v>0.931157409383939</v>
      </c>
      <c r="R407" s="45" t="n">
        <v>0.8800208508296889</v>
      </c>
      <c r="S407" s="45" t="n">
        <v>0.745803357314149</v>
      </c>
      <c r="T407" s="45" t="n"/>
      <c r="U407" s="45" t="n">
        <v>0.905340503700548</v>
      </c>
      <c r="V407" s="45" t="n"/>
      <c r="W407" s="45" t="n"/>
      <c r="X407" s="45" t="n">
        <v>0.868838586841549</v>
      </c>
      <c r="Y407" s="45" t="n"/>
      <c r="Z407" s="45" t="n">
        <v>0.803915203064637</v>
      </c>
      <c r="AA407" s="45" t="n">
        <v>0.863816388767872</v>
      </c>
      <c r="AB407" s="45" t="n">
        <v>0.926830756092354</v>
      </c>
      <c r="AC407" s="45" t="n">
        <v>0.479198767334361</v>
      </c>
      <c r="AD407" s="45" t="n"/>
      <c r="AE407" s="45" t="n">
        <v>0.846444110355539</v>
      </c>
      <c r="AF407" s="75">
        <f>IFERROR(AVERAGE(L407:U407),"")</f>
        <v/>
      </c>
      <c r="AG407" s="75">
        <f>IFERROR(AVERAGE(V407:AE407),"")</f>
        <v/>
      </c>
      <c r="AH407" s="75">
        <f>IFERROR(AVERAGE(B407:K407),"")</f>
        <v/>
      </c>
      <c r="AI407" s="45" t="n">
        <v>0.865203857421875</v>
      </c>
      <c r="AJ407" s="47" t="n">
        <v>0.0425605773925781</v>
      </c>
    </row>
    <row r="408" ht="15" customHeight="1" s="30">
      <c r="A408" s="73" t="inlineStr">
        <is>
          <t>9539.jpg</t>
        </is>
      </c>
      <c r="B408" s="45" t="n"/>
      <c r="C408" s="45" t="n"/>
      <c r="D408" s="45" t="n">
        <v>0.615219102597743</v>
      </c>
      <c r="E408" s="45" t="n"/>
      <c r="F408" s="45" t="n"/>
      <c r="G408" s="45" t="n">
        <v>0.984597275095171</v>
      </c>
      <c r="H408" s="45" t="n">
        <v>0.744960093156401</v>
      </c>
      <c r="I408" s="45" t="n">
        <v>0</v>
      </c>
      <c r="J408" s="45" t="n">
        <v>0.385874507426493</v>
      </c>
      <c r="K408" s="45" t="n">
        <v>0.939594075867512</v>
      </c>
      <c r="L408" s="45" t="n"/>
      <c r="M408" s="45" t="n"/>
      <c r="N408" s="45" t="n">
        <v>0.774869456011633</v>
      </c>
      <c r="O408" s="45" t="n"/>
      <c r="P408" s="45" t="n"/>
      <c r="Q408" s="45" t="n">
        <v>0.9927399906566839</v>
      </c>
      <c r="R408" s="45" t="n">
        <v>0.887925052047189</v>
      </c>
      <c r="S408" s="45" t="n">
        <v>0</v>
      </c>
      <c r="T408" s="45" t="n">
        <v>0.490747879722436</v>
      </c>
      <c r="U408" s="45" t="n">
        <v>0.9790354385712799</v>
      </c>
      <c r="V408" s="45" t="n"/>
      <c r="W408" s="45" t="n"/>
      <c r="X408" s="45" t="n">
        <v>0.7491213496070041</v>
      </c>
      <c r="Y408" s="45" t="n"/>
      <c r="Z408" s="45" t="n"/>
      <c r="AA408" s="45" t="n">
        <v>0.991738247499401</v>
      </c>
      <c r="AB408" s="45" t="n">
        <v>0.822278752175659</v>
      </c>
      <c r="AC408" s="45" t="n"/>
      <c r="AD408" s="45" t="n">
        <v>0.643579373104146</v>
      </c>
      <c r="AE408" s="45" t="n">
        <v>0.958886864595632</v>
      </c>
      <c r="AF408" s="75">
        <f>IFERROR(AVERAGE(L408:U408),"")</f>
        <v/>
      </c>
      <c r="AG408" s="75">
        <f>IFERROR(AVERAGE(V408:AE408),"")</f>
        <v/>
      </c>
      <c r="AH408" s="75">
        <f>IFERROR(AVERAGE(B408:K408),"")</f>
        <v/>
      </c>
      <c r="AI408" s="45" t="n">
        <v>0.934459686279297</v>
      </c>
      <c r="AJ408" s="47" t="n">
        <v>0.01849365234375</v>
      </c>
    </row>
    <row r="409" ht="15" customHeight="1" s="30">
      <c r="A409" s="73" t="inlineStr">
        <is>
          <t>9721.jpg</t>
        </is>
      </c>
      <c r="B409" s="45" t="n"/>
      <c r="C409" s="45" t="n"/>
      <c r="D409" s="45" t="n">
        <v>0.8665166728231301</v>
      </c>
      <c r="E409" s="45" t="n"/>
      <c r="F409" s="45" t="n">
        <v>0.839429377125321</v>
      </c>
      <c r="G409" s="45" t="n"/>
      <c r="H409" s="45" t="n">
        <v>0.847393087287639</v>
      </c>
      <c r="I409" s="45" t="n">
        <v>0.67115520907158</v>
      </c>
      <c r="J409" s="45" t="n"/>
      <c r="K409" s="45" t="n">
        <v>0.895694256823219</v>
      </c>
      <c r="L409" s="45" t="n"/>
      <c r="M409" s="45" t="n"/>
      <c r="N409" s="45" t="n">
        <v>0.8853966511117209</v>
      </c>
      <c r="O409" s="45" t="n"/>
      <c r="P409" s="45" t="n">
        <v>0.91967287596547</v>
      </c>
      <c r="Q409" s="45" t="n"/>
      <c r="R409" s="45" t="n">
        <v>0.8875594416321519</v>
      </c>
      <c r="S409" s="45" t="n">
        <v>0.764326069410815</v>
      </c>
      <c r="T409" s="45" t="n"/>
      <c r="U409" s="45" t="n">
        <v>0.983999596567946</v>
      </c>
      <c r="V409" s="45" t="n"/>
      <c r="W409" s="45" t="n"/>
      <c r="X409" s="45" t="n">
        <v>0.975982450168312</v>
      </c>
      <c r="Y409" s="45" t="n"/>
      <c r="Z409" s="45" t="n">
        <v>0.905844446433366</v>
      </c>
      <c r="AA409" s="45" t="n"/>
      <c r="AB409" s="45" t="n">
        <v>0.949302707136998</v>
      </c>
      <c r="AC409" s="45" t="n">
        <v>0.846291331546023</v>
      </c>
      <c r="AD409" s="45" t="n"/>
      <c r="AE409" s="45" t="n">
        <v>0.908932409681047</v>
      </c>
      <c r="AF409" s="75">
        <f>IFERROR(AVERAGE(L409:U409),"")</f>
        <v/>
      </c>
      <c r="AG409" s="75">
        <f>IFERROR(AVERAGE(V409:AE409),"")</f>
        <v/>
      </c>
      <c r="AH409" s="75">
        <f>IFERROR(AVERAGE(B409:K409),"")</f>
        <v/>
      </c>
      <c r="AI409" s="45" t="n">
        <v>0.9265594482421881</v>
      </c>
      <c r="AJ409" s="47" t="n">
        <v>0.0141868591308594</v>
      </c>
    </row>
    <row r="410" ht="15" customHeight="1" s="30">
      <c r="A410" s="73" t="inlineStr">
        <is>
          <t>9872.jpg</t>
        </is>
      </c>
      <c r="B410" s="45" t="n"/>
      <c r="C410" s="45" t="n"/>
      <c r="D410" s="45" t="n">
        <v>0.850198675496689</v>
      </c>
      <c r="E410" s="45" t="n"/>
      <c r="F410" s="45" t="n">
        <v>0.879589216944801</v>
      </c>
      <c r="G410" s="45" t="n"/>
      <c r="H410" s="45" t="n">
        <v>0.948107891962631</v>
      </c>
      <c r="I410" s="45" t="n"/>
      <c r="J410" s="45" t="n"/>
      <c r="K410" s="45" t="n">
        <v>0.97427879097054</v>
      </c>
      <c r="L410" s="45" t="n"/>
      <c r="M410" s="45" t="n"/>
      <c r="N410" s="45" t="n">
        <v>0.972723139869677</v>
      </c>
      <c r="O410" s="45" t="n"/>
      <c r="P410" s="45" t="n">
        <v>0.976624857468643</v>
      </c>
      <c r="Q410" s="45" t="n"/>
      <c r="R410" s="45" t="n">
        <v>0.965087881591119</v>
      </c>
      <c r="S410" s="45" t="n"/>
      <c r="T410" s="45" t="n"/>
      <c r="U410" s="45" t="n">
        <v>0.989595369732267</v>
      </c>
      <c r="V410" s="45" t="n"/>
      <c r="W410" s="45" t="n"/>
      <c r="X410" s="45" t="n">
        <v>0.870963364993216</v>
      </c>
      <c r="Y410" s="45" t="n"/>
      <c r="Z410" s="45" t="n">
        <v>0.8985051140833989</v>
      </c>
      <c r="AA410" s="45" t="n"/>
      <c r="AB410" s="45" t="n">
        <v>0.981780881218121</v>
      </c>
      <c r="AC410" s="45" t="n"/>
      <c r="AD410" s="45" t="n"/>
      <c r="AE410" s="45" t="n">
        <v>0.984362195065381</v>
      </c>
      <c r="AF410" s="75">
        <f>IFERROR(AVERAGE(L410:U410),"")</f>
        <v/>
      </c>
      <c r="AG410" s="75">
        <f>IFERROR(AVERAGE(V410:AE410),"")</f>
        <v/>
      </c>
      <c r="AH410" s="75">
        <f>IFERROR(AVERAGE(B410:K410),"")</f>
        <v/>
      </c>
      <c r="AI410" s="45" t="n">
        <v>0.978153228759766</v>
      </c>
      <c r="AJ410" s="47" t="n">
        <v>0.00567626953125</v>
      </c>
    </row>
    <row r="411" ht="15" customHeight="1" s="30">
      <c r="A411" s="73" t="inlineStr">
        <is>
          <t>9878.jpg</t>
        </is>
      </c>
      <c r="B411" s="45" t="n"/>
      <c r="C411" s="45" t="n"/>
      <c r="D411" s="45" t="n">
        <v>0.920420005526389</v>
      </c>
      <c r="E411" s="45" t="n"/>
      <c r="F411" s="45" t="n"/>
      <c r="G411" s="45" t="n"/>
      <c r="H411" s="45" t="n">
        <v>0.886551341974654</v>
      </c>
      <c r="I411" s="45" t="n"/>
      <c r="J411" s="45" t="n"/>
      <c r="K411" s="45" t="n">
        <v>0.722298158585843</v>
      </c>
      <c r="L411" s="45" t="n"/>
      <c r="M411" s="45" t="n"/>
      <c r="N411" s="45" t="n">
        <v>0.991959499702204</v>
      </c>
      <c r="O411" s="45" t="n"/>
      <c r="P411" s="45" t="n"/>
      <c r="Q411" s="45" t="n"/>
      <c r="R411" s="45" t="n">
        <v>0.974068740602698</v>
      </c>
      <c r="S411" s="45" t="n"/>
      <c r="T411" s="45" t="n"/>
      <c r="U411" s="45" t="n">
        <v>0.836493312464428</v>
      </c>
      <c r="V411" s="45" t="n"/>
      <c r="W411" s="45" t="n"/>
      <c r="X411" s="45" t="n">
        <v>0.927338530066815</v>
      </c>
      <c r="Y411" s="45" t="n"/>
      <c r="Z411" s="45" t="n"/>
      <c r="AA411" s="45" t="n"/>
      <c r="AB411" s="45" t="n">
        <v>0.907980970429152</v>
      </c>
      <c r="AC411" s="45" t="n"/>
      <c r="AD411" s="45" t="n"/>
      <c r="AE411" s="45" t="n">
        <v>0.841040772532189</v>
      </c>
      <c r="AF411" s="75">
        <f>IFERROR(AVERAGE(L411:U411),"")</f>
        <v/>
      </c>
      <c r="AG411" s="75">
        <f>IFERROR(AVERAGE(V411:AE411),"")</f>
        <v/>
      </c>
      <c r="AH411" s="75">
        <f>IFERROR(AVERAGE(B411:K411),"")</f>
        <v/>
      </c>
      <c r="AI411" s="45" t="n">
        <v>0.8939666748046881</v>
      </c>
      <c r="AJ411" s="47" t="n">
        <v>0.0521774291992188</v>
      </c>
    </row>
    <row r="412" ht="15" customHeight="1" s="30">
      <c r="A412" s="73" t="inlineStr">
        <is>
          <t>9883.jpg</t>
        </is>
      </c>
      <c r="B412" s="45" t="n"/>
      <c r="C412" s="45" t="n"/>
      <c r="D412" s="45" t="n"/>
      <c r="E412" s="45" t="n"/>
      <c r="F412" s="45" t="n"/>
      <c r="G412" s="45" t="n"/>
      <c r="H412" s="45" t="n">
        <v>0.844801480934572</v>
      </c>
      <c r="I412" s="45" t="n"/>
      <c r="J412" s="45" t="n"/>
      <c r="K412" s="45" t="n">
        <v>0.820625980563676</v>
      </c>
      <c r="L412" s="45" t="n"/>
      <c r="M412" s="45" t="n"/>
      <c r="N412" s="45" t="n"/>
      <c r="O412" s="45" t="n"/>
      <c r="P412" s="45" t="n"/>
      <c r="Q412" s="45" t="n"/>
      <c r="R412" s="45" t="n">
        <v>0.938272852058067</v>
      </c>
      <c r="S412" s="45" t="n"/>
      <c r="T412" s="45" t="n"/>
      <c r="U412" s="45" t="n">
        <v>0.960702440571361</v>
      </c>
      <c r="V412" s="45" t="n"/>
      <c r="W412" s="45" t="n"/>
      <c r="X412" s="45" t="n"/>
      <c r="Y412" s="45" t="n"/>
      <c r="Z412" s="45" t="n"/>
      <c r="AA412" s="45" t="n"/>
      <c r="AB412" s="45" t="n">
        <v>0.894516799700886</v>
      </c>
      <c r="AC412" s="45" t="n"/>
      <c r="AD412" s="45" t="n"/>
      <c r="AE412" s="45" t="n">
        <v>0.849129322728706</v>
      </c>
      <c r="AF412" s="75">
        <f>IFERROR(AVERAGE(L412:U412),"")</f>
        <v/>
      </c>
      <c r="AG412" s="75">
        <f>IFERROR(AVERAGE(V412:AE412),"")</f>
        <v/>
      </c>
      <c r="AH412" s="75">
        <f>IFERROR(AVERAGE(B412:K412),"")</f>
        <v/>
      </c>
      <c r="AI412" s="45" t="n">
        <v>0.879692077636719</v>
      </c>
      <c r="AJ412" s="47" t="n">
        <v>0.0693359375</v>
      </c>
    </row>
    <row r="413" ht="15" customHeight="1" s="30">
      <c r="A413" s="73" t="inlineStr">
        <is>
          <t>9886.jpg</t>
        </is>
      </c>
      <c r="B413" s="45" t="n"/>
      <c r="C413" s="45" t="n"/>
      <c r="D413" s="45" t="n"/>
      <c r="E413" s="45" t="n"/>
      <c r="F413" s="45" t="n"/>
      <c r="G413" s="45" t="n"/>
      <c r="H413" s="45" t="n">
        <v>0.753465467545298</v>
      </c>
      <c r="I413" s="45" t="n"/>
      <c r="J413" s="45" t="n"/>
      <c r="K413" s="45" t="n">
        <v>0.762151981261923</v>
      </c>
      <c r="L413" s="45" t="n"/>
      <c r="M413" s="45" t="n"/>
      <c r="N413" s="45" t="n"/>
      <c r="O413" s="45" t="n"/>
      <c r="P413" s="45" t="n"/>
      <c r="Q413" s="45" t="n"/>
      <c r="R413" s="45" t="n">
        <v>0.974567897981767</v>
      </c>
      <c r="S413" s="45" t="n"/>
      <c r="T413" s="45" t="n"/>
      <c r="U413" s="45" t="n">
        <v>0.827198511393865</v>
      </c>
      <c r="V413" s="45" t="n"/>
      <c r="W413" s="45" t="n"/>
      <c r="X413" s="45" t="n"/>
      <c r="Y413" s="45" t="n"/>
      <c r="Z413" s="45" t="n"/>
      <c r="AA413" s="45" t="n"/>
      <c r="AB413" s="45" t="n">
        <v>0.768577439547025</v>
      </c>
      <c r="AC413" s="45" t="n"/>
      <c r="AD413" s="45" t="n"/>
      <c r="AE413" s="45" t="n">
        <v>0.906474820143885</v>
      </c>
      <c r="AF413" s="75">
        <f>IFERROR(AVERAGE(L413:U413),"")</f>
        <v/>
      </c>
      <c r="AG413" s="75">
        <f>IFERROR(AVERAGE(V413:AE413),"")</f>
        <v/>
      </c>
      <c r="AH413" s="75">
        <f>IFERROR(AVERAGE(B413:K413),"")</f>
        <v/>
      </c>
      <c r="AI413" s="45" t="n">
        <v>0.805210113525391</v>
      </c>
      <c r="AJ413" s="47" t="n">
        <v>0.129756927490234</v>
      </c>
    </row>
    <row r="414" ht="15" customHeight="1" s="30">
      <c r="A414" s="73" t="inlineStr">
        <is>
          <t>9889.jpg</t>
        </is>
      </c>
      <c r="B414" s="45" t="n">
        <v>0.00503048780487805</v>
      </c>
      <c r="C414" s="45" t="n"/>
      <c r="D414" s="45" t="n">
        <v>0</v>
      </c>
      <c r="E414" s="45" t="n"/>
      <c r="F414" s="45" t="n">
        <v>0</v>
      </c>
      <c r="G414" s="45" t="n"/>
      <c r="H414" s="45" t="n">
        <v>0.886307200020117</v>
      </c>
      <c r="I414" s="45" t="n"/>
      <c r="J414" s="45" t="n"/>
      <c r="K414" s="45" t="n">
        <v>0.824283559577677</v>
      </c>
      <c r="L414" s="45" t="n">
        <v>0.485294117647059</v>
      </c>
      <c r="M414" s="45" t="n"/>
      <c r="N414" s="45" t="n">
        <v>0</v>
      </c>
      <c r="O414" s="45" t="n"/>
      <c r="P414" s="45" t="n">
        <v>0</v>
      </c>
      <c r="Q414" s="45" t="n"/>
      <c r="R414" s="45" t="n">
        <v>0.943118799628061</v>
      </c>
      <c r="S414" s="45" t="n"/>
      <c r="T414" s="45" t="n"/>
      <c r="U414" s="45" t="n">
        <v>0.923857918498041</v>
      </c>
      <c r="V414" s="45" t="n">
        <v>0.00505747126436782</v>
      </c>
      <c r="W414" s="45" t="n"/>
      <c r="X414" s="45" t="n"/>
      <c r="Y414" s="45" t="n"/>
      <c r="Z414" s="45" t="n"/>
      <c r="AA414" s="45" t="n"/>
      <c r="AB414" s="45" t="n">
        <v>0.936360134426099</v>
      </c>
      <c r="AC414" s="45" t="n"/>
      <c r="AD414" s="45" t="n"/>
      <c r="AE414" s="45" t="n">
        <v>0.884363130991024</v>
      </c>
      <c r="AF414" s="75">
        <f>IFERROR(AVERAGE(L414:U414),"")</f>
        <v/>
      </c>
      <c r="AG414" s="75">
        <f>IFERROR(AVERAGE(V414:AE414),"")</f>
        <v/>
      </c>
      <c r="AH414" s="75">
        <f>IFERROR(AVERAGE(B414:K414),"")</f>
        <v/>
      </c>
      <c r="AI414" s="45" t="n">
        <v>0.892341613769531</v>
      </c>
      <c r="AJ414" s="47" t="n">
        <v>0.0195808410644531</v>
      </c>
    </row>
    <row r="415" ht="15" customHeight="1" s="30">
      <c r="A415" s="73" t="inlineStr">
        <is>
          <t>9891.jpg</t>
        </is>
      </c>
      <c r="B415" s="45" t="n">
        <v>0</v>
      </c>
      <c r="C415" s="45" t="n"/>
      <c r="D415" s="45" t="n">
        <v>0.663989856297549</v>
      </c>
      <c r="E415" s="45" t="n"/>
      <c r="F415" s="45" t="n"/>
      <c r="G415" s="45" t="n"/>
      <c r="H415" s="45" t="n">
        <v>0.7964323790207239</v>
      </c>
      <c r="I415" s="45" t="n"/>
      <c r="J415" s="45" t="n"/>
      <c r="K415" s="45" t="n">
        <v>0.793108091932009</v>
      </c>
      <c r="L415" s="45" t="n"/>
      <c r="M415" s="45" t="n"/>
      <c r="N415" s="45" t="n">
        <v>0.679851133806474</v>
      </c>
      <c r="O415" s="45" t="n"/>
      <c r="P415" s="45" t="n"/>
      <c r="Q415" s="45" t="n"/>
      <c r="R415" s="45" t="n">
        <v>0.992900536187815</v>
      </c>
      <c r="S415" s="45" t="n"/>
      <c r="T415" s="45" t="n"/>
      <c r="U415" s="45" t="n">
        <v>0.872050936132408</v>
      </c>
      <c r="V415" s="45" t="n">
        <v>0</v>
      </c>
      <c r="W415" s="45" t="n"/>
      <c r="X415" s="45" t="n">
        <v>0.966055835690567</v>
      </c>
      <c r="Y415" s="45" t="n"/>
      <c r="Z415" s="45" t="n"/>
      <c r="AA415" s="45" t="n"/>
      <c r="AB415" s="45" t="n">
        <v>0.800993775825096</v>
      </c>
      <c r="AC415" s="45" t="n"/>
      <c r="AD415" s="45" t="n"/>
      <c r="AE415" s="45" t="n">
        <v>0.89755312843959</v>
      </c>
      <c r="AF415" s="75">
        <f>IFERROR(AVERAGE(L415:U415),"")</f>
        <v/>
      </c>
      <c r="AG415" s="75">
        <f>IFERROR(AVERAGE(V415:AE415),"")</f>
        <v/>
      </c>
      <c r="AH415" s="75">
        <f>IFERROR(AVERAGE(B415:K415),"")</f>
        <v/>
      </c>
      <c r="AI415" s="45" t="n">
        <v>0.816352844238281</v>
      </c>
      <c r="AJ415" s="47" t="n">
        <v>0.135692596435547</v>
      </c>
    </row>
    <row r="416" ht="15" customHeight="1" s="30">
      <c r="A416" s="73" t="inlineStr">
        <is>
          <t>10163.jpg</t>
        </is>
      </c>
      <c r="B416" s="45" t="n"/>
      <c r="C416" s="45" t="n"/>
      <c r="D416" s="45" t="n"/>
      <c r="E416" s="45" t="n"/>
      <c r="F416" s="45" t="n"/>
      <c r="G416" s="45" t="n">
        <v>0.990414984147154</v>
      </c>
      <c r="H416" s="45" t="n"/>
      <c r="I416" s="45" t="n"/>
      <c r="J416" s="45" t="n"/>
      <c r="K416" s="45" t="n">
        <v>0.984405634482551</v>
      </c>
      <c r="L416" s="45" t="n"/>
      <c r="M416" s="45" t="n"/>
      <c r="N416" s="45" t="n"/>
      <c r="O416" s="45" t="n"/>
      <c r="P416" s="45" t="n"/>
      <c r="Q416" s="45" t="n">
        <v>0.9939489059597451</v>
      </c>
      <c r="R416" s="45" t="n"/>
      <c r="S416" s="45" t="n"/>
      <c r="T416" s="45" t="n"/>
      <c r="U416" s="45" t="n">
        <v>0.999785558925344</v>
      </c>
      <c r="V416" s="45" t="n"/>
      <c r="W416" s="45" t="n"/>
      <c r="X416" s="45" t="n"/>
      <c r="Y416" s="45" t="n"/>
      <c r="Z416" s="45" t="n"/>
      <c r="AA416" s="45" t="n">
        <v>0.996422996078817</v>
      </c>
      <c r="AB416" s="45" t="n"/>
      <c r="AC416" s="45" t="n"/>
      <c r="AD416" s="45" t="n"/>
      <c r="AE416" s="45" t="n">
        <v>0.984613528027515</v>
      </c>
      <c r="AF416" s="75">
        <f>IFERROR(AVERAGE(L416:U416),"")</f>
        <v/>
      </c>
      <c r="AG416" s="75">
        <f>IFERROR(AVERAGE(V416:AE416),"")</f>
        <v/>
      </c>
      <c r="AH416" s="75">
        <f>IFERROR(AVERAGE(B416:K416),"")</f>
        <v/>
      </c>
      <c r="AI416" s="45" t="n">
        <v>0.991943359375</v>
      </c>
      <c r="AJ416" s="47" t="n">
        <v>0.00421142578125</v>
      </c>
    </row>
    <row r="417" ht="15" customHeight="1" s="30">
      <c r="A417" s="73" t="inlineStr">
        <is>
          <t>10164.jpg</t>
        </is>
      </c>
      <c r="B417" s="45" t="n">
        <v>0</v>
      </c>
      <c r="C417" s="45" t="n"/>
      <c r="D417" s="45" t="n"/>
      <c r="E417" s="45" t="n"/>
      <c r="F417" s="45" t="n"/>
      <c r="G417" s="45" t="n">
        <v>0.984025905238829</v>
      </c>
      <c r="H417" s="45" t="n"/>
      <c r="I417" s="45" t="n"/>
      <c r="J417" s="45" t="n"/>
      <c r="K417" s="45" t="n">
        <v>0.9954331264401221</v>
      </c>
      <c r="L417" s="45" t="n">
        <v>0</v>
      </c>
      <c r="M417" s="45" t="n"/>
      <c r="N417" s="45" t="n"/>
      <c r="O417" s="45" t="n"/>
      <c r="P417" s="45" t="n"/>
      <c r="Q417" s="45" t="n">
        <v>0.999144411171546</v>
      </c>
      <c r="R417" s="45" t="n"/>
      <c r="S417" s="45" t="n"/>
      <c r="T417" s="45" t="n"/>
      <c r="U417" s="45" t="n">
        <v>0.997856667221575</v>
      </c>
      <c r="V417" s="45" t="n"/>
      <c r="W417" s="45" t="n"/>
      <c r="X417" s="45" t="n"/>
      <c r="Y417" s="45" t="n"/>
      <c r="Z417" s="45" t="n"/>
      <c r="AA417" s="45" t="n">
        <v>0.984855786607552</v>
      </c>
      <c r="AB417" s="45" t="n"/>
      <c r="AC417" s="45" t="n"/>
      <c r="AD417" s="45" t="n"/>
      <c r="AE417" s="45" t="n">
        <v>0.99756604951113</v>
      </c>
      <c r="AF417" s="75">
        <f>IFERROR(AVERAGE(L417:U417),"")</f>
        <v/>
      </c>
      <c r="AG417" s="75">
        <f>IFERROR(AVERAGE(V417:AE417),"")</f>
        <v/>
      </c>
      <c r="AH417" s="75">
        <f>IFERROR(AVERAGE(B417:K417),"")</f>
        <v/>
      </c>
      <c r="AI417" s="45" t="n">
        <v>0.9895172119140631</v>
      </c>
      <c r="AJ417" s="47" t="n">
        <v>0.00555801391601563</v>
      </c>
    </row>
    <row r="418" ht="15" customHeight="1" s="30">
      <c r="A418" s="73" t="inlineStr">
        <is>
          <t>10167.jpg</t>
        </is>
      </c>
      <c r="B418" s="45" t="n"/>
      <c r="C418" s="45" t="n"/>
      <c r="D418" s="45" t="n"/>
      <c r="E418" s="45" t="n"/>
      <c r="F418" s="45" t="n"/>
      <c r="G418" s="45" t="n">
        <v>0.46715473345904</v>
      </c>
      <c r="H418" s="45" t="n">
        <v>0</v>
      </c>
      <c r="I418" s="45" t="n"/>
      <c r="J418" s="45" t="n">
        <v>0.554770318021201</v>
      </c>
      <c r="K418" s="45" t="n">
        <v>0</v>
      </c>
      <c r="L418" s="45" t="n"/>
      <c r="M418" s="45" t="n"/>
      <c r="N418" s="45" t="n"/>
      <c r="O418" s="45" t="n"/>
      <c r="P418" s="45" t="n"/>
      <c r="Q418" s="45" t="n">
        <v>1</v>
      </c>
      <c r="R418" s="45" t="n">
        <v>0</v>
      </c>
      <c r="S418" s="45" t="n"/>
      <c r="T418" s="45" t="n">
        <v>0.556737588652482</v>
      </c>
      <c r="U418" s="45" t="n">
        <v>0</v>
      </c>
      <c r="V418" s="45" t="n"/>
      <c r="W418" s="45" t="n"/>
      <c r="X418" s="45" t="n"/>
      <c r="Y418" s="45" t="n"/>
      <c r="Z418" s="45" t="n"/>
      <c r="AA418" s="45" t="n">
        <v>0.46715473345904</v>
      </c>
      <c r="AB418" s="45" t="n"/>
      <c r="AC418" s="45" t="n"/>
      <c r="AD418" s="45" t="n">
        <v>0.993670886075949</v>
      </c>
      <c r="AE418" s="45" t="n"/>
      <c r="AF418" s="75">
        <f>IFERROR(AVERAGE(L418:U418),"")</f>
        <v/>
      </c>
      <c r="AG418" s="75">
        <f>IFERROR(AVERAGE(V418:AE418),"")</f>
        <v/>
      </c>
      <c r="AH418" s="75">
        <f>IFERROR(AVERAGE(B418:K418),"")</f>
        <v/>
      </c>
      <c r="AI418" s="45" t="n">
        <v>0.467472076416016</v>
      </c>
      <c r="AJ418" s="47" t="n">
        <v>0.0089569091796875</v>
      </c>
    </row>
    <row r="419" ht="15" customHeight="1" s="30">
      <c r="A419" s="73" t="inlineStr">
        <is>
          <t>10174.jpg</t>
        </is>
      </c>
      <c r="B419" s="45" t="n"/>
      <c r="C419" s="45" t="n"/>
      <c r="D419" s="45" t="n">
        <v>0.865209894960809</v>
      </c>
      <c r="E419" s="45" t="n"/>
      <c r="F419" s="45" t="n">
        <v>0.732494182356674</v>
      </c>
      <c r="G419" s="45" t="n"/>
      <c r="H419" s="45" t="n">
        <v>0.90612643316844</v>
      </c>
      <c r="I419" s="45" t="n">
        <v>0.439326837909655</v>
      </c>
      <c r="J419" s="45" t="n">
        <v>0.54069323560849</v>
      </c>
      <c r="K419" s="45" t="n">
        <v>0.508308337780395</v>
      </c>
      <c r="L419" s="45" t="n"/>
      <c r="M419" s="45" t="n"/>
      <c r="N419" s="45" t="n">
        <v>0.916540369693908</v>
      </c>
      <c r="O419" s="45" t="n"/>
      <c r="P419" s="45" t="n">
        <v>0.869319608335426</v>
      </c>
      <c r="Q419" s="45" t="n"/>
      <c r="R419" s="45" t="n">
        <v>0.955228826566206</v>
      </c>
      <c r="S419" s="45" t="n">
        <v>0.485798237022527</v>
      </c>
      <c r="T419" s="45" t="n">
        <v>0.669756005296009</v>
      </c>
      <c r="U419" s="45" t="n">
        <v>0.881256978784495</v>
      </c>
      <c r="V419" s="45" t="n"/>
      <c r="W419" s="45" t="n"/>
      <c r="X419" s="45" t="n">
        <v>0.939205691833917</v>
      </c>
      <c r="Y419" s="45" t="n"/>
      <c r="Z419" s="45" t="n">
        <v>0.8231308688933791</v>
      </c>
      <c r="AA419" s="45" t="n"/>
      <c r="AB419" s="45" t="n">
        <v>0.946316262353998</v>
      </c>
      <c r="AC419" s="45" t="n">
        <v>0.821192052980132</v>
      </c>
      <c r="AD419" s="45" t="n">
        <v>0.737247553612326</v>
      </c>
      <c r="AE419" s="45" t="n">
        <v>0.545682621836787</v>
      </c>
      <c r="AF419" s="75">
        <f>IFERROR(AVERAGE(L419:U419),"")</f>
        <v/>
      </c>
      <c r="AG419" s="75">
        <f>IFERROR(AVERAGE(V419:AE419),"")</f>
        <v/>
      </c>
      <c r="AH419" s="75">
        <f>IFERROR(AVERAGE(B419:K419),"")</f>
        <v/>
      </c>
      <c r="AI419" s="45" t="n">
        <v>0.8541412353515631</v>
      </c>
      <c r="AJ419" s="47" t="n">
        <v>0.06219482421875</v>
      </c>
    </row>
    <row r="420" ht="15" customHeight="1" s="30">
      <c r="A420" s="73" t="inlineStr">
        <is>
          <t>10183.jpg</t>
        </is>
      </c>
      <c r="B420" s="45" t="n"/>
      <c r="C420" s="45" t="n"/>
      <c r="D420" s="45" t="n"/>
      <c r="E420" s="45" t="n"/>
      <c r="F420" s="45" t="n">
        <v>0.7084351199885039</v>
      </c>
      <c r="G420" s="45" t="n"/>
      <c r="H420" s="45" t="n">
        <v>0.95524600796862</v>
      </c>
      <c r="I420" s="45" t="n"/>
      <c r="J420" s="45" t="n"/>
      <c r="K420" s="45" t="n">
        <v>0.982277185236502</v>
      </c>
      <c r="L420" s="45" t="n"/>
      <c r="M420" s="45" t="n"/>
      <c r="N420" s="45" t="n"/>
      <c r="O420" s="45" t="n"/>
      <c r="P420" s="45" t="n">
        <v>0.924259467566554</v>
      </c>
      <c r="Q420" s="45" t="n"/>
      <c r="R420" s="45" t="n">
        <v>0.970792724076777</v>
      </c>
      <c r="S420" s="45" t="n"/>
      <c r="T420" s="45" t="n"/>
      <c r="U420" s="45" t="n">
        <v>0.996188169167689</v>
      </c>
      <c r="V420" s="45" t="n"/>
      <c r="W420" s="45" t="n"/>
      <c r="X420" s="45" t="n"/>
      <c r="Y420" s="45" t="n"/>
      <c r="Z420" s="45" t="n">
        <v>0.75209763539283</v>
      </c>
      <c r="AA420" s="45" t="n"/>
      <c r="AB420" s="45" t="n">
        <v>0.983511678565182</v>
      </c>
      <c r="AC420" s="45" t="n"/>
      <c r="AD420" s="45" t="n"/>
      <c r="AE420" s="45" t="n">
        <v>0.985983102918587</v>
      </c>
      <c r="AF420" s="75">
        <f>IFERROR(AVERAGE(L420:U420),"")</f>
        <v/>
      </c>
      <c r="AG420" s="75">
        <f>IFERROR(AVERAGE(V420:AE420),"")</f>
        <v/>
      </c>
      <c r="AH420" s="75">
        <f>IFERROR(AVERAGE(B420:K420),"")</f>
        <v/>
      </c>
      <c r="AI420" s="45" t="n">
        <v>0.979541778564453</v>
      </c>
      <c r="AJ420" s="47" t="n">
        <v>0.00904464721679688</v>
      </c>
    </row>
    <row r="421" ht="15" customHeight="1" s="30">
      <c r="A421" s="73" t="inlineStr">
        <is>
          <t>10808.jpg</t>
        </is>
      </c>
      <c r="B421" s="45" t="n"/>
      <c r="C421" s="45" t="n"/>
      <c r="D421" s="45" t="n">
        <v>0.957053373091317</v>
      </c>
      <c r="E421" s="45" t="n"/>
      <c r="F421" s="45" t="n">
        <v>0.844344579336866</v>
      </c>
      <c r="G421" s="45" t="n"/>
      <c r="H421" s="45" t="n">
        <v>0.9293059125964011</v>
      </c>
      <c r="I421" s="45" t="n">
        <v>0.738927738927739</v>
      </c>
      <c r="J421" s="45" t="n"/>
      <c r="K421" s="45" t="n">
        <v>0.829259080786112</v>
      </c>
      <c r="L421" s="45" t="n"/>
      <c r="M421" s="45" t="n"/>
      <c r="N421" s="45" t="n">
        <v>0.991787469669632</v>
      </c>
      <c r="O421" s="45" t="n"/>
      <c r="P421" s="45" t="n">
        <v>0.967539454806313</v>
      </c>
      <c r="Q421" s="45" t="n"/>
      <c r="R421" s="45" t="n">
        <v>0.9514250801574951</v>
      </c>
      <c r="S421" s="45" t="n">
        <v>0.80253164556962</v>
      </c>
      <c r="T421" s="45" t="n"/>
      <c r="U421" s="45" t="n">
        <v>0.96804256936526</v>
      </c>
      <c r="V421" s="45" t="n"/>
      <c r="W421" s="45" t="n"/>
      <c r="X421" s="45" t="n">
        <v>0.964698525406976</v>
      </c>
      <c r="Y421" s="45" t="n"/>
      <c r="Z421" s="45" t="n">
        <v>0.8689599631845381</v>
      </c>
      <c r="AA421" s="45" t="n"/>
      <c r="AB421" s="45" t="n">
        <v>0.975593561583688</v>
      </c>
      <c r="AC421" s="45" t="n">
        <v>0.903133903133903</v>
      </c>
      <c r="AD421" s="45" t="n"/>
      <c r="AE421" s="45" t="n">
        <v>0.852599724160094</v>
      </c>
      <c r="AF421" s="75">
        <f>IFERROR(AVERAGE(L421:U421),"")</f>
        <v/>
      </c>
      <c r="AG421" s="75">
        <f>IFERROR(AVERAGE(V421:AE421),"")</f>
        <v/>
      </c>
      <c r="AH421" s="75">
        <f>IFERROR(AVERAGE(B421:K421),"")</f>
        <v/>
      </c>
      <c r="AI421" s="45" t="n">
        <v>0.920524597167969</v>
      </c>
      <c r="AJ421" s="47" t="n">
        <v>0.046478271484375</v>
      </c>
    </row>
    <row r="422" ht="15" customHeight="1" s="30">
      <c r="A422" s="73" t="inlineStr">
        <is>
          <t>10812.jpg</t>
        </is>
      </c>
      <c r="B422" s="45" t="n"/>
      <c r="C422" s="45" t="n"/>
      <c r="D422" s="45" t="n">
        <v>0.946737658725802</v>
      </c>
      <c r="E422" s="45" t="n"/>
      <c r="F422" s="45" t="n">
        <v>0.790875782402931</v>
      </c>
      <c r="G422" s="45" t="n"/>
      <c r="H422" s="45" t="n">
        <v>0.908069830131359</v>
      </c>
      <c r="I422" s="45" t="n">
        <v>0.568674698795181</v>
      </c>
      <c r="J422" s="45" t="n">
        <v>0.8785087338142</v>
      </c>
      <c r="K422" s="45" t="n">
        <v>0.770922269368173</v>
      </c>
      <c r="L422" s="45" t="n"/>
      <c r="M422" s="45" t="n"/>
      <c r="N422" s="45" t="n">
        <v>0.968933747799708</v>
      </c>
      <c r="O422" s="45" t="n"/>
      <c r="P422" s="45" t="n">
        <v>0.924264049955397</v>
      </c>
      <c r="Q422" s="45" t="n"/>
      <c r="R422" s="45" t="n">
        <v>0.952087212041004</v>
      </c>
      <c r="S422" s="45" t="n">
        <v>0.687378640776699</v>
      </c>
      <c r="T422" s="45" t="n">
        <v>0.9131063137927919</v>
      </c>
      <c r="U422" s="45" t="n">
        <v>0.911232049757615</v>
      </c>
      <c r="V422" s="45" t="n"/>
      <c r="W422" s="45" t="n"/>
      <c r="X422" s="45" t="n">
        <v>0.97637512972922</v>
      </c>
      <c r="Y422" s="45" t="n"/>
      <c r="Z422" s="45" t="n">
        <v>0.845680859746973</v>
      </c>
      <c r="AA422" s="45" t="n"/>
      <c r="AB422" s="45" t="n">
        <v>0.951553602654351</v>
      </c>
      <c r="AC422" s="45" t="n">
        <v>0.7670639219935</v>
      </c>
      <c r="AD422" s="45" t="n">
        <v>0.958653390232338</v>
      </c>
      <c r="AE422" s="45" t="n">
        <v>0.833519257048833</v>
      </c>
      <c r="AF422" s="75">
        <f>IFERROR(AVERAGE(L422:U422),"")</f>
        <v/>
      </c>
      <c r="AG422" s="75">
        <f>IFERROR(AVERAGE(V422:AE422),"")</f>
        <v/>
      </c>
      <c r="AH422" s="75">
        <f>IFERROR(AVERAGE(B422:K422),"")</f>
        <v/>
      </c>
      <c r="AI422" s="45" t="n">
        <v>0.9090728759765631</v>
      </c>
      <c r="AJ422" s="47" t="n">
        <v>0.0314750671386719</v>
      </c>
    </row>
    <row r="423" ht="15" customHeight="1" s="30">
      <c r="A423" s="73" t="inlineStr">
        <is>
          <t>10813.jpg</t>
        </is>
      </c>
      <c r="B423" s="45" t="n"/>
      <c r="C423" s="45" t="n"/>
      <c r="D423" s="45" t="n">
        <v>0.937130279268125</v>
      </c>
      <c r="E423" s="45" t="n"/>
      <c r="F423" s="45" t="n">
        <v>0.759913402699538</v>
      </c>
      <c r="G423" s="45" t="n"/>
      <c r="H423" s="45" t="n">
        <v>0.913019022766462</v>
      </c>
      <c r="I423" s="45" t="n">
        <v>0.8795321637426901</v>
      </c>
      <c r="J423" s="45" t="n">
        <v>0.69875625908577</v>
      </c>
      <c r="K423" s="45" t="n">
        <v>0.61242573903085</v>
      </c>
      <c r="L423" s="45" t="n"/>
      <c r="M423" s="45" t="n"/>
      <c r="N423" s="45" t="n">
        <v>0.9684783491754</v>
      </c>
      <c r="O423" s="45" t="n"/>
      <c r="P423" s="45" t="n">
        <v>0.8718319140308191</v>
      </c>
      <c r="Q423" s="45" t="n"/>
      <c r="R423" s="45" t="n">
        <v>0.950778744406676</v>
      </c>
      <c r="S423" s="45" t="n">
        <v>0.918192918192918</v>
      </c>
      <c r="T423" s="45" t="n">
        <v>0.733717774762551</v>
      </c>
      <c r="U423" s="45" t="n">
        <v>0.877289039269968</v>
      </c>
      <c r="V423" s="45" t="n"/>
      <c r="W423" s="45" t="n"/>
      <c r="X423" s="45" t="n">
        <v>0.966613285763516</v>
      </c>
      <c r="Y423" s="45" t="n"/>
      <c r="Z423" s="45" t="n">
        <v>0.855483710519771</v>
      </c>
      <c r="AA423" s="45" t="n"/>
      <c r="AB423" s="45" t="n">
        <v>0.958315186357345</v>
      </c>
      <c r="AC423" s="45" t="n">
        <v>0.954314720812183</v>
      </c>
      <c r="AD423" s="45" t="n">
        <v>0.936161004111664</v>
      </c>
      <c r="AE423" s="45" t="n">
        <v>0.669803197069092</v>
      </c>
      <c r="AF423" s="75">
        <f>IFERROR(AVERAGE(L423:U423),"")</f>
        <v/>
      </c>
      <c r="AG423" s="75">
        <f>IFERROR(AVERAGE(V423:AE423),"")</f>
        <v/>
      </c>
      <c r="AH423" s="75">
        <f>IFERROR(AVERAGE(B423:K423),"")</f>
        <v/>
      </c>
      <c r="AI423" s="45" t="n">
        <v>0.873405456542969</v>
      </c>
      <c r="AJ423" s="47" t="n">
        <v>0.0527572631835938</v>
      </c>
    </row>
    <row r="424" ht="15" customHeight="1" s="30">
      <c r="A424" s="73" t="inlineStr">
        <is>
          <t>10814.jpg</t>
        </is>
      </c>
      <c r="B424" s="45" t="n"/>
      <c r="C424" s="45" t="n"/>
      <c r="D424" s="45" t="n">
        <v>0.9129082056762861</v>
      </c>
      <c r="E424" s="45" t="n"/>
      <c r="F424" s="45" t="n">
        <v>0.835037448455777</v>
      </c>
      <c r="G424" s="45" t="n"/>
      <c r="H424" s="45" t="n">
        <v>0.90600097013374</v>
      </c>
      <c r="I424" s="45" t="n">
        <v>0.851362510322048</v>
      </c>
      <c r="J424" s="45" t="n">
        <v>0.562700964630225</v>
      </c>
      <c r="K424" s="45" t="n">
        <v>0.710293923817056</v>
      </c>
      <c r="L424" s="45" t="n"/>
      <c r="M424" s="45" t="n"/>
      <c r="N424" s="45" t="n">
        <v>0.981086806707675</v>
      </c>
      <c r="O424" s="45" t="n"/>
      <c r="P424" s="45" t="n">
        <v>0.961064432552846</v>
      </c>
      <c r="Q424" s="45" t="n"/>
      <c r="R424" s="45" t="n">
        <v>0.950751722508044</v>
      </c>
      <c r="S424" s="45" t="n">
        <v>0.884978540772532</v>
      </c>
      <c r="T424" s="45" t="n">
        <v>0.562700964630225</v>
      </c>
      <c r="U424" s="45" t="n">
        <v>0.896755107700841</v>
      </c>
      <c r="V424" s="45" t="n"/>
      <c r="W424" s="45" t="n"/>
      <c r="X424" s="45" t="n">
        <v>0.929262160332656</v>
      </c>
      <c r="Y424" s="45" t="n"/>
      <c r="Z424" s="45" t="n">
        <v>0.864275759951224</v>
      </c>
      <c r="AA424" s="45" t="n"/>
      <c r="AB424" s="45" t="n">
        <v>0.950613469053894</v>
      </c>
      <c r="AC424" s="45" t="n">
        <v>0.957288765088208</v>
      </c>
      <c r="AD424" s="45" t="n">
        <v>1</v>
      </c>
      <c r="AE424" s="45" t="n">
        <v>0.773553007224996</v>
      </c>
      <c r="AF424" s="75">
        <f>IFERROR(AVERAGE(L424:U424),"")</f>
        <v/>
      </c>
      <c r="AG424" s="75">
        <f>IFERROR(AVERAGE(V424:AE424),"")</f>
        <v/>
      </c>
      <c r="AH424" s="75">
        <f>IFERROR(AVERAGE(B424:K424),"")</f>
        <v/>
      </c>
      <c r="AI424" s="45" t="n">
        <v>0.889995574951172</v>
      </c>
      <c r="AJ424" s="47" t="n">
        <v>0.055450439453125</v>
      </c>
    </row>
    <row r="425" ht="15" customHeight="1" s="30">
      <c r="A425" s="73" t="inlineStr">
        <is>
          <t>10823.jpg</t>
        </is>
      </c>
      <c r="B425" s="45" t="n">
        <v>0</v>
      </c>
      <c r="C425" s="45" t="n"/>
      <c r="D425" s="45" t="n"/>
      <c r="E425" s="45" t="n"/>
      <c r="F425" s="45" t="n"/>
      <c r="G425" s="45" t="n">
        <v>0.817277473955111</v>
      </c>
      <c r="H425" s="45" t="n">
        <v>0.869871846538245</v>
      </c>
      <c r="I425" s="45" t="n"/>
      <c r="J425" s="45" t="n"/>
      <c r="K425" s="45" t="n">
        <v>0.949119079927925</v>
      </c>
      <c r="L425" s="45" t="n">
        <v>0</v>
      </c>
      <c r="M425" s="45" t="n"/>
      <c r="N425" s="45" t="n"/>
      <c r="O425" s="45" t="n"/>
      <c r="P425" s="45" t="n"/>
      <c r="Q425" s="45" t="n">
        <v>0.979128991135751</v>
      </c>
      <c r="R425" s="45" t="n">
        <v>0.894196114172087</v>
      </c>
      <c r="S425" s="45" t="n"/>
      <c r="T425" s="45" t="n"/>
      <c r="U425" s="45" t="n">
        <v>0.989018185189907</v>
      </c>
      <c r="V425" s="45" t="n"/>
      <c r="W425" s="45" t="n"/>
      <c r="X425" s="45" t="n"/>
      <c r="Y425" s="45" t="n"/>
      <c r="Z425" s="45" t="n"/>
      <c r="AA425" s="45" t="n">
        <v>0.831767698390712</v>
      </c>
      <c r="AB425" s="45" t="n">
        <v>0.969676549865229</v>
      </c>
      <c r="AC425" s="45" t="n"/>
      <c r="AD425" s="45" t="n"/>
      <c r="AE425" s="45" t="n">
        <v>0.959228179431982</v>
      </c>
      <c r="AF425" s="75">
        <f>IFERROR(AVERAGE(L425:U425),"")</f>
        <v/>
      </c>
      <c r="AG425" s="75">
        <f>IFERROR(AVERAGE(V425:AE425),"")</f>
        <v/>
      </c>
      <c r="AH425" s="75">
        <f>IFERROR(AVERAGE(B425:K425),"")</f>
        <v/>
      </c>
      <c r="AI425" s="45" t="n">
        <v>0.9416961669921881</v>
      </c>
      <c r="AJ425" s="47" t="n">
        <v>0.0111885070800781</v>
      </c>
    </row>
    <row r="426" ht="15" customHeight="1" s="30">
      <c r="A426" s="73" t="inlineStr">
        <is>
          <t>10829.jpg</t>
        </is>
      </c>
      <c r="B426" s="45" t="n"/>
      <c r="C426" s="45" t="n"/>
      <c r="D426" s="45" t="n"/>
      <c r="E426" s="45" t="n"/>
      <c r="F426" s="45" t="n">
        <v>0</v>
      </c>
      <c r="G426" s="45" t="n">
        <v>0.97205078187458</v>
      </c>
      <c r="H426" s="45" t="n"/>
      <c r="I426" s="45" t="n"/>
      <c r="J426" s="45" t="n"/>
      <c r="K426" s="45" t="n">
        <v>0.992295986303976</v>
      </c>
      <c r="L426" s="45" t="n"/>
      <c r="M426" s="45" t="n"/>
      <c r="N426" s="45" t="n"/>
      <c r="O426" s="45" t="n"/>
      <c r="P426" s="45" t="n">
        <v>0</v>
      </c>
      <c r="Q426" s="45" t="n">
        <v>0.999605379986188</v>
      </c>
      <c r="R426" s="45" t="n"/>
      <c r="S426" s="45" t="n"/>
      <c r="T426" s="45" t="n"/>
      <c r="U426" s="45" t="n">
        <v>0.998160461667587</v>
      </c>
      <c r="V426" s="45" t="n"/>
      <c r="W426" s="45" t="n"/>
      <c r="X426" s="45" t="n"/>
      <c r="Y426" s="45" t="n"/>
      <c r="Z426" s="45" t="n"/>
      <c r="AA426" s="45" t="n">
        <v>0.972423941904732</v>
      </c>
      <c r="AB426" s="45" t="n"/>
      <c r="AC426" s="45" t="n"/>
      <c r="AD426" s="45" t="n"/>
      <c r="AE426" s="45" t="n">
        <v>0.994113952833662</v>
      </c>
      <c r="AF426" s="75">
        <f>IFERROR(AVERAGE(L426:U426),"")</f>
        <v/>
      </c>
      <c r="AG426" s="75">
        <f>IFERROR(AVERAGE(V426:AE426),"")</f>
        <v/>
      </c>
      <c r="AH426" s="75">
        <f>IFERROR(AVERAGE(B426:K426),"")</f>
        <v/>
      </c>
      <c r="AI426" s="45" t="n">
        <v>0.991527557373047</v>
      </c>
      <c r="AJ426" s="47" t="n">
        <v>0.00460433959960938</v>
      </c>
    </row>
    <row r="427" ht="15" customHeight="1" s="30">
      <c r="A427" s="73" t="inlineStr">
        <is>
          <t>10838.jpg</t>
        </is>
      </c>
      <c r="B427" s="45" t="n">
        <v>0</v>
      </c>
      <c r="C427" s="45" t="n"/>
      <c r="D427" s="45" t="n"/>
      <c r="E427" s="45" t="n"/>
      <c r="F427" s="45" t="n"/>
      <c r="G427" s="45" t="n">
        <v>0.868890873644684</v>
      </c>
      <c r="H427" s="45" t="n">
        <v>0.920981510874694</v>
      </c>
      <c r="I427" s="45" t="n"/>
      <c r="J427" s="45" t="n"/>
      <c r="K427" s="45" t="n">
        <v>0.975602672088295</v>
      </c>
      <c r="L427" s="45" t="n">
        <v>0</v>
      </c>
      <c r="M427" s="45" t="n"/>
      <c r="N427" s="45" t="n"/>
      <c r="O427" s="45" t="n"/>
      <c r="P427" s="45" t="n"/>
      <c r="Q427" s="45" t="n">
        <v>0.991430794350023</v>
      </c>
      <c r="R427" s="45" t="n">
        <v>0.92694615949225</v>
      </c>
      <c r="S427" s="45" t="n"/>
      <c r="T427" s="45" t="n"/>
      <c r="U427" s="45" t="n">
        <v>0.995997034840623</v>
      </c>
      <c r="V427" s="45" t="n"/>
      <c r="W427" s="45" t="n"/>
      <c r="X427" s="45" t="n"/>
      <c r="Y427" s="45" t="n"/>
      <c r="Z427" s="45" t="n"/>
      <c r="AA427" s="45" t="n">
        <v>0.875465673230442</v>
      </c>
      <c r="AB427" s="45" t="n">
        <v>0.993061658726121</v>
      </c>
      <c r="AC427" s="45" t="n"/>
      <c r="AD427" s="45" t="n"/>
      <c r="AE427" s="45" t="n">
        <v>0.9794430675025509</v>
      </c>
      <c r="AF427" s="75">
        <f>IFERROR(AVERAGE(L427:U427),"")</f>
        <v/>
      </c>
      <c r="AG427" s="75">
        <f>IFERROR(AVERAGE(V427:AE427),"")</f>
        <v/>
      </c>
      <c r="AH427" s="75">
        <f>IFERROR(AVERAGE(B427:K427),"")</f>
        <v/>
      </c>
      <c r="AI427" s="45" t="n">
        <v>0.9395751953125</v>
      </c>
      <c r="AJ427" s="47" t="n">
        <v>0.0304031372070313</v>
      </c>
    </row>
    <row r="428" ht="15" customHeight="1" s="30">
      <c r="A428" s="73" t="inlineStr">
        <is>
          <t>10839.jpg</t>
        </is>
      </c>
      <c r="B428" s="45" t="n"/>
      <c r="C428" s="45" t="n"/>
      <c r="D428" s="45" t="n"/>
      <c r="E428" s="45" t="n"/>
      <c r="F428" s="45" t="n">
        <v>0.62360646599777</v>
      </c>
      <c r="G428" s="45" t="n">
        <v>0.865254770392116</v>
      </c>
      <c r="H428" s="45" t="n">
        <v>0.932083824655041</v>
      </c>
      <c r="I428" s="45" t="n">
        <v>0.0285844957694946</v>
      </c>
      <c r="J428" s="45" t="n"/>
      <c r="K428" s="45" t="n">
        <v>0.930778204362852</v>
      </c>
      <c r="L428" s="45" t="n"/>
      <c r="M428" s="45" t="n"/>
      <c r="N428" s="45" t="n"/>
      <c r="O428" s="45" t="n"/>
      <c r="P428" s="45" t="n">
        <v>0.889573601033694</v>
      </c>
      <c r="Q428" s="45" t="n">
        <v>0.923297234404368</v>
      </c>
      <c r="R428" s="45" t="n">
        <v>0.936539940551664</v>
      </c>
      <c r="S428" s="45" t="n">
        <v>0.0292056074766355</v>
      </c>
      <c r="T428" s="45" t="n"/>
      <c r="U428" s="45" t="n">
        <v>0.991037116949004</v>
      </c>
      <c r="V428" s="45" t="n"/>
      <c r="W428" s="45" t="n"/>
      <c r="X428" s="45" t="n"/>
      <c r="Y428" s="45" t="n"/>
      <c r="Z428" s="45" t="n">
        <v>0.675930820934975</v>
      </c>
      <c r="AA428" s="45" t="n">
        <v>0.9322669558537801</v>
      </c>
      <c r="AB428" s="45" t="n">
        <v>0.994921167689794</v>
      </c>
      <c r="AC428" s="45" t="n">
        <v>0.573394495412844</v>
      </c>
      <c r="AD428" s="45" t="n"/>
      <c r="AE428" s="45" t="n">
        <v>0.938679922673295</v>
      </c>
      <c r="AF428" s="75">
        <f>IFERROR(AVERAGE(L428:U428),"")</f>
        <v/>
      </c>
      <c r="AG428" s="75">
        <f>IFERROR(AVERAGE(V428:AE428),"")</f>
        <v/>
      </c>
      <c r="AH428" s="75">
        <f>IFERROR(AVERAGE(B428:K428),"")</f>
        <v/>
      </c>
      <c r="AI428" s="45" t="n">
        <v>0.9339752197265631</v>
      </c>
      <c r="AJ428" s="47" t="n">
        <v>0.00603866577148438</v>
      </c>
    </row>
    <row r="429" ht="15" customHeight="1" s="30">
      <c r="A429" s="73" t="inlineStr">
        <is>
          <t>10843.jpg</t>
        </is>
      </c>
      <c r="B429" s="45" t="n"/>
      <c r="C429" s="45" t="n"/>
      <c r="D429" s="45" t="n"/>
      <c r="E429" s="45" t="n"/>
      <c r="F429" s="45" t="n">
        <v>0.606738627602159</v>
      </c>
      <c r="G429" s="45" t="n"/>
      <c r="H429" s="45" t="n">
        <v>0.930145335208626</v>
      </c>
      <c r="I429" s="45" t="n">
        <v>0.32486388384755</v>
      </c>
      <c r="J429" s="45" t="n"/>
      <c r="K429" s="45" t="n">
        <v>0.653611291560858</v>
      </c>
      <c r="L429" s="45" t="n"/>
      <c r="M429" s="45" t="n"/>
      <c r="N429" s="45" t="n"/>
      <c r="O429" s="45" t="n"/>
      <c r="P429" s="45" t="n">
        <v>0.804378935317687</v>
      </c>
      <c r="Q429" s="45" t="n"/>
      <c r="R429" s="45" t="n">
        <v>0.985593641331346</v>
      </c>
      <c r="S429" s="45" t="n">
        <v>0.357285429141717</v>
      </c>
      <c r="T429" s="45" t="n"/>
      <c r="U429" s="45" t="n">
        <v>0.837623267817545</v>
      </c>
      <c r="V429" s="45" t="n"/>
      <c r="W429" s="45" t="n"/>
      <c r="X429" s="45" t="n"/>
      <c r="Y429" s="45" t="n"/>
      <c r="Z429" s="45" t="n">
        <v>0.711763535391907</v>
      </c>
      <c r="AA429" s="45" t="n"/>
      <c r="AB429" s="45" t="n">
        <v>0.942965779467681</v>
      </c>
      <c r="AC429" s="45" t="n">
        <v>0.781659388646288</v>
      </c>
      <c r="AD429" s="45" t="n"/>
      <c r="AE429" s="45" t="n">
        <v>0.7484429416737109</v>
      </c>
      <c r="AF429" s="75">
        <f>IFERROR(AVERAGE(L429:U429),"")</f>
        <v/>
      </c>
      <c r="AG429" s="75">
        <f>IFERROR(AVERAGE(V429:AE429),"")</f>
        <v/>
      </c>
      <c r="AH429" s="75">
        <f>IFERROR(AVERAGE(B429:K429),"")</f>
        <v/>
      </c>
      <c r="AI429" s="45" t="n">
        <v>0.734737396240234</v>
      </c>
      <c r="AJ429" s="47" t="n">
        <v>0.101703643798828</v>
      </c>
    </row>
    <row r="430" ht="15" customHeight="1" s="30">
      <c r="A430" s="73" t="inlineStr">
        <is>
          <t>11483.jpg</t>
        </is>
      </c>
      <c r="B430" s="45" t="n"/>
      <c r="C430" s="45" t="n"/>
      <c r="D430" s="45" t="n">
        <v>0.66146367569014</v>
      </c>
      <c r="E430" s="45" t="n"/>
      <c r="F430" s="45" t="n">
        <v>0.476997578692494</v>
      </c>
      <c r="G430" s="45" t="n">
        <v>0.970713066357614</v>
      </c>
      <c r="H430" s="45" t="n">
        <v>0.792219944746458</v>
      </c>
      <c r="I430" s="45" t="n">
        <v>0.43010752688172</v>
      </c>
      <c r="J430" s="45" t="n">
        <v>0.536116910229645</v>
      </c>
      <c r="K430" s="45" t="n">
        <v>0.753592994401958</v>
      </c>
      <c r="L430" s="45" t="n"/>
      <c r="M430" s="45" t="n"/>
      <c r="N430" s="45" t="n">
        <v>0.729346970889064</v>
      </c>
      <c r="O430" s="45" t="n"/>
      <c r="P430" s="45" t="n">
        <v>0.83740701381509</v>
      </c>
      <c r="Q430" s="45" t="n">
        <v>0.992553566281267</v>
      </c>
      <c r="R430" s="45" t="n">
        <v>0.889009267284486</v>
      </c>
      <c r="S430" s="45" t="n">
        <v>0.821917808219178</v>
      </c>
      <c r="T430" s="45" t="n">
        <v>0.829993535875889</v>
      </c>
      <c r="U430" s="45" t="n">
        <v>0.974931521858223</v>
      </c>
      <c r="V430" s="45" t="n"/>
      <c r="W430" s="45" t="n"/>
      <c r="X430" s="45" t="n">
        <v>0.876647556002128</v>
      </c>
      <c r="Y430" s="45" t="n"/>
      <c r="Z430" s="45" t="n">
        <v>0.525683789192795</v>
      </c>
      <c r="AA430" s="45" t="n">
        <v>0.977834222067965</v>
      </c>
      <c r="AB430" s="45" t="n">
        <v>0.879176488041275</v>
      </c>
      <c r="AC430" s="45" t="n">
        <v>0.474308300395257</v>
      </c>
      <c r="AD430" s="45" t="n">
        <v>0.602251407129456</v>
      </c>
      <c r="AE430" s="45" t="n">
        <v>0.768484052889307</v>
      </c>
      <c r="AF430" s="75">
        <f>IFERROR(AVERAGE(L430:U430),"")</f>
        <v/>
      </c>
      <c r="AG430" s="75">
        <f>IFERROR(AVERAGE(V430:AE430),"")</f>
        <v/>
      </c>
      <c r="AH430" s="75">
        <f>IFERROR(AVERAGE(B430:K430),"")</f>
        <v/>
      </c>
      <c r="AI430" s="45" t="n">
        <v>0.8472900390625</v>
      </c>
      <c r="AJ430" s="47" t="n">
        <v>0.0935401916503906</v>
      </c>
    </row>
  </sheetData>
  <autoFilter ref="A4:AJ430"/>
  <mergeCells count="4">
    <mergeCell ref="V3:AE3"/>
    <mergeCell ref="L3:U3"/>
    <mergeCell ref="B3:K3"/>
    <mergeCell ref="AF3:AJ3"/>
  </mergeCells>
  <conditionalFormatting sqref="B5:AH430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0" customWidth="1" style="29" min="1" max="1"/>
    <col width="42" customWidth="1" style="29" min="2" max="4"/>
  </cols>
  <sheetData>
    <row r="1" ht="17.35" customHeight="1" s="30">
      <c r="A1" s="31" t="inlineStr">
        <is>
          <t>Parámetros de cada modelo</t>
        </is>
      </c>
    </row>
    <row r="2" ht="15" customHeight="1" s="30">
      <c r="A2" s="32" t="inlineStr">
        <is>
          <t>Tal como están en las celdas de configuración de cada cuaderno.</t>
        </is>
      </c>
    </row>
    <row r="4" ht="15" customHeight="1" s="30">
      <c r="A4" s="38" t="inlineStr">
        <is>
          <t>Parámetro</t>
        </is>
      </c>
      <c r="B4" s="41" t="inlineStr">
        <is>
          <t>U-Net</t>
        </is>
      </c>
      <c r="C4" s="42" t="inlineStr">
        <is>
          <t>DeepLabV3+</t>
        </is>
      </c>
      <c r="D4" s="43" t="inlineStr">
        <is>
          <t>YOLO11n-seg</t>
        </is>
      </c>
    </row>
    <row r="5" ht="15" customHeight="1" s="30">
      <c r="A5" s="54" t="inlineStr">
        <is>
          <t>Datos</t>
        </is>
      </c>
      <c r="B5" s="39" t="n"/>
      <c r="C5" s="39" t="n"/>
      <c r="D5" s="40" t="n"/>
    </row>
    <row r="6" ht="23.85" customHeight="1" s="30">
      <c r="A6" s="78" t="inlineStr">
        <is>
          <t>Dataset</t>
        </is>
      </c>
      <c r="B6" s="79" t="inlineStr">
        <is>
          <t>FloodNet-Supervised v1.0 (2.343 imágenes con máscara)</t>
        </is>
      </c>
      <c r="C6" s="79" t="inlineStr">
        <is>
          <t>Ídem</t>
        </is>
      </c>
      <c r="D6" s="79" t="inlineStr">
        <is>
          <t>Ídem</t>
        </is>
      </c>
    </row>
    <row r="7" ht="23.85" customHeight="1" s="30">
      <c r="A7" s="78" t="inlineStr">
        <is>
          <t>Partición train / val / test</t>
        </is>
      </c>
      <c r="B7" s="79" t="inlineStr">
        <is>
          <t>1.387 / 434 / 426 (oficial sin máscaras de una sola clase)</t>
        </is>
      </c>
      <c r="C7" s="79" t="inlineStr">
        <is>
          <t>Ídem</t>
        </is>
      </c>
      <c r="D7" s="79" t="inlineStr">
        <is>
          <t>Ídem</t>
        </is>
      </c>
    </row>
    <row r="8" ht="15" customHeight="1" s="30">
      <c r="A8" s="78" t="inlineStr">
        <is>
          <t>Máscaras corregidas</t>
        </is>
      </c>
      <c r="B8" s="79" t="inlineStr">
        <is>
          <t>398 de data_finally sustituyen a la oficial</t>
        </is>
      </c>
      <c r="C8" s="79" t="inlineStr">
        <is>
          <t>Ídem</t>
        </is>
      </c>
      <c r="D8" s="79" t="inlineStr">
        <is>
          <t>Ídem</t>
        </is>
      </c>
    </row>
    <row r="9" ht="15" customHeight="1" s="30">
      <c r="A9" s="78" t="inlineStr">
        <is>
          <t>Resolución de entrada</t>
        </is>
      </c>
      <c r="B9" s="79" t="inlineStr">
        <is>
          <t>512×512</t>
        </is>
      </c>
      <c r="C9" s="79" t="inlineStr">
        <is>
          <t>512×512</t>
        </is>
      </c>
      <c r="D9" s="79" t="inlineStr">
        <is>
          <t>512×512</t>
        </is>
      </c>
    </row>
    <row r="10" ht="15" customHeight="1" s="30">
      <c r="A10" s="54" t="inlineStr">
        <is>
          <t>Modelo</t>
        </is>
      </c>
      <c r="B10" s="39" t="n"/>
      <c r="C10" s="39" t="n"/>
      <c r="D10" s="40" t="n"/>
    </row>
    <row r="11" ht="23.85" customHeight="1" s="30">
      <c r="A11" s="78" t="inlineStr">
        <is>
          <t>Arquitectura</t>
        </is>
      </c>
      <c r="B11" s="79" t="inlineStr">
        <is>
          <t>U-Net híbrida CNN + ViT con attention gates y deep supervision</t>
        </is>
      </c>
      <c r="C11" s="79" t="inlineStr">
        <is>
          <t>DeepLabV3+ (segmentation-models-pytorch)</t>
        </is>
      </c>
      <c r="D11" s="79" t="inlineStr">
        <is>
          <t>YOLO11n-seg (Ultralytics), segmentación de instancias</t>
        </is>
      </c>
    </row>
    <row r="12" ht="23.85" customHeight="1" s="30">
      <c r="A12" s="78" t="inlineStr">
        <is>
          <t>Encoder / backbone</t>
        </is>
      </c>
      <c r="B12" s="79" t="inlineStr">
        <is>
          <t>ConvNeXt-Tiny (ImageNet) + 12 bloques Transformer (dim 512, 8 cabezas)</t>
        </is>
      </c>
      <c r="C12" s="79" t="inlineStr">
        <is>
          <t>resnet50 (imagenet), output stride 16</t>
        </is>
      </c>
      <c r="D12" s="79" t="inlineStr">
        <is>
          <t>yolo11n-seg.pt preentrenado en COCO</t>
        </is>
      </c>
    </row>
    <row r="13" ht="23.85" customHeight="1" s="30">
      <c r="A13" s="78" t="inlineStr">
        <is>
          <t>Cuello / cabeza</t>
        </is>
      </c>
      <c r="B13" s="79" t="inlineStr">
        <is>
          <t>ASPP (dilataciones 1/6/12/18) + decoder ×5 con attention gates</t>
        </is>
      </c>
      <c r="C13" s="79" t="inlineStr">
        <is>
          <t>ASPP + decoder ligero a 1/4</t>
        </is>
      </c>
      <c r="D13" s="79" t="inlineStr">
        <is>
          <t>Cajas + 32 prototipos de máscara (128×128)</t>
        </is>
      </c>
    </row>
    <row r="14" ht="15" customHeight="1" s="30">
      <c r="A14" s="78" t="inlineStr">
        <is>
          <t>Parámetros</t>
        </is>
      </c>
      <c r="B14" s="79" t="inlineStr">
        <is>
          <t>86.680.082</t>
        </is>
      </c>
      <c r="C14" s="79" t="inlineStr">
        <is>
          <t>26.679.898</t>
        </is>
      </c>
      <c r="D14" s="79" t="inlineStr">
        <is>
          <t>2.851.654</t>
        </is>
      </c>
    </row>
    <row r="15" ht="15" customHeight="1" s="30">
      <c r="A15" s="54" t="inlineStr">
        <is>
          <t>Entrenamiento</t>
        </is>
      </c>
      <c r="B15" s="39" t="n"/>
      <c r="C15" s="39" t="n"/>
      <c r="D15" s="40" t="n"/>
    </row>
    <row r="16" ht="15" customHeight="1" s="30">
      <c r="A16" s="78" t="inlineStr">
        <is>
          <t>Épocas</t>
        </is>
      </c>
      <c r="B16" s="79" t="inlineStr">
        <is>
          <t>30</t>
        </is>
      </c>
      <c r="C16" s="79" t="inlineStr">
        <is>
          <t>40</t>
        </is>
      </c>
      <c r="D16" s="79" t="inlineStr">
        <is>
          <t>300 máx. (235 ejecutadas, early stopping)</t>
        </is>
      </c>
    </row>
    <row r="17" ht="15" customHeight="1" s="30">
      <c r="A17" s="78" t="inlineStr">
        <is>
          <t>Batch</t>
        </is>
      </c>
      <c r="B17" s="79" t="inlineStr">
        <is>
          <t>4</t>
        </is>
      </c>
      <c r="C17" s="79" t="inlineStr">
        <is>
          <t>8</t>
        </is>
      </c>
      <c r="D17" s="79" t="inlineStr">
        <is>
          <t>16</t>
        </is>
      </c>
    </row>
    <row r="18" ht="15" customHeight="1" s="30">
      <c r="A18" s="78" t="inlineStr">
        <is>
          <t>Optimizador</t>
        </is>
      </c>
      <c r="B18" s="79" t="inlineStr">
        <is>
          <t>AdamW, lr 3e-5, weight decay 1e-4</t>
        </is>
      </c>
      <c r="C18" s="79" t="inlineStr">
        <is>
          <t>AdamW, lr 0.0001, weight decay 0.0001</t>
        </is>
      </c>
      <c r="D18" s="79" t="inlineStr">
        <is>
          <t>auto → AdamW, lr 0.000714, momentum 0.9</t>
        </is>
      </c>
    </row>
    <row r="19" ht="23.85" customHeight="1" s="30">
      <c r="A19" s="78" t="inlineStr">
        <is>
          <t>Scheduler</t>
        </is>
      </c>
      <c r="B19" s="79" t="inlineStr">
        <is>
          <t>CosineAnnealingWarmRestarts (T₀ = 10, T_mult = 2)</t>
        </is>
      </c>
      <c r="C19" s="79" t="inlineStr">
        <is>
          <t>CosineAnnealingLR(T_max=epochs)</t>
        </is>
      </c>
      <c r="D19" s="79" t="inlineStr">
        <is>
          <t>Lineal de Ultralytics (cierre de mosaico en las 10 últimas)</t>
        </is>
      </c>
    </row>
    <row r="20" ht="35.05" customHeight="1" s="30">
      <c r="A20" s="78" t="inlineStr">
        <is>
          <t>Pérdida</t>
        </is>
      </c>
      <c r="B20" s="79" t="inlineStr">
        <is>
          <t>Dice + Lovász-Softmax (salida principal) + CE ponderada y Dice en 2 salidas auxiliares (×0,1 y ×0,05)</t>
        </is>
      </c>
      <c r="C20" s="79" t="inlineStr">
        <is>
          <t>CrossEntropy ponderada 1/log(1.02+n) + Dice multiclase</t>
        </is>
      </c>
      <c r="D20" s="79" t="inlineStr">
        <is>
          <t>Pérdidas de Ultralytics: caja, máscara, clase y DFL</t>
        </is>
      </c>
    </row>
    <row r="21" ht="15" customHeight="1" s="30">
      <c r="A21" s="78" t="inlineStr">
        <is>
          <t>Pesos por clase</t>
        </is>
      </c>
      <c r="B21" s="79" t="inlineStr">
        <is>
          <t>1 / log(1,02 + n), n = imágenes de train con la clase</t>
        </is>
      </c>
      <c r="C21" s="79" t="inlineStr">
        <is>
          <t>Ídem</t>
        </is>
      </c>
      <c r="D21" s="79" t="inlineStr">
        <is>
          <t>No</t>
        </is>
      </c>
    </row>
    <row r="22" ht="23.85" customHeight="1" s="30">
      <c r="A22" s="78" t="inlineStr">
        <is>
          <t>Desbalance</t>
        </is>
      </c>
      <c r="B22" s="79" t="inlineStr">
        <is>
          <t>Oversampling target_ratio 0,5 (3.495 imágenes/época)</t>
        </is>
      </c>
      <c r="C22" s="79" t="inlineStr">
        <is>
          <t>No</t>
        </is>
      </c>
      <c r="D22" s="79" t="inlineStr">
        <is>
          <t>No</t>
        </is>
      </c>
    </row>
    <row r="23" ht="23.85" customHeight="1" s="30">
      <c r="A23" s="78" t="inlineStr">
        <is>
          <t>Augmentación</t>
        </is>
      </c>
      <c r="B23" s="79" t="inlineStr">
        <is>
          <t>aug_normal + aug_strong para las copias del oversampling</t>
        </is>
      </c>
      <c r="C23" s="79" t="inlineStr">
        <is>
          <t>aug_normal del cuaderno principal: flips, rot90, affine, brillo/contraste, gamma</t>
        </is>
      </c>
      <c r="D23" s="79" t="inlineStr">
        <is>
          <t>Ultralytics: mosaico 1.0, fliplr 0.5, flipud 0.5</t>
        </is>
      </c>
    </row>
    <row r="24" ht="15" customHeight="1" s="30">
      <c r="A24" s="78" t="inlineStr">
        <is>
          <t>Precisión mixta (AMP)</t>
        </is>
      </c>
      <c r="B24" s="79" t="inlineStr">
        <is>
          <t>Sí</t>
        </is>
      </c>
      <c r="C24" s="79" t="inlineStr">
        <is>
          <t>Sí</t>
        </is>
      </c>
      <c r="D24" s="79" t="inlineStr">
        <is>
          <t>Sí</t>
        </is>
      </c>
    </row>
    <row r="25" ht="15" customHeight="1" s="30">
      <c r="A25" s="78" t="inlineStr">
        <is>
          <t>Recorte de gradiente</t>
        </is>
      </c>
      <c r="B25" s="79" t="inlineStr">
        <is>
          <t>max_norm 0,5</t>
        </is>
      </c>
      <c r="C25" s="79" t="inlineStr">
        <is>
          <t>max_norm 1,0</t>
        </is>
      </c>
      <c r="D25" s="79" t="inlineStr">
        <is>
          <t>Ultralytics (max_norm 10)</t>
        </is>
      </c>
    </row>
    <row r="26" ht="15" customHeight="1" s="30">
      <c r="A26" s="78" t="inlineStr">
        <is>
          <t>Early stopping</t>
        </is>
      </c>
      <c r="B26" s="79" t="inlineStr">
        <is>
          <t>patience 50 sobre pérdida de val (no se disparó)</t>
        </is>
      </c>
      <c r="C26" s="79" t="inlineStr">
        <is>
          <t>No</t>
        </is>
      </c>
      <c r="D26" s="79" t="inlineStr">
        <is>
          <t>patience 50 sobre fitness de val</t>
        </is>
      </c>
    </row>
    <row r="27" ht="15" customHeight="1" s="30">
      <c r="A27" s="78" t="inlineStr">
        <is>
          <t>Selección del checkpoint</t>
        </is>
      </c>
      <c r="B27" s="79" t="inlineStr">
        <is>
          <t>Mejor mIoU en val</t>
        </is>
      </c>
      <c r="C27" s="79" t="inlineStr">
        <is>
          <t>mejor mIoU (10 clases) en val</t>
        </is>
      </c>
      <c r="D27" s="79" t="inlineStr">
        <is>
          <t>Mejor fitness de val (mAP caja + máscara)</t>
        </is>
      </c>
    </row>
    <row r="28" ht="15" customHeight="1" s="30">
      <c r="A28" s="78" t="inlineStr">
        <is>
          <t>Semilla</t>
        </is>
      </c>
      <c r="B28" s="79" t="inlineStr">
        <is>
          <t>No fijada</t>
        </is>
      </c>
      <c r="C28" s="79" t="inlineStr">
        <is>
          <t>42</t>
        </is>
      </c>
      <c r="D28" s="79" t="inlineStr">
        <is>
          <t>42 (deterministic)</t>
        </is>
      </c>
    </row>
    <row r="29" ht="15" customHeight="1" s="30">
      <c r="A29" s="54" t="inlineStr">
        <is>
          <t>Inferencia y evaluación</t>
        </is>
      </c>
      <c r="B29" s="39" t="n"/>
      <c r="C29" s="39" t="n"/>
      <c r="D29" s="40" t="n"/>
    </row>
    <row r="30" ht="15" customHeight="1" s="30">
      <c r="A30" s="78" t="inlineStr">
        <is>
          <t>TTA</t>
        </is>
      </c>
      <c r="B30" s="79" t="inlineStr">
        <is>
          <t>Sí: original + 3 volteos, media de softmax</t>
        </is>
      </c>
      <c r="C30" s="79" t="inlineStr">
        <is>
          <t>No</t>
        </is>
      </c>
      <c r="D30" s="79" t="inlineStr">
        <is>
          <t>No</t>
        </is>
      </c>
    </row>
    <row r="31" ht="23.85" customHeight="1" s="30">
      <c r="A31" s="78" t="inlineStr">
        <is>
          <t>Post-proceso</t>
        </is>
      </c>
      <c r="B31" s="79" t="inlineStr">
        <is>
          <t>argmax</t>
        </is>
      </c>
      <c r="C31" s="79" t="inlineStr">
        <is>
          <t>argmax</t>
        </is>
      </c>
      <c r="D31" s="79" t="inlineStr">
        <is>
          <t>conf 0.25 (elegido en val), NMS iou 0.7, max_det 300, repintado de mayor a menor área</t>
        </is>
      </c>
    </row>
    <row r="32" ht="23.85" customHeight="1" s="30">
      <c r="A32" s="78" t="inlineStr">
        <is>
          <t>Conversión de máscaras</t>
        </is>
      </c>
      <c r="B32" s="79" t="inlineStr">
        <is>
          <t>—</t>
        </is>
      </c>
      <c r="C32" s="79" t="inlineStr">
        <is>
          <t>—</t>
        </is>
      </c>
      <c r="D32" s="79" t="inlineStr">
        <is>
          <t>Polígonos: área mínima 20 px, ε 1.0 px; techo mIoU 0,984</t>
        </is>
      </c>
    </row>
    <row r="33" ht="15" customHeight="1" s="30">
      <c r="A33" s="78" t="inlineStr">
        <is>
          <t>Exportación</t>
        </is>
      </c>
      <c r="B33" s="79" t="inlineStr">
        <is>
          <t>Checkpoint .pth</t>
        </is>
      </c>
      <c r="C33" s="79" t="inlineStr">
        <is>
          <t>ONNX opset 18, normalización dentro del grafo</t>
        </is>
      </c>
      <c r="D33" s="79" t="inlineStr">
        <is>
          <t>ONNX opset 17, NMS fuera del grafo</t>
        </is>
      </c>
    </row>
    <row r="34" ht="15" customHeight="1" s="30">
      <c r="A34" s="78" t="inlineStr">
        <is>
          <t>Checkpoint usado</t>
        </is>
      </c>
      <c r="B34" s="79" t="inlineStr">
        <is>
          <t>models/best_model_iou_full.pth</t>
        </is>
      </c>
      <c r="C34" s="79" t="inlineStr">
        <is>
          <t>models/deeplabv3plus_r50_floodnet_full.onnx</t>
        </is>
      </c>
      <c r="D34" s="79" t="inlineStr">
        <is>
          <t>runs/yolo/yolo11n-seg-full/weights/best.pt</t>
        </is>
      </c>
    </row>
  </sheetData>
  <mergeCells count="4">
    <mergeCell ref="A5:D5"/>
    <mergeCell ref="A10:D10"/>
    <mergeCell ref="A29:D29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2026-10-14T09:41:31Z</dcterms:created>
  <dcterms:modified xsi:type="dcterms:W3CDTF">2026-10-14T09:56:37Z</dcterms:modified>
  <cp:revision>0</cp:revision>
</cp:coreProperties>
</file>